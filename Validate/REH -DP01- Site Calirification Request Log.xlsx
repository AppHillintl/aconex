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namedSheetViews/namedSheetView2.xml" ContentType="application/vnd.ms-excel.namedsheetviews+xml"/>
  <Override PartName="/xl/drawings/drawing5.xml" ContentType="application/vnd.openxmlformats-officedocument.drawing+xml"/>
  <Override PartName="/xl/namedSheetViews/namedSheetView3.xml" ContentType="application/vnd.ms-excel.namedsheetview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121)- DP01/RFI/"/>
    </mc:Choice>
  </mc:AlternateContent>
  <xr:revisionPtr revIDLastSave="423" documentId="13_ncr:1_{0FB47FD2-9755-4B6B-A246-A2A1C6CDF82D}" xr6:coauthVersionLast="47" xr6:coauthVersionMax="47" xr10:uidLastSave="{221F269C-4A5D-48F6-ADEF-244246410AF8}"/>
  <bookViews>
    <workbookView xWindow="28680" yWindow="-120" windowWidth="29040" windowHeight="15720" activeTab="5" xr2:uid="{00000000-000D-0000-FFFF-FFFF00000000}"/>
  </bookViews>
  <sheets>
    <sheet name="Dashboard" sheetId="1" r:id="rId1"/>
    <sheet name="GN" sheetId="2" r:id="rId2"/>
    <sheet name="ST" sheetId="3" r:id="rId3"/>
    <sheet name="AR" sheetId="4" r:id="rId4"/>
    <sheet name="EL" sheetId="5" r:id="rId5"/>
    <sheet name="ME" sheetId="6" r:id="rId6"/>
    <sheet name="Telecom" sheetId="7" r:id="rId7"/>
  </sheets>
  <definedNames>
    <definedName name="_xlnm._FilterDatabase" localSheetId="3" hidden="1">AR!$D$4:$K$64</definedName>
    <definedName name="_xlnm._FilterDatabase" localSheetId="4" hidden="1">EL!$D$4:$K$356</definedName>
    <definedName name="_xlnm._FilterDatabase" localSheetId="1" hidden="1">GN!$D$4:$K$18</definedName>
    <definedName name="_xlnm._FilterDatabase" localSheetId="5" hidden="1">ME!$D$4:$K$307</definedName>
    <definedName name="_xlnm._FilterDatabase" localSheetId="2" hidden="1">ST!$D$4:$K$961</definedName>
    <definedName name="_xlnm._FilterDatabase" localSheetId="6" hidden="1">Telecom!$A$4:$H$24</definedName>
    <definedName name="Action">#REF!</definedName>
    <definedName name="Buidling">#REF!</definedName>
    <definedName name="Discipline">#REF!</definedName>
    <definedName name="Level">#REF!</definedName>
    <definedName name="_xlnm.Print_Area" localSheetId="3">AR!$A$1:$K$74</definedName>
    <definedName name="_xlnm.Print_Area" localSheetId="0">Dashboard!$A$1:$N$32</definedName>
    <definedName name="_xlnm.Print_Area" localSheetId="4">EL!$A$1:$K$365</definedName>
    <definedName name="_xlnm.Print_Area" localSheetId="1">GN!$A$1:$K$19</definedName>
    <definedName name="_xlnm.Print_Area" localSheetId="5">ME!$A$1:$K$311</definedName>
    <definedName name="_xlnm.Print_Area" localSheetId="2">ST!$A$1:$K$970</definedName>
    <definedName name="_xlnm.Print_Area" localSheetId="6">Telecom!$A$1:$H$26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6" i="1" l="1"/>
  <c r="H31" i="1" s="1"/>
  <c r="C16" i="1"/>
  <c r="H30" i="1" s="1"/>
  <c r="B16" i="1"/>
  <c r="H29" i="1" s="1"/>
  <c r="D15" i="1"/>
  <c r="E31" i="1" s="1"/>
  <c r="C15" i="1"/>
  <c r="E30" i="1" s="1"/>
  <c r="B15" i="1"/>
  <c r="D14" i="1"/>
  <c r="B31" i="1" s="1"/>
  <c r="C14" i="1"/>
  <c r="B30" i="1" s="1"/>
  <c r="B14" i="1"/>
  <c r="D13" i="1"/>
  <c r="H26" i="1" s="1"/>
  <c r="C13" i="1"/>
  <c r="H25" i="1" s="1"/>
  <c r="B13" i="1"/>
  <c r="H24" i="1" s="1"/>
  <c r="D12" i="1"/>
  <c r="E26" i="1" s="1"/>
  <c r="C12" i="1"/>
  <c r="E25" i="1" s="1"/>
  <c r="B12" i="1"/>
  <c r="D11" i="1"/>
  <c r="C11" i="1"/>
  <c r="B25" i="1" s="1"/>
  <c r="B11" i="1"/>
  <c r="E11" i="1" l="1"/>
  <c r="E15" i="1"/>
  <c r="E14" i="1"/>
  <c r="E12" i="1"/>
  <c r="E13" i="1"/>
  <c r="D17" i="1"/>
  <c r="G7" i="1" s="1"/>
  <c r="E16" i="1"/>
  <c r="B26" i="1"/>
  <c r="E29" i="1"/>
  <c r="B24" i="1"/>
  <c r="B17" i="1"/>
  <c r="C17" i="1"/>
  <c r="D7" i="1" s="1"/>
  <c r="E24" i="1"/>
  <c r="B29" i="1"/>
  <c r="A7" i="1" l="1"/>
  <c r="E17" i="1"/>
</calcChain>
</file>

<file path=xl/sharedStrings.xml><?xml version="1.0" encoding="utf-8"?>
<sst xmlns="http://schemas.openxmlformats.org/spreadsheetml/2006/main" count="8610" uniqueCount="4828">
  <si>
    <t>SITE CLARIFICATION LOG DASHBOARD DP01</t>
  </si>
  <si>
    <t>Automatic summary of Pending and Responded items for every sheet</t>
  </si>
  <si>
    <t>TOTAL ITEMS</t>
  </si>
  <si>
    <t>PENDING</t>
  </si>
  <si>
    <t>RESPONDED</t>
  </si>
  <si>
    <t>Sheet Name</t>
  </si>
  <si>
    <t>Total</t>
  </si>
  <si>
    <t>Pending</t>
  </si>
  <si>
    <t>Responded</t>
  </si>
  <si>
    <t>Response Rate</t>
  </si>
  <si>
    <t>GN</t>
  </si>
  <si>
    <t>ST</t>
  </si>
  <si>
    <t>AR</t>
  </si>
  <si>
    <t>EL</t>
  </si>
  <si>
    <t>ME</t>
  </si>
  <si>
    <t>Telecom</t>
  </si>
  <si>
    <t>GRAND TOTAL</t>
  </si>
  <si>
    <t>Site Clarification Request ( General )</t>
  </si>
  <si>
    <t>Ref.</t>
  </si>
  <si>
    <t>Mail No</t>
  </si>
  <si>
    <t>Rev.</t>
  </si>
  <si>
    <t>Subject</t>
  </si>
  <si>
    <t>Sub-Building</t>
  </si>
  <si>
    <t>Issue Date</t>
  </si>
  <si>
    <t>Received Date</t>
  </si>
  <si>
    <t>Action</t>
  </si>
  <si>
    <t>REH-MD01-MDU-ZZ-OC-Hil-1025-SCR-000001</t>
  </si>
  <si>
    <t>REH-MD01-ZZ-OC-Hil-1025-SCR-01</t>
  </si>
  <si>
    <t>REH-MDU - Wadi Yemm - Missing data for Apartments Arch &amp; MEP 50% DD Package at plot 1025</t>
  </si>
  <si>
    <t>1025</t>
  </si>
  <si>
    <t>REH-MD01-MDU-ZZ-OC-Hil-1025-SCR-000002</t>
  </si>
  <si>
    <t>OC-SCR-000589</t>
  </si>
  <si>
    <t>REH-MDU - Wadi Yemm - Changing the location of panel board in apartment (Q2-3) - Plot 1025</t>
  </si>
  <si>
    <t>REH-MD01-MDU-ZZ-OC-Hil-1044-SCR-000001</t>
  </si>
  <si>
    <t>OC-SCR-000659</t>
  </si>
  <si>
    <t>REH-MDU - Wadi Yemm - Dropping slap in spa areas &amp; clash beam with door</t>
  </si>
  <si>
    <t>1044</t>
  </si>
  <si>
    <t>REH-MD01-MDU-ZZ-OC-Hil-1031-SCR-000001</t>
  </si>
  <si>
    <t>OC-SCR-000690</t>
  </si>
  <si>
    <t>REH-MDU - Wadi Yemm - SCR – Clarification Regarding Electrical and LC Outlets and Devices Mounting Heights in the (Shaker Package)</t>
  </si>
  <si>
    <t>1031</t>
  </si>
  <si>
    <t>REH-MD01-MDU-ZZ-OC-Hil-1031-SCR-000002</t>
  </si>
  <si>
    <t>OC-SCR-000691</t>
  </si>
  <si>
    <t>REH-MDU - Wadi Yemm - SCR – Clarification Regarding the Mounting Heights of Electrical and ELV Devices Inside the Elevator Shaft (Shaker Package</t>
  </si>
  <si>
    <t>REH-MD01-MDU-ZZ-OC-Hil-1044-SCR-000002</t>
  </si>
  <si>
    <t>OC-SCR-000713</t>
  </si>
  <si>
    <t>REH-MDU - Wadi Yemm - beam with wall arch &amp; clash wall arch &amp; str</t>
  </si>
  <si>
    <t>REH-MD01-MDU-ZZ-OC-Hil-1021-SCR-000001</t>
  </si>
  <si>
    <t>OC-SCR-000731</t>
  </si>
  <si>
    <t>REH-MDU - Wadi Yemm - Changing the location of panel board in apartment (Q3-3BHK) - Plot 1021</t>
  </si>
  <si>
    <t>1021</t>
  </si>
  <si>
    <t>REH-MD01-MDU-ZZ-OC-Hil-1024-SCR-000001</t>
  </si>
  <si>
    <t>OC-SCR-000791</t>
  </si>
  <si>
    <t>REH-MDU - Wadi Yemm - Clarification Regarding the Mounting Heights of Electrical and ELV Devices Inside the Elevator Shaft (ECG Package)</t>
  </si>
  <si>
    <t>1024</t>
  </si>
  <si>
    <t>REH-MD01-MDU-ZZ-OC-Hil-1044-SCR-000003</t>
  </si>
  <si>
    <t>OC-SCR-000954</t>
  </si>
  <si>
    <t>REH-MDU - Wadi Yemm - Staircase Coordination Clarification</t>
  </si>
  <si>
    <t>REH-MD01-MDU-ZZ-OC-Hil-1025-SCR-000003</t>
  </si>
  <si>
    <t>OC-SCR-001170</t>
  </si>
  <si>
    <t>REH-MDU - Wadi Yemm - Plot 1025- MEP Openings in beams</t>
  </si>
  <si>
    <t>REH-MD01-MDU-ZZ-OC-Hil-1044-SCR-000004</t>
  </si>
  <si>
    <t>OC-SCR-001321</t>
  </si>
  <si>
    <t>REH-MDU - Wadi Yemm - Column Alignment at the Slab Edge and Omission of Beam CA3</t>
  </si>
  <si>
    <t>REH-MD01-MDU-ZZ-OC-Hil-1021-SCR-000002</t>
  </si>
  <si>
    <t>OC-SCR-001366</t>
  </si>
  <si>
    <t>REH-MDU - Wadi Yemm - Plot 1021 -Ground level -Attic Slab-part 04</t>
  </si>
  <si>
    <t>REH-MD01-MDU-SS-OC-Hil-1018-SCR-000029</t>
  </si>
  <si>
    <t>OC-SCR-001419</t>
  </si>
  <si>
    <t>REH-MD01-MDU-SS-OC-Hil-1018-SCR-000029 - Corridor CCTV Coverage Not Complete - PLOT#1018 - FIRST FLOOR</t>
  </si>
  <si>
    <t>REH-MD01-MDU-ZZ-OC-Hil-1031-SCR-000003</t>
  </si>
  <si>
    <t>OC-SCR-001434</t>
  </si>
  <si>
    <t>REH-MD01-MDU-ZZ-OC-Hil-1031-SCR-000003-SP02-Plot 1031,1032,1033 FOR all typical stair RFT detail. (Missing Reinforcement Details)</t>
  </si>
  <si>
    <t>Project Name:-       REH Wadi Yemm DP01 - Sea Town Center</t>
  </si>
  <si>
    <t>Location:-                 Northern coast near Ras Al Hekma Cape, Egypt.</t>
  </si>
  <si>
    <t>Site Clarification Request ( Structural )</t>
  </si>
  <si>
    <t>Employer:-               Modon.</t>
  </si>
  <si>
    <t>Lead Consultant:-    SHAKER &amp; ECG</t>
  </si>
  <si>
    <t>P0155-RA06-SCR-ST-OC-DAR-000001</t>
  </si>
  <si>
    <t>P0155 - K00146 – REH Wadi Yemm - Sea Town Center - Missing data and discrepancy at plot 1024</t>
  </si>
  <si>
    <t>RA06</t>
  </si>
  <si>
    <t>P0155-RA06-SCR-ST-OC-DAR-000002</t>
  </si>
  <si>
    <t>P0155 - K00146 – REH Wadi Yemm - Sea Town Center - Missing data and discrepancy (2) at plot 1024</t>
  </si>
  <si>
    <t>P0155-RA04-SCR-ST-OC-DAR-000001</t>
  </si>
  <si>
    <t>P0155 - K00146 – REH Wadi Yemm - Sea Town Center - Missing data and discrepancy at plot 1025</t>
  </si>
  <si>
    <t>RA04</t>
  </si>
  <si>
    <t>P0155-RA00-SCR-ST-OC-DAR-000001</t>
  </si>
  <si>
    <t>P0155 - K00146 – REH Wadi Yemm - Sea Town Center - Cement Type for Concrete Materials (Wadi Yemm Project)</t>
  </si>
  <si>
    <t>RA00</t>
  </si>
  <si>
    <t>P0155-RA06-SCR-ST-OC-DAR-000003</t>
  </si>
  <si>
    <t>P0155 - K00146 – REH Wadi Yemm - Sea Town Center - Discrepancy Between StructuraL and Architectural Drawings plot 1024</t>
  </si>
  <si>
    <t>P0155-RA04-SCR-ST-OC-DAR-000002</t>
  </si>
  <si>
    <t>P0155 - K00146 – REH Wadi Yemm - Sea Town Center - Missing data and discrepancy (2) at plot 1025</t>
  </si>
  <si>
    <t>P0155-RA06-SCR-ST-OC-DAR-000004</t>
  </si>
  <si>
    <t>P0155 - K00146 – REH Wadi Yemm - Sea Town Center -Missing data and conflicts in columns (1) in plot 1024</t>
  </si>
  <si>
    <t>P0155-RA06-SCR-ST-OC-DAR-000005</t>
  </si>
  <si>
    <t>P0155 - K00146 – REH Wadi Yemm - Sea Town Center - Missing data and conflicts in columns (2) in plot 1024</t>
  </si>
  <si>
    <t>P0155-RA03-SCR-ST-OC-DAR-000001</t>
  </si>
  <si>
    <t>P0155 - K00146 – REH Wadi Yemm - Sea Town Center - Missing and Conflict data at plot 1047</t>
  </si>
  <si>
    <t>RA03</t>
  </si>
  <si>
    <t>P0155-RA03-SCR-ST-OC-DAR-000002</t>
  </si>
  <si>
    <t>P0155-RA06-SCR-ST-OC-DAR-000006</t>
  </si>
  <si>
    <t>P0155 - K00146 – REH Wadi Yemm - Sea Town Center - Missing data and conflicts in columns in plot 1024</t>
  </si>
  <si>
    <t>P0155-RA04-SCR-ST-OC-DAR-000003</t>
  </si>
  <si>
    <t>P0155 - K00146 – REH Wadi Yemm - Sea Town Center - Missing data and discrepancy (3) at plot 1025 COL&amp;SLABS</t>
  </si>
  <si>
    <t>P0155-RA05-SCR-ST-OC-DAR-000001</t>
  </si>
  <si>
    <t>P0155 - K00146 – REH Wadi Yemm - Sea Town Center - Missing and Conflict data at plot 1026</t>
  </si>
  <si>
    <t>RA05</t>
  </si>
  <si>
    <t>P0155-RA06-SCR-ST-OC-DAR-000007</t>
  </si>
  <si>
    <t>P0155 - K00146 – REH Wadi Yemm - Sea Town Center - Missing data and conflicts in plot 1024</t>
  </si>
  <si>
    <t>P0155-RA05-SCR-ST-OC-DAR-000002</t>
  </si>
  <si>
    <t>P0155-RA03-SCR-ST-OC-DAR-000003</t>
  </si>
  <si>
    <t>P0155 - K00146 – REH Wadi Yemm - Sea Town Center - Missing data at plot 1047</t>
  </si>
  <si>
    <t>P0155-RA03-SCR-ST-OC-DAR-000004</t>
  </si>
  <si>
    <t>P0155-RA01-SCR-ST-OC-DAR-000001</t>
  </si>
  <si>
    <t>P0155 - K00146 – REH Wadi Yemm - Sea Town Center - Excavation Level required for area infront of Plot 1036</t>
  </si>
  <si>
    <t>RA01</t>
  </si>
  <si>
    <t>P0155-RA03-SCR-ST-OC-DAR-000005</t>
  </si>
  <si>
    <t>P0155 - K00146 – REH Wadi Yemm - Sea Town Center - Data Conflict in plot 1047</t>
  </si>
  <si>
    <t>P0155-RA07-SCR-ST-OC-DAR-000001</t>
  </si>
  <si>
    <t>P0155 - K00146 – REH Wadi Yemm - Sea Town Center - Discrepancy and missing data at Drawings supper plot 01</t>
  </si>
  <si>
    <t>RA07</t>
  </si>
  <si>
    <t>P0155-RA07-SCR-ST-OC-DAR-000002</t>
  </si>
  <si>
    <t>P0155 - K00146 – REH Wadi Yemm - Sea Town Center - Horizontal protection layer and missing axis at supper plot 01</t>
  </si>
  <si>
    <t>P0155-RA04-SCR-ST-OC-DAR-000004</t>
  </si>
  <si>
    <t>P0155 - K00146 – REH Wadi Yemm - Sea Town Center - Missing Structure and Archecture details for stairs at plot 1025</t>
  </si>
  <si>
    <t>P0155-RA00-SCR-BM-OC-DAR-000001</t>
  </si>
  <si>
    <t>P0155 - K00146 – REH Wadi Yemm - Sea Town Center - Approval to use Revit 2026</t>
  </si>
  <si>
    <t>P0155-RA10-SCR-ST-OC-DAR-000001</t>
  </si>
  <si>
    <t>P0155 - K00146 – REH Wadi Yemm - Sea Town Center - Levls PC &amp;RC at plot 1021</t>
  </si>
  <si>
    <t>RA10</t>
  </si>
  <si>
    <t>P0155-RA07-SCR-ST-OC-DAR-000003</t>
  </si>
  <si>
    <t>P0155 - K00146 – REH Wadi Yemm - Sea Town Center - Super Plot 01 – Discrepancies and Missing Data</t>
  </si>
  <si>
    <t>P0155-RA09-SCR-ST-OC-DAR-000001</t>
  </si>
  <si>
    <t>P0155 - K00146 – REH Wadi Yemm - Sea Town Center - Conflict Data in Plot 1044</t>
  </si>
  <si>
    <t>RA09</t>
  </si>
  <si>
    <t>P0155-RA10-SCR-ST-OC-DAR-000002</t>
  </si>
  <si>
    <t>P0155 - K00146 – REH Wadi Yemm - Sea Town Center - Missing and Conflict data at plot 1021</t>
  </si>
  <si>
    <t>P0155-RA02-SCR-ST-OC-DAR-000001</t>
  </si>
  <si>
    <t>P0155 - K00146 – REH Wadi Yemm - Sea Town Center - Discrepancy and missing data at Drawings plot 1028</t>
  </si>
  <si>
    <t>RA02</t>
  </si>
  <si>
    <t>P0155-RA02-SCR-ST-OC-DAR-000002</t>
  </si>
  <si>
    <t>P0155 - K00146 – REH Wadi Yemm - Sea Town Center - Conflicts at Basement 01 Slab – Plot 1028</t>
  </si>
  <si>
    <t>P0155-RA03-SCR-ST-OC-DAR-000006</t>
  </si>
  <si>
    <t>P0155 - K00146 – REH Wadi Yemm - Sea Town Center - Conflict Data in Plot 1047</t>
  </si>
  <si>
    <t>P0155-RA10-SCR-ST-OC-DAR-000003</t>
  </si>
  <si>
    <t>P0155 - K00146 – REH Wadi Yemm - Sea Town Center - Missing Data in Plot 1021</t>
  </si>
  <si>
    <t>P0155-RA04-SCR-ST-OC-DAR-000005</t>
  </si>
  <si>
    <t>P0155 - K00146 – REH Wadi Yemm - Sea Town Center - Missing Column at plot 1036 part 04</t>
  </si>
  <si>
    <t>P0155-RA02-SCR-ST-OC-DAR-000003</t>
  </si>
  <si>
    <t>P0155 - K00146 – REH Wadi Yemm - Sea Town Center - Missing Retaining Walls details &amp; cores conflicts – Plot 1028</t>
  </si>
  <si>
    <t>P0155-RA10-SCR-ST-OC-DAR-000004</t>
  </si>
  <si>
    <t>P0155-RA04-SCR-ST-OC-DAR-000006</t>
  </si>
  <si>
    <t>P0155 - K00146 – REH Wadi Yemm - Sea Town Center - Discrepency in additional reinforcement diameter of Retaining wall at plot 1036 part 02</t>
  </si>
  <si>
    <t>P0155-RA06-SCR-ST-OC-DAR-000008</t>
  </si>
  <si>
    <t>P0155 - K00146 – REH Wadi Yemm - Sea Town Center - IFC Clarification at plot 1025</t>
  </si>
  <si>
    <t>P0155-RA07-SCR-ST-OC-DAR-000004</t>
  </si>
  <si>
    <t>P0155 - K00146 – REH Wadi Yemm - Sea Town Cente Super Plot 01 – Discrepancies and Missing Data</t>
  </si>
  <si>
    <t>P0155-RA07-SCR-ST-OC-DAR-000005</t>
  </si>
  <si>
    <t>P0155 - K00146 – REH Wadi Yemm - Sea Town Cente conflict at B1 slab plot 1025</t>
  </si>
  <si>
    <t>REH-MD01-MDU-ST-OC-DAR-1047-SCR-000001</t>
  </si>
  <si>
    <t>REH-MD01 - Wadi Yemm - Sea Town Discrepancies in beams &amp; toilet FFL for Plot 1047</t>
  </si>
  <si>
    <t>REH-MD01-MDU-ST-OC-DAR-1029-SCR-000001</t>
  </si>
  <si>
    <t>00</t>
  </si>
  <si>
    <t>REH-MD01 - Wadi Yemm - Sea Town Super Plot 01 – Discrepancies and Missing Data</t>
  </si>
  <si>
    <t>REH-MD01-MDU-ST-OC-DAR-1036-SCR-000001</t>
  </si>
  <si>
    <t>REH-MD01 - Wadi Yemm - Sea Town- Missing Columnns on axis (10) in the design drawing details at plot 1036</t>
  </si>
  <si>
    <t>REH-MD01-MDU-ST-OC-DAR-1021-SCR-000001</t>
  </si>
  <si>
    <t>REH-MD01 - Wadi Yemm - Sea Town- Missing Section Details For W3)) &amp; Contradiction between (plan &amp;section for Service Pit.</t>
  </si>
  <si>
    <t>REH-MD01-MDU-ST-OC-DAR-1022-SCR-000001</t>
  </si>
  <si>
    <t>REH-MD01 - Wadi Yemm - Sea Town- Missing setting out plan for super plot 06</t>
  </si>
  <si>
    <t>REH-MD01-MDU-ST-OC-DAR-1021-SCR-000002</t>
  </si>
  <si>
    <t>REH-MD01 - Wadi Yemm - Sea Town- Contradiction between (plan &amp;section for Service Pit )</t>
  </si>
  <si>
    <t>REH-MD01-MDU-ST-OC-DAR-1025-SCR-000001</t>
  </si>
  <si>
    <t>REH-MD01 - Wadi Yemm - Sea Town- BEAMS AT STAIRS AREA at plot 1025</t>
  </si>
  <si>
    <t>REH-MD01-MDU-ST-OC-DAR-1028-SCR-000001</t>
  </si>
  <si>
    <t>REH-MD01 - Wadi Yemm - Sea Town- CONFLICT BETWEEN ARCH &amp; STRUCTURE DRAWINGS</t>
  </si>
  <si>
    <t>REH-MD01-MDU-ST-OC-DAR-1029-SCR-000002</t>
  </si>
  <si>
    <t>REH-MD01 - Wadi Yemm - Sea Town- Super Plot 01 – Discrepancies and Missing Data Regarding columns</t>
  </si>
  <si>
    <t>REH-MD01-MDU-ST-OC-DAR-1036-SCR-000002</t>
  </si>
  <si>
    <t>REH-MD01 - Wadi Yemm - Sea Town- conflict between the structural and architectural column &amp;There is a shift between the structural and architectural Axis &amp; The stairs are shown in the architectural drawings but not shown in the structural drawings</t>
  </si>
  <si>
    <t>REH-MD01-MDU-ST-OC-DAR-1047-SCR-000002</t>
  </si>
  <si>
    <t>REH-MD01 - Wadi Yemm - Sea Town- Discrepancies in Ground Plan for Plot 1047</t>
  </si>
  <si>
    <t>REH-MD01-MDU-ST-OC-DAR-1021-SCR-000003</t>
  </si>
  <si>
    <t>REH-MD01 - Wadi Yemm - Sea Town- Tower Crane's Footing in Plot 1021</t>
  </si>
  <si>
    <t>REH-MD01-MDU-ST-OC-DAR-1044-SCR-000001</t>
  </si>
  <si>
    <t>REH-MD01 - Wadi Yemm - Sea Town- Levls PC &amp;RC at plot 1044</t>
  </si>
  <si>
    <t>REH-MD01-MDU-ST-OC-DAR-1047-SCR-000003</t>
  </si>
  <si>
    <t>REH-MD01 - Wadi Yemm - Sea Town- Conflict in RW plot (1047)</t>
  </si>
  <si>
    <t>REH-MD01-MDU-ST-OC-DAR-1026-SCR-000001</t>
  </si>
  <si>
    <t>REH-MD01 - Wadi Yemm - Sea Town- Core opennings, stairs, Ramps &amp; Axes descrepancies</t>
  </si>
  <si>
    <t>REH-MD01-MDU-ST-OC-DAR-XXXX-SCR-000001</t>
  </si>
  <si>
    <t>REH-MD01 - Wadi Yemm - Sea Town- Clarification regarding the Internal Waterproofing for Water Tanks</t>
  </si>
  <si>
    <t>XXXX</t>
  </si>
  <si>
    <t>REH-MD01-MDU-ST-OC-DAR-1028-SCR-000002</t>
  </si>
  <si>
    <t>REH-MD01 - Wadi Yemm - Sea Town- Rienforcment clarification</t>
  </si>
  <si>
    <t>REH-MD01-MDU-ST-OC-DAR-1026-SCR-000002</t>
  </si>
  <si>
    <t>REH-MD01 - Wadi Yemm - Sea Town- Conflict data at plot 1026</t>
  </si>
  <si>
    <t>REH-MD01-MDU-ST-OC-DAR-1036-SCR-000003</t>
  </si>
  <si>
    <t>REH-MD01 - Wadi Yemm - Sea Town- some missing data regarding the walls&amp;There are missing columns, and some of them conflict with the architectural drawings.</t>
  </si>
  <si>
    <t>REH-MD01-MDU-ST-OC-DAR-1044-SCR-000002</t>
  </si>
  <si>
    <t>REH-MD01 - Wadi Yemm - Sea Town- More Clarifications About Additional Reinforcement</t>
  </si>
  <si>
    <t>REH-MD01-MDU-ST-OC-DAR-1025-SCR-000002</t>
  </si>
  <si>
    <t>REH-MD01 - Wadi Yemm - Sea Town- STAIR STARTER PLACES at plot 1025</t>
  </si>
  <si>
    <t>REH-MD01-MDU-ST-OC-DAR-1022-SCR-000002</t>
  </si>
  <si>
    <t>REH-MD01 - Wadi Yemm - Sea Town- Missing some RFT details for retaining walls at SP06</t>
  </si>
  <si>
    <t>REH-MD01-MDU-ST-OC-DAR-1025-SCR-000003</t>
  </si>
  <si>
    <t>REH-MD01 - Wadi Yemm - Sea Town- Slab-basment01 - beam @10.9 supporting conditions -part1c plot 1025</t>
  </si>
  <si>
    <t>REH-MD01-MDU-ST-OC-DAR-1028-SCR-000003</t>
  </si>
  <si>
    <t>REH-MD01 - Wadi Yemm - Sea Town- Stairs and shear wall at plot 1028</t>
  </si>
  <si>
    <t>REH-MD01-MDU-ST-OC-DAR-1029-SCR-000003</t>
  </si>
  <si>
    <t>REH-MD01 - Wadi Yemm - Sea Town- Super Plot 01 – Discrepancies between Site Excution and Design D4</t>
  </si>
  <si>
    <t>REH-MD01-MDU-ST-OC-DAR-1047-SCR-000004</t>
  </si>
  <si>
    <t>REH-MD01 - Wadi Yemm - Sea Town- Shafts, missing RFT &amp; Beams in Plot 1047</t>
  </si>
  <si>
    <t>REH-MD01-MDU-ST-OC-DAR-1047-SCR-000005</t>
  </si>
  <si>
    <t>REH-MD01 - Wadi Yemm - Sea Town- Stairs Starter Relocation As Per SCR Reply in Plot 1047</t>
  </si>
  <si>
    <t>REH-MD01-MDU-ST-OC-DAR-1025-SCR-000004</t>
  </si>
  <si>
    <t>REH-MD01 - Wadi Yemm - Sea Town- updated columns double height levels- plot 1025</t>
  </si>
  <si>
    <t>REH-MD01-MDU-ST-OC-DAR-1024-SCR-000001</t>
  </si>
  <si>
    <t>REH-MD01 - Wadi Yemm - Sea Town- Conflicts in vertical elements in plot 1024</t>
  </si>
  <si>
    <t>REH-MD01-MDU-ST-OC-DAR-1022-SCR-000003</t>
  </si>
  <si>
    <t>REH-MD01 - Wadi Yemm - Sea Town- Clarification for Punching detail at SP06</t>
  </si>
  <si>
    <t>REH-MD01-MDU-ST-OC-DAR-1036-SCR-000004</t>
  </si>
  <si>
    <t>REH-MD01 - Wadi Yemm - Sea Town- There is a conflict between the 2D drawings and the 3D drawings,</t>
  </si>
  <si>
    <t>REH-MD01-MDU-ST-OC-DAR-1036-SCR-000005</t>
  </si>
  <si>
    <t>REH-MD01 - Wadi Yemm - Sea Town- The wall detail is missing</t>
  </si>
  <si>
    <t>REH-MD01-MDU-ST-OC-DAR-1029-SCR-000004</t>
  </si>
  <si>
    <t>REH-MD01 - Wadi Yemm - Sea Town- Super Plot 01 – Typical Detail for Retaining Wall - Water Stop</t>
  </si>
  <si>
    <t>REH-MD01-MDU-ST-OC-DAR-1036-SCR-000006</t>
  </si>
  <si>
    <t>REH-MD01 - Wadi Yemm - Sea Town- Plot area and its coordinates</t>
  </si>
  <si>
    <t>REH-MD01-MDU-ST-OC-DAR-1026-SCR-000003</t>
  </si>
  <si>
    <t>REH-MD01 - Wadi Yemm - Sea Town- SHAFTS, DOOR OPENINGS CONFLICT - PLOT 1026</t>
  </si>
  <si>
    <t>REH-MD01-MDU-ST-OC-DAR-1036-SCR-000007</t>
  </si>
  <si>
    <t>REH-MD01 - Wadi Yemm - Sea Town- Missing range for this add RFT</t>
  </si>
  <si>
    <t>REH-MD01-MDU-ST-OC-DAR-1025-SCR-000005</t>
  </si>
  <si>
    <t>REH-MD01-MDU-ST-OC-DAR-1044-SCR-000003</t>
  </si>
  <si>
    <t>REH-MD01 - Wadi Yemm - Sea Town- Clarification on Wall W4 Modification</t>
  </si>
  <si>
    <t>REH-MD01-MDU-ST-OC-DAR-XXXX-SCR-000002</t>
  </si>
  <si>
    <t>REH-MD01 - Wadi Yemm - Sea Town- Clarification on Waterproofing System Conflict</t>
  </si>
  <si>
    <t>REH-MD01-MDU-ST-OC-DAR-1029-SCR-000005</t>
  </si>
  <si>
    <t>REH-MD01 - Wadi Yemm - Sea Town- Super Plot 01 – Retaining wall types and raft thickening face.</t>
  </si>
  <si>
    <t>REH-MD01-MDU-ST-OC-DAR-1060-SCR-000001</t>
  </si>
  <si>
    <t>REH-MD01 - Wadi Yemm - Sea Town- The limits of plot 1060 excavation overlaps with construction road for area 2 &amp; 3</t>
  </si>
  <si>
    <t>REH-MD01-MDU-ST-OC-DAR-1026-SCR-000004</t>
  </si>
  <si>
    <t>REH-MD01 - Wadi Yemm - Sea Town- Conflict column location at plot 1026</t>
  </si>
  <si>
    <t>REH-MD01-MDU-ST-OC-DAR-1025-SCR-000006</t>
  </si>
  <si>
    <t>REH-MD01 - Wadi Yemm - Sea Town- Staircase Proposal Including Beams, Openings, and Stair Riser Redistribution – Plot 1025</t>
  </si>
  <si>
    <t>REH-MD01-MDU-ST-OC-DAR-1036-SCR-000008</t>
  </si>
  <si>
    <t>REH-MD01 - Wadi Yemm - Sea Town- Clarify Openings</t>
  </si>
  <si>
    <t>REH-MD01-MDU-ST-OC-DAR-1029-SCR-000006</t>
  </si>
  <si>
    <t>REH-MD01-MDU-ST-OC-DAR-1029-SCR-000007</t>
  </si>
  <si>
    <t>REH-MD01 - Wadi Yemm - Sea Town- Super Plot 01 – Discrepancies and Missing Data</t>
  </si>
  <si>
    <t>REH-MD01-MDU-ST-OC-DAR-1026-SCR-000005</t>
  </si>
  <si>
    <t>REH-MD01 - Wadi Yemm - Sea Town- Stairs Flight width - Plot 1026.</t>
  </si>
  <si>
    <t>REH-MD01-MDU-ST-OC-DAR-1026-SCR-000006</t>
  </si>
  <si>
    <t>REH-MD01 - Wadi Yemm - Sea Town - Missing data in basement slab at plot 1026</t>
  </si>
  <si>
    <t>REH-MD01-MDU-ST-OC-DAR-1021-SCR-000004</t>
  </si>
  <si>
    <t>REH-MD01 - Wadi Yemm - Sea Town - Missing wall type &amp; required data in Plot 1021</t>
  </si>
  <si>
    <t>REH-MD01-MDU-ST-OC-DAR-XXXX-SCR-000003</t>
  </si>
  <si>
    <t>OC-SCR-000013</t>
  </si>
  <si>
    <t>REH-MD01 - Wadi Yemm - Sea Town - Issues for Raft Foundation SP-06 (1045-1018)</t>
  </si>
  <si>
    <t>REH-MD01-MDU-ST-OC-DAR-1047-SCR-000006</t>
  </si>
  <si>
    <t>REH-MD01 - Wadi Yemm - Sea Town - Conflict in Beam Depth between old and new Design in Plot 1047</t>
  </si>
  <si>
    <t>REH-MD01-MDU-ST-OC-DAR-1047-SCR-000007</t>
  </si>
  <si>
    <t>REH-MD01 - Wadi Yemm - Sea Town - Removed Column at Plot 1047 Ground Floor</t>
  </si>
  <si>
    <t>REH-MD01-MDU-ST-OC-DAR-1029-SCR-000008</t>
  </si>
  <si>
    <t>REH-MD01-MDU-ST-OC-DAR-1026-SCR-000007</t>
  </si>
  <si>
    <t>REH-MD01 - Wadi Yemm - Sea Town - Conflict data in Stairs at plot 1026</t>
  </si>
  <si>
    <t>REH-MD01-MDU-ST-OC-DAR-1026-SCR-000008</t>
  </si>
  <si>
    <t>REH-MD01 - Wadi Yemm - Sea Town - Missing TYPE Planted Columns at plot 1026</t>
  </si>
  <si>
    <t>REH-MD01-MDU-ST-OC-DAR-XXXX-SCR-00004</t>
  </si>
  <si>
    <t>REH-MD01 - Wadi Yemm - Sea Town - General Details</t>
  </si>
  <si>
    <t>REH-MD01-MDU-ST-OC-DAR-1022-SCR-000004</t>
  </si>
  <si>
    <t>REH-MD01 - Wadi Yemm - Sea Town - Carifications at super plot 06</t>
  </si>
  <si>
    <t>REH-MD01-MDU-ST-OC-DAR-1036-SCR-000009</t>
  </si>
  <si>
    <t>REH-MD01 - Wadi Yemm - Sea Town - Missing Parts of the Basement 01 Floor Slab</t>
  </si>
  <si>
    <t>REH-MD01-MDU-ST-OC-DAR-1029-SCR-000009</t>
  </si>
  <si>
    <t>REH-MD01-RLA-ST-OC-DAR-1022-SCR-000005</t>
  </si>
  <si>
    <t>REH-MD01 - Wadi Yemm - Sea Town - Missing RWs type at super plot 06</t>
  </si>
  <si>
    <t>REH-MD01-MDU-ST-OC-DAR-1026-SCR-000009</t>
  </si>
  <si>
    <t>REH-MD01 - Wadi Yemm - Sea Town - Shifting Column at plot 1026</t>
  </si>
  <si>
    <t>REH-MD01-MDU-ST-OC-DAR-1024-SCR-000002</t>
  </si>
  <si>
    <t>REH-MD01 - Wadi Yemm - Sea Town - Stair starters, shafts contradictions &amp; toilet finishes - Plot 1024 - part 02</t>
  </si>
  <si>
    <t>REH-MD01-MDU-ST-OC-DAR-1036-SCR-000010</t>
  </si>
  <si>
    <t>REH-MD01 - Wadi Yemm - Sea Town - Resizing of Sump Pit 04- Part 03</t>
  </si>
  <si>
    <t>REH-MD01-MDU-ST-OC-DAR-1036-SCR-000011</t>
  </si>
  <si>
    <t>REH-MD01 - Wadi Yemm - Sea Town - Updated Column Layout Drawing of Plot 1036</t>
  </si>
  <si>
    <t>REH-MD01-MDU-ST-OC-DAR-1026-SCR-000010</t>
  </si>
  <si>
    <t>REH-MD01 - Wadi Yemm - Sea Town - Conflict Column at plot 1026</t>
  </si>
  <si>
    <t>REH-MD01-RLA-ST-OC-DAR-1022-SCR-000006</t>
  </si>
  <si>
    <t>REH-MD01-MDU-ST-OC-DAR-1024-SCR-000003</t>
  </si>
  <si>
    <t>REH-MD01 - Wadi Yemm - Sea Town - Stair starters, shafts &amp; Axis contradictions- Plot 1024 - part 06</t>
  </si>
  <si>
    <t>REH-MD01-MDU-ST-OC-DAR-1024-SCR-000004</t>
  </si>
  <si>
    <t>REH-MD01 - Wadi Yemm - Sea Town - Casted columns issue -Zone 10 - 1024</t>
  </si>
  <si>
    <t>REH-MD01-MDU-ST-OC-DAR-1047-SCR-000008</t>
  </si>
  <si>
    <t>REH-MD01 - Wadi Yemm - Sea Town - Casted columns issue - Models Inquiries in Plot 1047</t>
  </si>
  <si>
    <t>REH-MD01-MDU-ST-OC-DAR-1026-SCR-000011</t>
  </si>
  <si>
    <t>REH-MD01 - Wadi Yemm - Sea Town - Casted columns issue - Conflict planted Column at plot 1026</t>
  </si>
  <si>
    <t>REH-MD01-MDU-ST-OC-DAR-1026-SCR-000012</t>
  </si>
  <si>
    <t>REH-MD01 - Wadi Yemm - Sea Town - Casted columns issue - Conflict Expansion joint at plot 1026</t>
  </si>
  <si>
    <t>REH-MD01-MDU-ST-OC-DAR-1047-SCR-000009</t>
  </si>
  <si>
    <t>REH-MD01 - Wadi Yemm - Sea Town - Casted columns issue - Additional bar position Inquiries in Plot 1047</t>
  </si>
  <si>
    <t>REH-MD01-MDU-ST-OC-DAR-1024-SCR-000005</t>
  </si>
  <si>
    <t>REH-MD01 - Wadi Yemm - Sea Town - Casted columns issue - Stair general details- Plot 1024</t>
  </si>
  <si>
    <t>REH-MD01-MDU-ST-OC-DAR-1021-SCR-000005</t>
  </si>
  <si>
    <t>REH-MD01 - Wadi Yemm - Sea Town - Casted columns issue - (Missing columns data &amp; Conflict in plans - in Plot 1021)</t>
  </si>
  <si>
    <t>REH-MD01-MDU-ST-OC-DAR-1024-SCR-000006</t>
  </si>
  <si>
    <t>REH-MD01 - Wadi Yemm - Sea Town - Casted columns issue - Beams Levels contradictions with Slab Levels - Plot 1024</t>
  </si>
  <si>
    <t>REH-MD01-MDU-ST-OC-DAR-1029-SCR-000010</t>
  </si>
  <si>
    <t>REH-MD01 - Wadi Yemm - Sea Town - Casted columns issue - Super Plot 01 – Discrepancies and Missing Data</t>
  </si>
  <si>
    <t>REH-MD01-MDU-ST-OC-DAR-1029-SCR-000011</t>
  </si>
  <si>
    <t>REH-MD01 - Wadi Yemm - Sea Town - Casted columns issue - Super Plot 01 – Thickening line confirmation</t>
  </si>
  <si>
    <t>REH-MD01-MDU-ST-OC-DAR-1036-SCR-000012</t>
  </si>
  <si>
    <t>REH-MD01 - Wadi Yemm - Sea Town - Casted columns issue - Missing starter bars for ramps - Plot 1036</t>
  </si>
  <si>
    <t>REH-MD01-MDU-ST-OC-DAR-1036-SCR-000013</t>
  </si>
  <si>
    <t>REH-MD01 - Wadi Yemm - Sea Town - Casted columns issue - Missing shear wall type - Plot 1036</t>
  </si>
  <si>
    <t>REH-MD01-MDU-ST-OC-DAR-1044-SCR-000004</t>
  </si>
  <si>
    <t>REH-MD01 - Wadi Yemm - Sea Town - Casted columns issue - Missing Revit Model for Basement Detailed Design Package</t>
  </si>
  <si>
    <t>REH-MD01-MDU-ST-OC-DAR-1047-SCR-000010</t>
  </si>
  <si>
    <t>REH-MD01 - Wadi Yemm - Sea Town - Casted columns issue - Check of Tower crane mast opening through ground slab in Plot 1047.</t>
  </si>
  <si>
    <t>REH-MD01-MDU-ST-OC-DAR-1029-SCR-000012</t>
  </si>
  <si>
    <t>REH-MD01-MDU-ST-OC-DAR-1024-SCR-000007</t>
  </si>
  <si>
    <t>REH-MD01 - Wadi Yemm - Sea Town - Casted columns issue - Shafts contradictions- Plot 1024</t>
  </si>
  <si>
    <t>REH-MD01-RLA-ST-OC-DAR-1022-SCR-000007</t>
  </si>
  <si>
    <t>REH-RLA- Wadi Yemm - Sea Town - Casted columns issue - Clarification on RW-2 &amp; RW-3 Thickness and Section Details- SP-06</t>
  </si>
  <si>
    <t>REH-MD01-MDU-ST-OC-DAR-1021-SCR-000006</t>
  </si>
  <si>
    <t>REH-MDU- Wadi Yemm - Sea Town - Casted columns issue - Shafts discrepancies - Basement 01 - Plot 21</t>
  </si>
  <si>
    <t>REH-MD01-MDU-ST-OC-DAR-1036-SCR-000014</t>
  </si>
  <si>
    <t>REH-MDU- Wadi Yemm - Sea Town - Casted columns issue - Missing door openings exist in the RFT Details of all cores</t>
  </si>
  <si>
    <t>REH-MD01-MDU-ST-OC-DAR-1044-SCR-000005</t>
  </si>
  <si>
    <t>REH-MDU- Wadi Yemm - Sea Town - Casted columns issue - Discrepancies between the detailed design and the Revit model.</t>
  </si>
  <si>
    <t>REH-MD01-MDU-ST-OC-DAR-1036-SCR-000015</t>
  </si>
  <si>
    <t>REH-MDU- Wadi Yemm - Sea Town - Casted columns issue - Difference in beam model.</t>
  </si>
  <si>
    <t>REH-MD01-MDU-ST-OC-DAR-1036-SCR-000016</t>
  </si>
  <si>
    <t>REH-MDU- Wadi Yemm - Sea Town - Columns shape code</t>
  </si>
  <si>
    <t>REH-MD01-RLA-ST-OC-DAR-1022-SCR-000008</t>
  </si>
  <si>
    <t>OC-SCR-000016</t>
  </si>
  <si>
    <t>REH-RLA- Wadi Yemm - Sea Town - discrepancies between AXIS in the IFC and sketch 2 in scr 01</t>
  </si>
  <si>
    <t>REH-MD01-MDU-ST-OC-DAR-1036-SCR-000017</t>
  </si>
  <si>
    <t>REH-MDU- Wadi Yemm - Sea Town - Shear walls RFT Details</t>
  </si>
  <si>
    <t>REH-MD01-MDU-ST-OC-DAR-1036-SCR-000018</t>
  </si>
  <si>
    <t>REH-MDU- Wadi Yemm - Sea Town - level discrepancy between Beams &amp; Slab</t>
  </si>
  <si>
    <t>REH-MD01-MDU-ST-OC-DAR-1047-SCR-000011</t>
  </si>
  <si>
    <t>REH-MDU- Wadi Yemm - Sea Town - Plot 1047-Part 02- Modification depth of beams (GB09, GCA03&amp; GB15)at Ground floor:</t>
  </si>
  <si>
    <t>REH-MD01-MDU-ST-OC-DAR-1025-SCR-000007</t>
  </si>
  <si>
    <t>REH-MDU- Wadi Yemm - Sea Town - Clarification at ground floor plan – Plot 1025</t>
  </si>
  <si>
    <t>REH-MD01-MDU-ST-OC-DAR-1024-SCR-000008</t>
  </si>
  <si>
    <t>REH-MDU- Wadi Yemm - Sea Town - Missing Drawing and Conflicts in Ground Design - Plot 1024</t>
  </si>
  <si>
    <t>REH-MD01-MDU-ST-OC-DAR-1026-SCR-000013</t>
  </si>
  <si>
    <t>REH-MDU- Wadi Yemm - Sea Town - Conflict Beams of Ramp at plot 1026</t>
  </si>
  <si>
    <t>REH-MD01-MDU-ST-OC-DAR-1026-SCR-000014</t>
  </si>
  <si>
    <t>REH-MDU- Wadi Yemm - Sea Town - Missing TYPE Planted Columns at plot 1026</t>
  </si>
  <si>
    <t>REH-MD01-MDU-ST-OC-DAR-1026-SCR-000015</t>
  </si>
  <si>
    <t>REH-MDU- Wadi Yemm - Sea Town - Conflict in ramp location - plot 1026</t>
  </si>
  <si>
    <t>REH-MD01-MDU-ST-OC-DAR-1036-SCR-000019</t>
  </si>
  <si>
    <t>REH-MDU- Wadi Yemm - Sea Town - Retaining Walls RFT Details</t>
  </si>
  <si>
    <t>REH-MD01-MDU-ST-OC-DAR-1036-SCR-000020</t>
  </si>
  <si>
    <t>REH-MDU- Wadi Yemm - Sea Town - Difference in beam model.</t>
  </si>
  <si>
    <t>REH-MD01-MDU-ST-OC-DAR-1047-SCR-000012</t>
  </si>
  <si>
    <t>REH-MDU- Wadi Yemm - Plot 1047-Part 02- zone on grid (CZ, 200: 206) at Ground floor</t>
  </si>
  <si>
    <t>REH-MD01-MDU-ST-OC-DAR-XXXX-SCR-000005</t>
  </si>
  <si>
    <t>REH-MDU- Wadi Yemm - Clarification on Bitumen Protection Course Conflict</t>
  </si>
  <si>
    <t>REH-MD01-MDU-ST-OC-DAR-1036-SCR-000021</t>
  </si>
  <si>
    <t>REH-MDU- Wadi Yemm - SHEAR WALLS MISSING DETAILS</t>
  </si>
  <si>
    <t>REH-MD01-MDU-ST-OC-DAR-1024-SCR-000009</t>
  </si>
  <si>
    <t>REH-MDU- Wadi Yemm - Missing Drawing and Conflicts in Ground Design - Plot 1024</t>
  </si>
  <si>
    <t>REH-MD01-MDU-ST-OC-DAR-1029-SCR-000013</t>
  </si>
  <si>
    <t>REH-MDU- Wadi Yemm - Super Plot 01 – Discrepancies and Missing Data</t>
  </si>
  <si>
    <t>REH-MD01-MDU-ST-OC-DAR-1031-SCR-000001</t>
  </si>
  <si>
    <t>REH-MDU- Wadi Yemm - Missing &amp; Conflict data at SP02</t>
  </si>
  <si>
    <t>REH-MD01-MDU-ST-OC-DAR-1031-SCR-000002</t>
  </si>
  <si>
    <t>REH-MDU- Wadi Yemm - SP02 &amp; Sports Club Boundaries</t>
  </si>
  <si>
    <t>REH-MD01-MDU-ST-OC-DAR-1060-SCR-000002</t>
  </si>
  <si>
    <t>REH-MDU- Wadi Yemm - Discrepancy between the wall in foundation model &amp;basement model model</t>
  </si>
  <si>
    <t>REH-MD01-MDU-ST-OC-DAR-1060-SCR-000003</t>
  </si>
  <si>
    <t>REH-MDU- Wadi Yemm - DISCREPANCY BETWEEN MODEL &amp; IFC</t>
  </si>
  <si>
    <t>REH-MD01-MDU-ST-OC-DAR-1029-SCR-000014</t>
  </si>
  <si>
    <t>REH-MDU- Wadi Yemm - Super Plot 01 – Discrepancy in Column Dimensions Between Structural Plan and Column Schedule – Plot 1029</t>
  </si>
  <si>
    <t>REH-MD01-MDU-ST-OC-DAR-1024-SCR-000010</t>
  </si>
  <si>
    <t>REH-MDU- Wadi Yemm - Levels contradictions-Ground floor- Plot 1024</t>
  </si>
  <si>
    <t>REH-MD01-MDU-ST-OC-DAR-1026-SCR-000016</t>
  </si>
  <si>
    <t>REH-MDU- Wadi Yemm - Shafts contradictions- Plot 1026- basement 01</t>
  </si>
  <si>
    <t>REH-MD01-MDU-ST-OC-DAR-1060-SCR-000004</t>
  </si>
  <si>
    <t>REH-MDU- Wadi Yemm - missing data in IFC package sent 19/04/2026 at plot 1060</t>
  </si>
  <si>
    <t>REH-MD01-MDU-ST-OC-DAR-1060-SCR-000005</t>
  </si>
  <si>
    <t>REH-MDU- Wadi Yemm - conflicts in design package at plot 1060 between excavation plan and foundation plan</t>
  </si>
  <si>
    <t>REH-MD01-MDU-ST-OC-DAR-1024-SCR-000011</t>
  </si>
  <si>
    <t>REH-MDU- Wadi Yemm - Beam Levels contradictions-Ground floor- Plot 1024</t>
  </si>
  <si>
    <t>REH-MD01-MDU-ST-OC-DAR-1044-SCR-000006</t>
  </si>
  <si>
    <t>REH-MD01-ST-OC-DAR-1044-SCR-06</t>
  </si>
  <si>
    <t>REH-MDU- Wadi Yemm - Clarification For Beams Level and Elevation</t>
  </si>
  <si>
    <t>REH-MD01-MDU-ST-OC-DAR-1047-SCR-000013</t>
  </si>
  <si>
    <t>REH-MD01-ST-OC-DAR-1047-SCR-13</t>
  </si>
  <si>
    <t>REH-MDU- Wadi Yemm - Plot 1047-Ground floor Construction Joint in slab:</t>
  </si>
  <si>
    <t>REH-MD01-MDU-ST-OC-DAR-1043-SCR-000001</t>
  </si>
  <si>
    <t>REH-MD01-ST-OC-DAR-1043-SCR-01</t>
  </si>
  <si>
    <t>REH-MDU- Wadi Yemm - Light house - discrepancy beteen concrete Dimensions and RFT section</t>
  </si>
  <si>
    <t>REH-MD01-MDU-ST-OC-DAR-1043-SCR-000002</t>
  </si>
  <si>
    <t>REH-MD01-ST-OC-DAR-1043-SCR-02</t>
  </si>
  <si>
    <t>REH-MDU- Wadi Yemm - Light house - foundation Missing Levels</t>
  </si>
  <si>
    <t>REH-MD01-MDU-ST-OC-DAR-1043-SCR-000003</t>
  </si>
  <si>
    <t>REH-MD01-ST-OC-DAR-1043-SCR-03</t>
  </si>
  <si>
    <t>REH-MDU- Wadi Yemm - Light house -Column Location Conflict with Raft</t>
  </si>
  <si>
    <t>REH-MD01-MDU-ST-OC-DAR-1043-SCR-000004</t>
  </si>
  <si>
    <t>REH-MD01-ST-OC-DAR-1043-SCR-04</t>
  </si>
  <si>
    <t>REH-MDU- Wadi Yemm - Light house - Missing Walls in Foundation &amp; Reinforcement Drawings</t>
  </si>
  <si>
    <t>REH-MD01-MDU-ST-OC-DAR-1026-SCR-000017</t>
  </si>
  <si>
    <t>REH-MD01-ST-OC-DAR-1026-SCR-17</t>
  </si>
  <si>
    <t>REH-MDU- Wadi Yemm - Stair 05 &amp; Ramp combined beams - Basement 01 &amp; Ground floor - Plot 1026</t>
  </si>
  <si>
    <t>REH-MD01-MDU-ST-OC-DAR-1029-SCR-000015</t>
  </si>
  <si>
    <t>REH-MD01-ST-OC-DAR-1029-SCR-15</t>
  </si>
  <si>
    <t>REH-MD01-MDU-ST-OC-DAR-1029-SCR-000016</t>
  </si>
  <si>
    <t>REH-MDU-ST-OC-DAR-1029-SCR-16</t>
  </si>
  <si>
    <t>REH-MDU- Wadi Yemm - Super Plot 01 – Super Plot 01 – Sump inside Elevator Pit</t>
  </si>
  <si>
    <t>REH-MD01-MDU-ST-OC-DAR-1044-SCR-000007</t>
  </si>
  <si>
    <t>REH-MD01-ST-OC-DAR-1044-SCR-07</t>
  </si>
  <si>
    <t>REH-MDU- Wadi Yemm - Clarification For Attic Slab &amp; slab level</t>
  </si>
  <si>
    <t>REH-MD01-MDU-ST-OC-DAR-1044-SCR-000008</t>
  </si>
  <si>
    <t>REH-MD01-ST-OC-DAR-1044-SCR-08</t>
  </si>
  <si>
    <t>REH-MDU- Wadi Yemm - Clarification For Missing Top of wall level and Missing Beams Type</t>
  </si>
  <si>
    <t>REH-MD01-MDU-ST-OC-Hil-1021-SCR-000001</t>
  </si>
  <si>
    <t>REH-MD01-ST-OC-Hil-1021-SCR-01</t>
  </si>
  <si>
    <t>REH-MDU- Wadi Yemm - Slab discrepancies - Basement 01 - Plot 1021</t>
  </si>
  <si>
    <t>REH-MD01-MDU-ST-OC-Hil-1024-SCR-000001</t>
  </si>
  <si>
    <t>REH-MD01-ST-OC-Hil-1024-SCR-01</t>
  </si>
  <si>
    <t>REH-MDU- Wadi Yemm - Missing Thickness -Ground floor- Plot 1024</t>
  </si>
  <si>
    <t>REH-MD01-MDU-ST-OC-Hil-1026-SCR-000001</t>
  </si>
  <si>
    <t>REH-MDU- Wadi Yemm - Beam Positioning Clarification</t>
  </si>
  <si>
    <t>REH-MD01-MDU-ST-OC-Hil-1026-SCR-000002</t>
  </si>
  <si>
    <t>REH-MD01-ST-OC-Hil-1026-SCR-02</t>
  </si>
  <si>
    <t>REH-MD01-MDU-ST-OC-Hil-1028-SCR-000001</t>
  </si>
  <si>
    <t>REH-MD01-ST-OC-Hil-1028-SCR-01</t>
  </si>
  <si>
    <t>REH-MDU- Wadi Yemm - Missing Columns type – Plot 1028- Part 2</t>
  </si>
  <si>
    <t>REH-MD01-MDU-ST-OC-Hil-1028-SCR-000002</t>
  </si>
  <si>
    <t>REH-MDU- Wadi Yemm - Stair 5 Upstand Height Clarification– Plot 1028- Part 3</t>
  </si>
  <si>
    <t>REH-MD01-MDU-ST-OC-Hil-1028-SCR-000003</t>
  </si>
  <si>
    <t>REH-MD01-ST-OC-Hil-1028-SCR-03</t>
  </si>
  <si>
    <t>REH-MDU- Wadi Yemm - CLARIFICATION FOR CORRUPTED REVIT FILE</t>
  </si>
  <si>
    <t>REH-MD01-MDU-ST-OC-Hil-1029-SCR-000001</t>
  </si>
  <si>
    <t>REH-MD01-ST-OC-Hil-1029-SCR-01</t>
  </si>
  <si>
    <t>REH-MD01-MDU-ST-OC-Hil-1029-SCR-000002</t>
  </si>
  <si>
    <t>REH-MD01-ST-OC-Hil-1029-SCR-02</t>
  </si>
  <si>
    <t>REH-MD01-MDU-ST-OC-Hil-1044-SCR-000001</t>
  </si>
  <si>
    <t>REH-MD01-ST-OC-Hil-1044-SCR-01</t>
  </si>
  <si>
    <t>REH-MDU- Wadi Yemm - Clarification For Punching Details and additional Reinforcement</t>
  </si>
  <si>
    <t>REH-MD01-MDU-ST-OC-Hil-1044-SCR-000002</t>
  </si>
  <si>
    <t>REH-MD01-ST-OC-Hil-1044-SCR-02</t>
  </si>
  <si>
    <t>REH-MDU- Wadi Yemm - Discrepancy in Wall Thickness (W2)</t>
  </si>
  <si>
    <t>REH-MD01-MDU-ST-OC-Hil-1060-SCR-000001</t>
  </si>
  <si>
    <t>REH-MD01-ST-OC-Hil-1060-SCR-01</t>
  </si>
  <si>
    <t>REH-MDU- Wadi Yemm - CLARIFICATION FOR EXPANTION LOCATION IN RETAINNG WALL</t>
  </si>
  <si>
    <t>REH-MD01-MDU-ST-OC-Hil-1060-SCR-000002</t>
  </si>
  <si>
    <t>OC-SCR-000017</t>
  </si>
  <si>
    <t>REH-MDU- Wadi Yemm - CLARIFICATION FOR FOUNDATION THK. UNDER PITS</t>
  </si>
  <si>
    <t>REH-MD01-MDU-ST-OC-Hil-1025-SCR-000001</t>
  </si>
  <si>
    <t>REH-MD01-ST-OC-Hil-1025-SCR-01</t>
  </si>
  <si>
    <t>REH-MDU- Wadi Yemm - Clarification at ground floor plan (2) – Plot 1025</t>
  </si>
  <si>
    <t>REH-MD01-MDU-ST-OC-Hil-1029-SCR-000003</t>
  </si>
  <si>
    <t>REH-MD01-ST-OC-Hil-1029-SCR-03</t>
  </si>
  <si>
    <t>REH-MD01-MDU-ST-OC-Hil-1047-SCR-000001</t>
  </si>
  <si>
    <t>REH-MD01-ST-OC-Hil-1047-SCR-01</t>
  </si>
  <si>
    <t>REH-MDU- Wadi Yemm - Plot 1047- Inquiry of TOC levels of the retaining wall behind axis (222), and bet. (CG, and CZ).</t>
  </si>
  <si>
    <t>REH-MD01-MDU-ST-OC-Hil-1060-SCR-000003</t>
  </si>
  <si>
    <t>REH-MD01-ST-OC-Hil-1060-SCR-03</t>
  </si>
  <si>
    <t>REH-MDU- Wadi Yemm - Missing data in the IFC. Package</t>
  </si>
  <si>
    <t>REH-MD01-MDU-ST-OC-Hil-1060-SCR-000004</t>
  </si>
  <si>
    <t>REH-MD01-ST-OC-Hil-1060-SCR-04</t>
  </si>
  <si>
    <t>REH-MDU- Wadi Yemm - DESCREPANCY BETWEEN MODELS</t>
  </si>
  <si>
    <t>REH-MD01-MDU-ST-OC-Hil-1026-SCR-000003</t>
  </si>
  <si>
    <t>OC-SCR-000018</t>
  </si>
  <si>
    <t>REH-MDU- Wadi Yemm - Plot 1026 - Discrepancies in Ground Floor</t>
  </si>
  <si>
    <t>REH-MD01-MDU-ST-OC-Hil-1024-SCR-000002</t>
  </si>
  <si>
    <t>REH-MD01-ST-OC-Hil-1024-SCR-02</t>
  </si>
  <si>
    <t>REH-MDU- Wadi Yemm - Clarification For Stair case support</t>
  </si>
  <si>
    <t>REH-MD01-MDU-ST-OC-Hil-1028-SCR-000004</t>
  </si>
  <si>
    <t>REH-MD01-ST-OC-Hil-1028-SCR-04</t>
  </si>
  <si>
    <t>REH-MDU- Wadi Yemm - [P_1028] Shaft Size &amp; Location Clashes Between Mechanical, Architectural, and Structural Drawings</t>
  </si>
  <si>
    <t>REH-MD01-MDU-ST-OC-Hil-1036-SCR-000001</t>
  </si>
  <si>
    <t>REH-MD01-ST-OC-Hil-1036-SCR-01</t>
  </si>
  <si>
    <t>REH-MDU- Wadi Yemm - Missing Parts of the Ground Floor Slab.</t>
  </si>
  <si>
    <t>REH-MD01-MDU-ST-OC-Hil-1036-SCR-000002</t>
  </si>
  <si>
    <t>REH-MD01-ST-OC-Hil-1036-SCR-02</t>
  </si>
  <si>
    <t>REH-MD01-MDU-ST-OC-Hil-1036-SCR-000003</t>
  </si>
  <si>
    <t>REH-MD01-ST-OC-Hil-1036-SCR-03</t>
  </si>
  <si>
    <t>REH-MDU- Wadi Yemm - Missing Parts of the Ground Floor Sla</t>
  </si>
  <si>
    <t>REH-MD01-MDU-ST-OC-Hil-1021-SCR-000002</t>
  </si>
  <si>
    <t>REH-MD01-ST-OC-Hil-1021-SCR-02</t>
  </si>
  <si>
    <t>REH-MDU- Wadi Yemm - Basement 01 levels.</t>
  </si>
  <si>
    <t>REH-MD01-MDU-ST-OC-Hil-1021-SCR-000003</t>
  </si>
  <si>
    <t>REH-MD01-ST-OC-Hil-1021-SCR-03</t>
  </si>
  <si>
    <t>REH-MDU- Wadi Yemm - discrepancies in RW &amp; Slab - Basement 01 - Plot 1021</t>
  </si>
  <si>
    <t>REH-MD01-MDU-ST-OC-Hil-1026-SCR-000004</t>
  </si>
  <si>
    <t>REH-MD01-ST-OC-Hil-1026-SCR-04</t>
  </si>
  <si>
    <t>REH-MDU- Wadi Yemm - Plot 1026 - Combined beams of Ramp from Basement 01 to Ground floor.</t>
  </si>
  <si>
    <t>REH-MD01-MDU-ST-OC-Hil-1026-SCR-000005</t>
  </si>
  <si>
    <t>REH-MD01-ST-OC-Hil-1026-SCR-05</t>
  </si>
  <si>
    <t>REH-MDU- Wadi Yemm - Openning and missing columns</t>
  </si>
  <si>
    <t>REH-MD01-MDU-ST-OC-Hil-1026-SCR-000006</t>
  </si>
  <si>
    <t>OC-SCR-000098</t>
  </si>
  <si>
    <t>REH-MDU- Wadi Yemm - Shafts contradictions- Plot 1026- at Ground floor</t>
  </si>
  <si>
    <t>REH-MD01-MDU-ST-OC-Hil-1029-SCR-000004</t>
  </si>
  <si>
    <t>REH-MD01-ST-OC-Hil-1029-SCR-04</t>
  </si>
  <si>
    <t>REH-MDU- Wadi Yemm - Missing Column Details</t>
  </si>
  <si>
    <t>REH-MD01-MDU-ST-OC-Hil-1031-SCR-000001</t>
  </si>
  <si>
    <t>REH-MD01-ST-OC-Hil-1031-SCR-01</t>
  </si>
  <si>
    <t>REH-MDU- Wadi Yemm - Discrepancies in columns,cores,stairs starters and axis -1032&amp;1033 B2 plan- SP02</t>
  </si>
  <si>
    <t>REH-MD01-MDU-ST-OC-Hil-1036-SCR-000004</t>
  </si>
  <si>
    <t>REH-MD01-ST-OC-Hil-1036-SCR-04</t>
  </si>
  <si>
    <t>REH-MDU- Wadi Yemm - Conflict between special conditions and general notes on IFC for concrete compressive strength for different elements.</t>
  </si>
  <si>
    <t>REH-MD01-MDU-ST-OC-Hil-1043-SCR-000001</t>
  </si>
  <si>
    <t>REH-MD01-ST-OC-Hil-1043-SCR-01</t>
  </si>
  <si>
    <t>REH-MDU- Wadi Yemm - Light house - Missing Stair Starter Location</t>
  </si>
  <si>
    <t>REH-MD01-MDU-ST-OC-Hil-1043-SCR-000002</t>
  </si>
  <si>
    <t>REH-MD01-ST-OC-Hil-1043-SCR-02</t>
  </si>
  <si>
    <t>REH-MDU- Wadi Yemm - Light house - core concrete dimensions discrepancy</t>
  </si>
  <si>
    <t>REH-MD01-MDU-ST-OC-Hil-1044-SCR-000003</t>
  </si>
  <si>
    <t>REH-MD01-ST-OC-Hil-1044-SCR-03</t>
  </si>
  <si>
    <t>REH-MDU- Wadi Yemm - Ramp Type, Support Condition &amp; Slope Discrepancy</t>
  </si>
  <si>
    <t>REH-MD01-MDU-ST-OC-Hil-XXXX-SCR-000001</t>
  </si>
  <si>
    <t>REH-MD01-ST-OC-Hil-XXXX-SCR-01</t>
  </si>
  <si>
    <t>REH-MDU- Wadi Yemm - Proposal For Links in Punshing Details Ground floor- Plot 1024,1026</t>
  </si>
  <si>
    <t>REH-MD01-MDU-ST-OC-Hil-1036-SCR-000005</t>
  </si>
  <si>
    <t>REH-MD01-ST-OC-Hil-1036-SCR-05</t>
  </si>
  <si>
    <t>REH-MDU- Wadi Yemm - Clarification Request Regarding Missing TOC Elevation for the footing marked with a revision cloud</t>
  </si>
  <si>
    <t>REH-MD01-MDU-ST-OC-Hil-1047-SCR-000002</t>
  </si>
  <si>
    <t>REH-MD01-ST-OC-Hil-1047-SCR-02</t>
  </si>
  <si>
    <t>REH-MDU- Wadi Yemm - Plot 1047- Inquiry of unify of the Bottom levels of part of slabs in 1st, and 2nd Floors.</t>
  </si>
  <si>
    <t>REH-MD01-MDU-ST-OC-Hil-1027-SCR-000001</t>
  </si>
  <si>
    <t>REH-MD01-ST-OC-Hil-1027-SCR-01</t>
  </si>
  <si>
    <t>REH-MDU- Wadi Yemm - Fortaleza - Discrepancy at Foundation</t>
  </si>
  <si>
    <t>REH-MD01-MDU-ST-OC-Hil-1036-SCR-000006</t>
  </si>
  <si>
    <t>REH-MD01-ST-OC-Hil-1036-SCR-06</t>
  </si>
  <si>
    <t>REH-MDU- Wadi Yemm - Fortaleza - Clarification Request Regarding Conflict for Ramp Slab Thickness in Drawings as marked with arevision cloud.</t>
  </si>
  <si>
    <t>REH-MD01-MDU-ST-OC-Hil-1043-SCR-000003</t>
  </si>
  <si>
    <t>REH-MD01-ST-OC-Hil-1043-SCR-03</t>
  </si>
  <si>
    <t>REH-MDU- Wadi Yemm - Light house - Columns and Axes conflicts</t>
  </si>
  <si>
    <t>REH-MD01-MDU-ST-OC-Hil-1022-SCR-000001</t>
  </si>
  <si>
    <t>REH-MD01-ST-OC-Hil-1022-SCR-01</t>
  </si>
  <si>
    <t>REH-MDU - Wadi Yemm - Carifications at super plot 06</t>
  </si>
  <si>
    <t>REH-MD01-MDU-ST-OC-Hil-1024-SCR-000003</t>
  </si>
  <si>
    <t>REH-MD01-ST-OC-Hil-1024-SCR-03</t>
  </si>
  <si>
    <t>REH-MDU- Wadi Yemm - Slab discrepancies - Ground Floor - Plot 1024</t>
  </si>
  <si>
    <t>REH-MD01-MDU-ST-OC-Hil-1036-SCR-000007</t>
  </si>
  <si>
    <t>REH-MD01-ST-OC-Hil-1036-SCR-07</t>
  </si>
  <si>
    <t>REH-MDU- Wadi Yemm - Clarification Request Regarding Missing Planted Column Type in Drawings as marked with arevision cloud.</t>
  </si>
  <si>
    <t>REH-MD01-MDU-ST-OC-Hil-1036-SCR-000008</t>
  </si>
  <si>
    <t>REH-MD01-ST-OC-Hil-1036-SCR-08</t>
  </si>
  <si>
    <t>REH-MDU- Wadi Yemm - STR-MEP coordination</t>
  </si>
  <si>
    <t>REH-MD01-MDU-ST-OC-Hil-1043-SCR-000004</t>
  </si>
  <si>
    <t>REH-MD01-ST-OC-Hil-1043-SCR-04</t>
  </si>
  <si>
    <t>REH-MDU- Wadi Yemm - Light house - architectural and structural drawing conflict</t>
  </si>
  <si>
    <t>REH-MD01-MDU-ST-OC-Hil-1060-SCR-000005</t>
  </si>
  <si>
    <t>REH-MD01-ST-OC-Hil-1060-SCR-05</t>
  </si>
  <si>
    <t>REH-MDU- Wadi Yemm - DESCREPANCY BETWEEN MODEL &amp; IFC DRAWINGS</t>
  </si>
  <si>
    <t>REH-MD01-MDU-ST-OC-Hil-1024-SCR-000004</t>
  </si>
  <si>
    <t>OC-SCR-000020</t>
  </si>
  <si>
    <t>REH-MDU- Wadi Yemm - Clarification For Stairs missing data</t>
  </si>
  <si>
    <t>REH-MD01-MDU-ST-OC-Hil-1029-SCR-000005</t>
  </si>
  <si>
    <t>REH-MD01-ST-OC-Hil-1029-SCR-05</t>
  </si>
  <si>
    <t>REH-MDU- Wadi Yemm - Super Plot 01 – Clarification Request Regarding Missing T.O.C. for Columns in Drawings as marked with a revision cloud.</t>
  </si>
  <si>
    <t>REH-MD01-MDU-ST-OC-Hil-1036-SCR-000009</t>
  </si>
  <si>
    <t>REH-MD01-ST-OC-Hil-1036-SCR-09</t>
  </si>
  <si>
    <t>REH-MD01-MDU-ST-OC-Hil-1036-SCR-000010</t>
  </si>
  <si>
    <t>REH-MD01-ST-OC-Hil-1036-SCR-10</t>
  </si>
  <si>
    <t>REH-MDU- Wadi Yemm - Clarification Request Regarding Your Reply S.C.R. (REH-MD01-MDU-ST-OC-Hil-1036-SCR-000002-00)</t>
  </si>
  <si>
    <t>REH-MD01-MDU-ST-OC-Hil-1036-SCR-000011</t>
  </si>
  <si>
    <t>REH-MD01-ST-OC-Hil-1036-SCR-11</t>
  </si>
  <si>
    <t>REH-MDU- Wadi Yemm -Change of Beam (GB 07) on Ground Floor at Zone 05 - Plot 1036</t>
  </si>
  <si>
    <t>REH-MD01-MDU-ST-OC-Hil-1024-SCR-000005</t>
  </si>
  <si>
    <t>REH-MD01-ST-OC-Hil-1024-SCR-05</t>
  </si>
  <si>
    <t>REH-MDU- Wadi Yemm - Columns shifting as per site condition - Ground floor- Plot 1024</t>
  </si>
  <si>
    <t>REH-MD01-MDU-ST-OC-Hil-1029-SCR-000007</t>
  </si>
  <si>
    <t>REH-MD01-ST-OC-Hil-1029-SCR-07</t>
  </si>
  <si>
    <t>REH-MDU- Wadi Yemm - Super Plot 01 – Missing Raft Level</t>
  </si>
  <si>
    <t>REH-MD01-MDU-ST-OC-Hil-1029-SCR-000006</t>
  </si>
  <si>
    <t>REH-MD01-ST-OC-Hil-1029-SCR-06</t>
  </si>
  <si>
    <t>REH-MDU- Wadi Yemm - slab boundaries are not coordinated with the columns or beams. please check and confirm</t>
  </si>
  <si>
    <t>REH-MD01-MDU-ST-OC-Hil-1029-SCR-000008</t>
  </si>
  <si>
    <t>REH-MD01-ST-OC-Hil-1029-SCR-08</t>
  </si>
  <si>
    <t>REH-MDU- Wadi Yemm -Super Plot 01 – plot 1029 – Clarification Request Regarding Double Height Columns in Drawings as marked with a revision cloud.</t>
  </si>
  <si>
    <t>REH-MD01-MDU-ST-OC-Hil-1044-SCR-000004</t>
  </si>
  <si>
    <t>REH-MD01-ST-OC-Hil-1044-SCR-04</t>
  </si>
  <si>
    <t>REH-MDU- Wadi Yemm - Clarification For Stair Details</t>
  </si>
  <si>
    <t>REH-MD01-MDU-ST-OC-Hil-1029-SCR-000009</t>
  </si>
  <si>
    <t>REH-MD01-ST-OC-Hil-1029-SCR-09</t>
  </si>
  <si>
    <t>REH-MDU- Wadi Yemm - Clarification For Stair DetailsSuper Plot 01 – Discrepancy in Column Dimensions</t>
  </si>
  <si>
    <t>REH-MD01-MDU-ST-OC-Hil-1029-SCR-000010</t>
  </si>
  <si>
    <t>REH-MD01-ST-OC-Hil-1029-SCR-10</t>
  </si>
  <si>
    <t>REH-MDU- Wadi Yemm - Clarification Request Regarding Missing Column Information at Lower Ground Level</t>
  </si>
  <si>
    <t>REH-MD01-MDU-ST-OC-Hil-1060-SCR-000006</t>
  </si>
  <si>
    <t>REH-MD01-ST-OC-Hil-1060-SCR-06</t>
  </si>
  <si>
    <t>REH-MDU- Wadi Yemm - DESCREPANCY BETWEEN IFC MODELS &amp; CLASHES BETWEEN ELEMENTS</t>
  </si>
  <si>
    <t>REH-MD01-MDU-ST-OC-Hil-1060-SCR-000007</t>
  </si>
  <si>
    <t>REH-MD01-ST-OC-Hil-1060-SCR-07</t>
  </si>
  <si>
    <t>REH-MDU- Wadi Yemm - DESCREPANCY BETWEEN STR.&amp; ARCH. MODELS</t>
  </si>
  <si>
    <t>REH-MD01-MDU-ST-OC-Hil-1060-SCR-000008</t>
  </si>
  <si>
    <t>REH-MD01-ST-OC-Hil-1060-SCR-08</t>
  </si>
  <si>
    <t>REH-MD01-MDU-ST-OC-Hil-XXXX-SCR-000002</t>
  </si>
  <si>
    <t>REH-MD01-ST-OC-Hil-XXXX-SCR-02</t>
  </si>
  <si>
    <t>REH-MDU- Wadi Yemm - Conflict in concrete compressive strength between the specifications and the general notes on the IFC drawings</t>
  </si>
  <si>
    <t>REH-MD01-MDU-ST-OC-Hil-1022-SCR-000002</t>
  </si>
  <si>
    <t>OC-SCR-000027</t>
  </si>
  <si>
    <t>REH-MDU- Wadi Yemm - Clarifications at super plot 06-plot 1022- Ground Floor</t>
  </si>
  <si>
    <t>REH-MD01-MDU-ST-OC-Hil-1036-SCR-000012</t>
  </si>
  <si>
    <t>OC-SCR-000028</t>
  </si>
  <si>
    <t>REH-MDU- Wadi Yemm - Proposed detail for the ended columns with slab for your approval.</t>
  </si>
  <si>
    <t>REH-MD01-MDU-ST-OC-Hil-1036-SCR-000013</t>
  </si>
  <si>
    <t>OC-SCR-000029</t>
  </si>
  <si>
    <t>REH-MDU- Wadi Yemm - New IFC design package (HillInt-TRANSMIT-001143)&amp; according to the current site stiuation</t>
  </si>
  <si>
    <t>REH-MD01-MDU-ST-OC-Hil-1036-SCR-000014</t>
  </si>
  <si>
    <t>OC-SCR-000031</t>
  </si>
  <si>
    <t>REH-MDU- Wadi Yemm -Clarification Request Regarding Discrepancy Between Longitudinal Bars and Shape Code for Column Type C55</t>
  </si>
  <si>
    <t>REH-MD01-MDU-ST-OC-Hil-1036-SCR-000015</t>
  </si>
  <si>
    <t>OC-SCR-000033</t>
  </si>
  <si>
    <t>REH-MDU- Wadi Yemm - Plot-1036 Mising column</t>
  </si>
  <si>
    <t>REH-MD01-MDU-ST-OC-Hil-1022-SCR-000003</t>
  </si>
  <si>
    <t>OC-SCR-000030</t>
  </si>
  <si>
    <t>REH-MD01-MDU-ST-OC-Hil-1060-SCR-000009</t>
  </si>
  <si>
    <t>OC-SCR-000032</t>
  </si>
  <si>
    <t>REH-MDU- Wadi Yemm - Conflicts in the IFC. Package</t>
  </si>
  <si>
    <t>REH-MD01-MDU-ST-OC-Hil-1027-SCR-000002</t>
  </si>
  <si>
    <t>OC-SCR-000035</t>
  </si>
  <si>
    <t>REH-MDU- Wadi Yemm - Fortaleza - Sump Level Clarification</t>
  </si>
  <si>
    <t>REH-MD01-MDU-ST-OC-Hil-1022-SCR-000004</t>
  </si>
  <si>
    <t>OC-SCR-000039</t>
  </si>
  <si>
    <t>REH-MD01-MDU-ST-OC-Hil-1025-SCR-000002</t>
  </si>
  <si>
    <t>OC-SCR-000040</t>
  </si>
  <si>
    <t>REH-MDU- Wadi Yemm - proposal for the slab level difference detail – Plot 1025</t>
  </si>
  <si>
    <t>REH-MD01-MDU-ST-OC-Hil-1047-SCR-000003</t>
  </si>
  <si>
    <t>OC-SCR-000041</t>
  </si>
  <si>
    <t>REH-MDU- Wadi Yemm - Plot 1047- Modification of the position on beam no. (FB97) in First Floors.</t>
  </si>
  <si>
    <t>REH-MD01-MDU-ST-OC-Hil-1060-SCR-000010</t>
  </si>
  <si>
    <t>OC-SCR-000042</t>
  </si>
  <si>
    <t>REH-MDU- Wadi Yemm - DESCREPANCY BETWEEN STR.MODEL &amp; IFC PACKAGE</t>
  </si>
  <si>
    <t>REH-MD01-MDU-ST-OC-Hil-1060-SCR-000011</t>
  </si>
  <si>
    <t>OC-SCR-000043</t>
  </si>
  <si>
    <t>REH-MD01-MDU-ST-OC-Hil-1031-SCR-000002</t>
  </si>
  <si>
    <t>OC-SCR-000044</t>
  </si>
  <si>
    <t>REH-MDU- Wadi Yemm - Discrepancies in (Columns &amp; axes plan &amp; RC Plan)</t>
  </si>
  <si>
    <t>REH-MD01-MDU-ST-OC-Hil-1036-SCR-000016</t>
  </si>
  <si>
    <t>OC-SCR-000045</t>
  </si>
  <si>
    <t>REH-MDU- Wadi Yemm - Plot-1036 START LEVEL OF ATTACHED PLANTED COLUMNS</t>
  </si>
  <si>
    <t>REH-MD01-MDU-ST-OC-Hil-1022-SCR-000005</t>
  </si>
  <si>
    <t>OC-SCR-000046</t>
  </si>
  <si>
    <t>REH-MD01-MDU-ST-OC-Hil-1022-SCR-000006</t>
  </si>
  <si>
    <t>OC-SCR-000047</t>
  </si>
  <si>
    <t>REH-MD01-MDU-ST-OC-Hil-1044-SCR-000005</t>
  </si>
  <si>
    <t>OC-SCR-000049</t>
  </si>
  <si>
    <t>REH-MDU - Wadi Yemm - Clarification For Ballanced Tank Details</t>
  </si>
  <si>
    <t>REH-MD01-MDU-ST-OC-Hil-1043-SCR-000005</t>
  </si>
  <si>
    <t>OC-SCR-000048</t>
  </si>
  <si>
    <t>REH-MDU - Wadi Yemm - Light house - columns location conflict with raft and RW</t>
  </si>
  <si>
    <t>REH-MD01-MDU-ST-OC-Hil-1036-SCR-000017</t>
  </si>
  <si>
    <t>OC-SCR-000054</t>
  </si>
  <si>
    <t>REH-MDU - Wadi Yemm - Light house - Conflict between columns reinforcement schedule and IFC structure plans &amp;revit model for columns dimension .</t>
  </si>
  <si>
    <t>REH-MD01-MDU-ST-OC-Hil-1024-SCR-000006</t>
  </si>
  <si>
    <t>OC-SCR-000053</t>
  </si>
  <si>
    <t>REH-MDU - Wadi Yemm - Conflict in Beams and Slabs levels in Ground floor- Plot 1024</t>
  </si>
  <si>
    <t>REH-MD01-MDU-ST-OC-Hil-1021-SCR-000004</t>
  </si>
  <si>
    <t>OC-SCR-000052</t>
  </si>
  <si>
    <t>REH-MDU - Wadi Yemm - Missing Planted column Details - Plot 1021</t>
  </si>
  <si>
    <t>REH-MD01-MDU-ST-OC-Hil-1036-SCR-000018</t>
  </si>
  <si>
    <t>OC-SCR-000055</t>
  </si>
  <si>
    <t>REH-MDU - Wadi Yemm - Clarification Request Regarding Missing Reinforcement Slab for in Drawings as marked with arevision cloud.</t>
  </si>
  <si>
    <t>REH-MD01-MDU-ST-OC-Hil-1028-SCR-000005</t>
  </si>
  <si>
    <t>OC-SCR-000056</t>
  </si>
  <si>
    <t>REH-MDU - Wadi Yemm - Missing roof slab over staircase(5) Dimensions and Reinforcement Details– Plot 1028- Part 3</t>
  </si>
  <si>
    <t>REH-MD01-MDU-ST-OC-Hil-1029-SCR-000011</t>
  </si>
  <si>
    <t>OC-SCR-000057</t>
  </si>
  <si>
    <t>REH-MDU - Wadi Yemm - Request for Clarification: Exact Lengths and T.O.C. for Indicated Walls</t>
  </si>
  <si>
    <t>REH-MD01-MDU-ST-OC-Hil-1021-SCR-000005</t>
  </si>
  <si>
    <t>OC-SCR-000062</t>
  </si>
  <si>
    <t>REH-MDU - Wadi Yemm - Plot 1021 - Missing parts of Ground Floor plans</t>
  </si>
  <si>
    <t>REH-MD01-MDU-ST-OC-Hil-1022-SCR-000007</t>
  </si>
  <si>
    <t>OC-SCR-000063</t>
  </si>
  <si>
    <t>REH-MD01-MDU-ST-OC-Hil-1022-SCR-000008</t>
  </si>
  <si>
    <t>OC-SCR-000064</t>
  </si>
  <si>
    <t>REH-MD01-MDU-ST-OC-Hil-1023-SCR-000001</t>
  </si>
  <si>
    <t>OC-SCR-000065</t>
  </si>
  <si>
    <t>REH-MDU - Wadi Yemm - Plot 1023 - Foundation plan discrepancies</t>
  </si>
  <si>
    <t>REH-MD01-MDU-ST-OC-Hil-1036-SCR-000019</t>
  </si>
  <si>
    <t>OC-SCR-000066</t>
  </si>
  <si>
    <t>REH-MDU - Wadi Yemm - MISSING UPDATED DRAWINGS AND SCEDULES</t>
  </si>
  <si>
    <t>REH-MD01-MDU-ST-OC-Hil-1036-SCR-000020</t>
  </si>
  <si>
    <t>OC-SCR-000067</t>
  </si>
  <si>
    <t>REH-MDU - Wadi Yemm - Conflict of beams and connected slabs.</t>
  </si>
  <si>
    <t>REH-MD01-MDU-ST-OC-Hil-1028-SCR-000006</t>
  </si>
  <si>
    <t>OC-SCR-000071</t>
  </si>
  <si>
    <t>REH-MDU - Wadi Yemm - 1028 - Part1-Stair 1&amp;2 - finishes &amp; beams levels</t>
  </si>
  <si>
    <t>REH-MD01-MDU-ST-OC-Hil-1028-SCR-000007</t>
  </si>
  <si>
    <t>OC-SCR-000072</t>
  </si>
  <si>
    <t>REH-MDU - Wadi Yemm - 1028 - Ground floor Level - Swimming Pools,Fountain,Stairs and ramps on the ground.</t>
  </si>
  <si>
    <t>REH-MD01-MDU-ST-OC-Hil-1028-SCR-000008</t>
  </si>
  <si>
    <t>OC-SCR-000073</t>
  </si>
  <si>
    <t>REH-MDU - Wadi Yemm - 1028 - Ground floor Level -barrier wall for the ramp slab.</t>
  </si>
  <si>
    <t>REH-MD01-MDU-ST-OC-Hil-1029-SCR-000012</t>
  </si>
  <si>
    <t>OC-SCR-000074</t>
  </si>
  <si>
    <t>REH-MDU - Wadi Yemm - Super Plot 01 - Raft Thickening</t>
  </si>
  <si>
    <t>REH-MD01-MDU-ST-OC-Hil-1041-SCR-000001</t>
  </si>
  <si>
    <t>OC-SCR-000075</t>
  </si>
  <si>
    <t>REH-MDU - Wadi Yemm - Amphitheatre 1041 – Excavation Recommendation</t>
  </si>
  <si>
    <t>REH-MD01-MDU-ST-OC-Hil-1047-SCR-000004</t>
  </si>
  <si>
    <t>OC-SCR-000076</t>
  </si>
  <si>
    <t>REH-MDU - Wadi Yemm - Plot 1047 - Stair core openings</t>
  </si>
  <si>
    <t>REH-MD01-MDU-ST-OC-Hil-1047-SCR-000005</t>
  </si>
  <si>
    <t>OC-SCR-000077</t>
  </si>
  <si>
    <t>REH-MDU - Wadi Yemm - Plot 1047- First Floors Beam ( FB32)modification.</t>
  </si>
  <si>
    <t>REH-MD01-MDU-ST-OC-Hil-1060-SCR-000012</t>
  </si>
  <si>
    <t>OC-SCR-000078</t>
  </si>
  <si>
    <t>REH-MDU - Wadi Yemm - Conflicts in the IFC. Package ( COL&amp; AXES with col. Table) and cores with slab beams</t>
  </si>
  <si>
    <t>REH-MD01-MDU-ST-OC-Hil-1020-SCR-000001</t>
  </si>
  <si>
    <t>OC-SCR-000087</t>
  </si>
  <si>
    <t>REH-MDU - Wadi Yemm - Boutique Cluster 1020 – Excavation and Blinding</t>
  </si>
  <si>
    <t>REH-MD01-MDU-ST-OC-Hil-1028-SCR-000009</t>
  </si>
  <si>
    <t>OC-SCR-000085</t>
  </si>
  <si>
    <t>REH-MDU - Wadi Yemm - 1028 - Ground &amp; First floor Level -Missed Post columns types.</t>
  </si>
  <si>
    <t>REH-MD01-MDU-ST-OC-Hil-1036-SCR-000021</t>
  </si>
  <si>
    <t>OC-SCR-000081</t>
  </si>
  <si>
    <t>REH-MDU - Wadi Yemm - Plot-1036 Missing Ramp</t>
  </si>
  <si>
    <t>REH-MD01-MDU-ST-OC-Hil-1044-SCR-000006</t>
  </si>
  <si>
    <t>OC-SCR-000080</t>
  </si>
  <si>
    <t>REH-MDU - Wadi Yemm - Slab Configuration at Stair Landing Area</t>
  </si>
  <si>
    <t>REH-MD01-MDU-ST-OC-Hil-1047-SCR-000006</t>
  </si>
  <si>
    <t>OC-SCR-000086</t>
  </si>
  <si>
    <t>REH-MDU - Wadi Yemm - Plot 1047- First Floors Beam ( B00) modification.</t>
  </si>
  <si>
    <t>REH-MD01-MDU-ST-OC-Hil-1060-SCR-000013</t>
  </si>
  <si>
    <t>OC-SCR-000083</t>
  </si>
  <si>
    <t>REH-MDU - Wadi Yemm - Clarification for some conflicts in the raft rft. In the IFC. Package</t>
  </si>
  <si>
    <t>REH-MD01-MDU-ST-OC-Hil-1022-SCR-000009</t>
  </si>
  <si>
    <t>OC-SCR-000088</t>
  </si>
  <si>
    <t>REH-MDU - Wadi Yemm - Clarifications at super plot 06-plot 1022-Core RFT.</t>
  </si>
  <si>
    <t>REH-MD01-MDU-ST-OC-Hil-1028-SCR-000010</t>
  </si>
  <si>
    <t>OC-SCR-000089</t>
  </si>
  <si>
    <t>REH-MDU - Wadi Yemm - 1028 - Ground Floor Slab Level Discrepancy .</t>
  </si>
  <si>
    <t>REH-MD01-MDU-ST-OC-Hil-1028-SCR-000011</t>
  </si>
  <si>
    <t>OC-SCR-000090</t>
  </si>
  <si>
    <t>REH-MDU - Wadi Yemm - 1028 - Ground Floor-Beams connection to the slab.</t>
  </si>
  <si>
    <t>REH-MD01-MDU-ST-OC-Hil-1036-SCR-000022</t>
  </si>
  <si>
    <t>OC-SCR-000091</t>
  </si>
  <si>
    <t>REH-MDU - Wadi Yemm - DEFFERENCE IN LEVEL</t>
  </si>
  <si>
    <t>REH-MD01-MDU-ST-OC-Hil-1029-SCR-000013</t>
  </si>
  <si>
    <t>OC-SCR-000092</t>
  </si>
  <si>
    <t>REH-MDU - Wadi Yemm - Clarifications on Columns Type/Continuity &amp; Drop Panel Depth.</t>
  </si>
  <si>
    <t>REH-MD01-MDU-ST-OC-Hil-1029-SCR-000014</t>
  </si>
  <si>
    <t>OC-SCR-000093</t>
  </si>
  <si>
    <t>REH-MDU - Wadi Yemm - CLARIFY MESH RFT BORDER .</t>
  </si>
  <si>
    <t>REH-MD01-MDU-ST-OC-Hil-1029-SCR-000015</t>
  </si>
  <si>
    <t>OC-SCR-000094</t>
  </si>
  <si>
    <t>REH-MDU - Wadi Yemm - DRAWINGS OVERLAP AND MISMATCH</t>
  </si>
  <si>
    <t>REH-MD01-MDU-ST-OC-Hil-1023-SCR-000002</t>
  </si>
  <si>
    <t>OC-SCR-000095</t>
  </si>
  <si>
    <t>REH-MDU - Wadi Yemm - Plot 1023 - columns and axes descripincy</t>
  </si>
  <si>
    <t>REH-MD01-MDU-ST-OC-Hil-1036-SCR-000023</t>
  </si>
  <si>
    <t>OC-SCR-000096</t>
  </si>
  <si>
    <t>REH-MDU - Wadi Yemm - Difference in beam model.</t>
  </si>
  <si>
    <t>REH-MD01-MDU-ST-OC-Hil-1024-SCR-000007</t>
  </si>
  <si>
    <t>OC-SCR-000099</t>
  </si>
  <si>
    <t>REH-MDU - Wadi Yemm - Conflicts in the Ground , First , Second plan In the IFC. Package</t>
  </si>
  <si>
    <t>REH-MD01-MDU-ST-OC-Hil-1024-SCR-000008</t>
  </si>
  <si>
    <t>OC-SCR-000100</t>
  </si>
  <si>
    <t>REH-MDU - Wadi Yemm - Columns supporting ground floor Ramp</t>
  </si>
  <si>
    <t>REH-MD01-MDU-ST-OC-Hil-1029-SCR-000016</t>
  </si>
  <si>
    <t>OC-SCR-000101</t>
  </si>
  <si>
    <t>REH-MDU - Wadi Yemm - Clarification Request Regarding Correct Mesh Reinforcement for Plot 1030 Basement Level</t>
  </si>
  <si>
    <t>REH-MD01-MDU-ST-OC-Hil-1029-SCR-000017</t>
  </si>
  <si>
    <t>OC-SCR-000102</t>
  </si>
  <si>
    <t>REH-MDU - Wadi Yemm - Clarification for Column T.O.C. – SP01 (Lower Ground &amp; Ground Levels)</t>
  </si>
  <si>
    <t>REH-MD01-MDU-ST-OC-Hil-1043-SCR-000006</t>
  </si>
  <si>
    <t>OC-SCR-000103</t>
  </si>
  <si>
    <t>REH-MDU - Wadi Yemm - Light house - retaining wall level clirfication</t>
  </si>
  <si>
    <t>REH-MD01-MDU-ST-OC-Hil-1023-SCR-000003</t>
  </si>
  <si>
    <t>OC-SCR-000105</t>
  </si>
  <si>
    <t>REH-MDU - Wadi Yemm - Plot 1023 -conflict between columns schedual and columns and axes</t>
  </si>
  <si>
    <t>REH-MD01-MDU-ST-OC-Hil-1026-SCR-000007</t>
  </si>
  <si>
    <t>OC-SCR-000109</t>
  </si>
  <si>
    <t>REH-MDU - Wadi Yemm - levels contradictions- Plot 1026- at ground floor</t>
  </si>
  <si>
    <t>REH-MD01-MDU-ST-OC-Hil-1027-SCR-000003</t>
  </si>
  <si>
    <t>OC-SCR-000111</t>
  </si>
  <si>
    <t>REH-MDU - Wadi Yemm - Fortaleza - Discrepancies and Missing Data</t>
  </si>
  <si>
    <t>REH-MD01-MDU-ST-OC-Hil-1029-SCR-000018</t>
  </si>
  <si>
    <t>OC-SCR-000106</t>
  </si>
  <si>
    <t>REH-MDU - Wadi Yemm - Clarification Request Regarding (SCR) - Ground Level Structural IFC Drawings For Plot 1037</t>
  </si>
  <si>
    <t>REH-MD01-MDU-ST-OC-Hil-1029-SCR-000019</t>
  </si>
  <si>
    <t>OC-SCR-000107</t>
  </si>
  <si>
    <t>REH-MDU - Wadi Yemm - Missing Slab Boundries</t>
  </si>
  <si>
    <t>REH-MD01-MDU-ST-OC-Hil-1031-SCR-000003</t>
  </si>
  <si>
    <t>REH-MDU - Wadi Yemm - Corrupted and Oversized Model File</t>
  </si>
  <si>
    <t>REH-MD01-MDU-ST-OC-Hil-1044-SCR-000007</t>
  </si>
  <si>
    <t>OC-SCR-000110</t>
  </si>
  <si>
    <t>REH-MDU - Wadi Yemm - Retaining Wall Discrepancy Between Architectural, Structural &amp; Landscape Models</t>
  </si>
  <si>
    <t>REH-MD01-MDU-ST-OC-Hil-1044-SCR-000008</t>
  </si>
  <si>
    <t>OC-SCR-000112</t>
  </si>
  <si>
    <t>REH-MDU - Wadi Yemm - Clarification For Stairs Details</t>
  </si>
  <si>
    <t>REH-MD01-MDU-ST-OC-Hil-1023-SCR-000004</t>
  </si>
  <si>
    <t>OC-SCR-000113</t>
  </si>
  <si>
    <t>REH-MDU - Wadi Yemm - Missing raft reinforcement data</t>
  </si>
  <si>
    <t>REH-MD01-MDU-ST-OC-Hil-1023-SCR-000005</t>
  </si>
  <si>
    <t>OC-SCR-000118</t>
  </si>
  <si>
    <t>REH-MDU - Wadi Yemm - Plot 1023 -Inquiry – Avoiding the Use of Couplers in Column CF14</t>
  </si>
  <si>
    <t>REH-MD01-MDU-ST-OC-Hil-1021-SCR-000006</t>
  </si>
  <si>
    <t>OC-SCR-000120</t>
  </si>
  <si>
    <t>REH-MDU - Wadi Yemm - Plot 1021 basement slab- - additional Bottom RFT above columns</t>
  </si>
  <si>
    <t>REH-MD01-MDU-ST-OC-Hil-1021-SCR-000007</t>
  </si>
  <si>
    <t>OC-SCR-000121</t>
  </si>
  <si>
    <t>REH-MDU - Wadi Yemm - Plot 1021 - Basement 01 - Openings &amp; Missing stair.</t>
  </si>
  <si>
    <t>REH-MD01-MDU-ST-OC-Hil-1022-SCR-000010</t>
  </si>
  <si>
    <t>OC-SCR-000129</t>
  </si>
  <si>
    <t>REH-MDU - Wadi Yemm - Clarifications at super plot 06-plot 1022-Columns.</t>
  </si>
  <si>
    <t>REH-MD01-MDU-ST-OC-Hil-1029-SCR-000020</t>
  </si>
  <si>
    <t>OC-SCR-000122</t>
  </si>
  <si>
    <t>REH-MDU - Wadi Yemm - SUPER PLOT 01 Clarification Request Regarding (SCR) - Ground Level Structural IFC Drawings For Plot 1037.</t>
  </si>
  <si>
    <t>REH-MD01-MDU-ST-OC-Hil-1029-SCR-000021</t>
  </si>
  <si>
    <t>OC-SCR-000123</t>
  </si>
  <si>
    <t>REH-MD01-MDU-ST-OC-Hil-1029-SCR-000022</t>
  </si>
  <si>
    <t>OC-SCR-000124</t>
  </si>
  <si>
    <t>REH-MD01-MDU-ST-OC-Hil-1029-SCR-000023</t>
  </si>
  <si>
    <t>OC-SCR-000125</t>
  </si>
  <si>
    <t>REH-MD01-MDU-ST-OC-Hil-1029-SCR-000024</t>
  </si>
  <si>
    <t>OC-SCR-000128</t>
  </si>
  <si>
    <t>REH-MDU - Wadi Yemm - Clarification Required for Dashed Lines and Beam Types.</t>
  </si>
  <si>
    <t>REH-MD01-MDU-ST-OC-Hil-1060-SCR-000014</t>
  </si>
  <si>
    <t>OC-SCR-000126</t>
  </si>
  <si>
    <t>REH-MDU - Wadi Yemm - Required setting out plans - Plot 1060</t>
  </si>
  <si>
    <t>REH-MD01-MDU-ST-OC-Hil-1060-SCR-000015</t>
  </si>
  <si>
    <t>OC-SCR-000127</t>
  </si>
  <si>
    <t>REH-MDU - Wadi Yemm - DESCREPANCY BETWEEN B02.MODEL &amp; B01.MODEL</t>
  </si>
  <si>
    <t>REH-MD01-MDU-ST-OC-Hil-1029-SCR-000025</t>
  </si>
  <si>
    <t>OC-SCR-000130</t>
  </si>
  <si>
    <t>REH-MDU - Wadi Yemm - Ground Floor missing data</t>
  </si>
  <si>
    <t>REH-MD01-MDU-ST-OC-Hil-1044-SCR-000009</t>
  </si>
  <si>
    <t>OC-SCR-000131</t>
  </si>
  <si>
    <t>REH-MDU - Wadi Yemm - Missing Ground Floor Column Information</t>
  </si>
  <si>
    <t>REH-MD01-MDU-ST-OC-Hil-1044-SCR-000010</t>
  </si>
  <si>
    <t>OC-SCR-000133</t>
  </si>
  <si>
    <t>REH-MDU - Wadi Yemm - Clarification For Beams Details</t>
  </si>
  <si>
    <t>REH-MD01-MDU-ST-OC-Hil-1044-SCR-000011</t>
  </si>
  <si>
    <t>OC-SCR-000134</t>
  </si>
  <si>
    <t>REH-MDU - Wadi Yemm - Ground Floor Slab Discrepancy Between Models</t>
  </si>
  <si>
    <t>REH-MD01-MDU-ST-OC-Hil-1044-SCR-000012</t>
  </si>
  <si>
    <t>REH-MD01-MDU-ST-OC-Hil-1044-SCR-000013</t>
  </si>
  <si>
    <t>REH-MD01-MDU-ST-OC-Hil-1044-SCR-000014</t>
  </si>
  <si>
    <t>REH-MDU - Wadi Yemm - Clarification for Planter Walls Type and RFT</t>
  </si>
  <si>
    <t>REH-MD01-MDU-ST-OC-Hil-1041-SCR-000002</t>
  </si>
  <si>
    <t>OC-SCR-000132</t>
  </si>
  <si>
    <t>REH-MDU - Wadi Yemm - Amphitheatre 1041 – Column Dimension Clarification</t>
  </si>
  <si>
    <t>REH-MD01-MDU-ST-OC-Hil-1041-SCR-000003</t>
  </si>
  <si>
    <t>OC-SCR-000146</t>
  </si>
  <si>
    <t>REH-MDU - Wadi Yemm - Amphitheater (Plot 1041) - Columns Discrepancies and Missing Data</t>
  </si>
  <si>
    <t>REH-MD01-MDU-ST-OC-Hil-1023-SCR-000006</t>
  </si>
  <si>
    <t>OC-SCR-000138</t>
  </si>
  <si>
    <t>REH-MDU - Wadi Yemm - Plot 1023 -Elevator pit width</t>
  </si>
  <si>
    <t>REH-MD01-MDU-ST-OC-Hil-1024-SCR-000009</t>
  </si>
  <si>
    <t>OC-SCR-000139</t>
  </si>
  <si>
    <t>REH-MDU - Wadi Yemm - Beam level- ground floor Ramp</t>
  </si>
  <si>
    <t>REH-MD01-MDU-ST-OC-Hil-1026-SCR-000008</t>
  </si>
  <si>
    <t>OC-SCR-000144</t>
  </si>
  <si>
    <t>REH-MD01-MDU-ST-OC-Hil-1027-SCR-000004</t>
  </si>
  <si>
    <t>OC-SCR-000145</t>
  </si>
  <si>
    <t>REH-MDU - Wadi Yemm - Fortaleza - 1027 - Drop of Area at level +7.90</t>
  </si>
  <si>
    <t>REH-MD01-MDU-ST-OC-Hil-1027-SCR-000005</t>
  </si>
  <si>
    <t>OC-SCR-000148</t>
  </si>
  <si>
    <t>REH-MDU - Wadi Yemm - Fortaleza - 1027 - Discrepancies and Missing Data</t>
  </si>
  <si>
    <t>REH-MD01-MDU-ST-OC-Hil-1044-SCR-000015</t>
  </si>
  <si>
    <t>REH-MDU - Wadi Yemm - Clarification Required on Slab Level Difference and connections between them</t>
  </si>
  <si>
    <t>REH-MD01-MDU-ST-OC-Hil-1029-SCR-000026</t>
  </si>
  <si>
    <t>OC-SCR-000140</t>
  </si>
  <si>
    <t>REH-MDU - Wadi Yemm - Clarification Required for Beam Type.</t>
  </si>
  <si>
    <t>REH-MD01-MDU-ST-OC-Hil-1029-SCR-000027</t>
  </si>
  <si>
    <t>OC-SCR-000141</t>
  </si>
  <si>
    <t>REH-MDU - Wadi Yemm - Beams Clarification</t>
  </si>
  <si>
    <t>REH-MD01-MDU-ST-OC-Hil-1029-SCR-000028</t>
  </si>
  <si>
    <t>OC-SCR-000142</t>
  </si>
  <si>
    <t>REH-MDU - Wadi Yemm - SUPER PLOT 01 Clarification Request Regarding (SCR) - Columns and Axes &amp; Lower Ground Level Structural IFC Drawings For Plot 1030</t>
  </si>
  <si>
    <t>REH-MD01-MDU-ST-OC-Hil-1029-SCR-000029</t>
  </si>
  <si>
    <t>OC-SCR-000149</t>
  </si>
  <si>
    <t>REH-MDU - Wadi Yemm - Plot 1029 - Ground Slab STR-MEP coordination</t>
  </si>
  <si>
    <t>REH-MD01-MDU-ST-OC-Hil-1029-SCR-000030</t>
  </si>
  <si>
    <t>OC-SCR-000150</t>
  </si>
  <si>
    <t>REH-MDU - Wadi Yemm - Plot 1029 - Lower ground Slab STR-MEP coordination</t>
  </si>
  <si>
    <t>REH-MD01-MDU-ST-OC-Hil-1036-SCR-000024</t>
  </si>
  <si>
    <t>OC-SCR-000151</t>
  </si>
  <si>
    <t>REH-MDU - Wadi Yemm - Plot-1036 COLUMNS TYPE CHANGES</t>
  </si>
  <si>
    <t>REH-MD01-MDU-ST-OC-Hil-1036-SCR-000025</t>
  </si>
  <si>
    <t>OC-SCR-000152</t>
  </si>
  <si>
    <t>REH-MDU - Wadi Yemm - Plot-1036 Discrepancy between Site Excution and Design</t>
  </si>
  <si>
    <t>REH-MD01-MDU-ST-OC-Hil-1029-SCR-000031</t>
  </si>
  <si>
    <t>OC-SCR-000153</t>
  </si>
  <si>
    <t>REH-MDU - Wadi Yemm - Missing Data</t>
  </si>
  <si>
    <t>REH-MD01-MDU-ST-OC-Hil-1029-SCR-000032</t>
  </si>
  <si>
    <t>OC-SCR-000154</t>
  </si>
  <si>
    <t>REH-MDU - Wadi Yemm - SUPER PLOT 01 Clarification Request Regarding (SCR) - Revision Clouds at Lower Ground Level Structural IFC Drawings For Plot 1037</t>
  </si>
  <si>
    <t>REH-MD01-MDU-ST-OC-Hil-1029-SCR-000033</t>
  </si>
  <si>
    <t>OC-SCR-000155</t>
  </si>
  <si>
    <t>REH-MD01-MDU-ST-OC-Hil-1026-SCR-000009</t>
  </si>
  <si>
    <t>OC-SCR-000156</t>
  </si>
  <si>
    <t>REH-MDU - Wadi Yemm - conflict between slab level in 2D and the model</t>
  </si>
  <si>
    <t>REH-MD01-MDU-ST-OC-Hil-1028-SCR-000012</t>
  </si>
  <si>
    <t>OC-SCR-000157</t>
  </si>
  <si>
    <t>REH-MD01-MDU-ST-OC-Hil-1029-SCR-000034</t>
  </si>
  <si>
    <t>OC-SCR-000158</t>
  </si>
  <si>
    <t>REH-MDU - Wadi Yemm - Clarification Request Regarding (SCR) - Lower Ground Level Structural IFC Drawings For Plot 1030</t>
  </si>
  <si>
    <t>REH-MD01-MDU-ST-OC-Hil-1029-SCR-000035</t>
  </si>
  <si>
    <t>OC-SCR-000159</t>
  </si>
  <si>
    <t>REH-MDU - Wadi Yemm - Clarification Request Regarding (SCR) - Ground Level Structural IFC Drawings For Plot 1030</t>
  </si>
  <si>
    <t>REH-MD01-MDU-ST-OC-Hil-1060-SCR-000016</t>
  </si>
  <si>
    <t>OC-SCR-000160</t>
  </si>
  <si>
    <t>REH-MDU - Wadi Yemm - DESCREPANCY BETWEEN OPENING IN B01 STR. &amp; ARCH. PLANS</t>
  </si>
  <si>
    <t>REH-MD01-MDU-ST-OC-Hil-1060-SCR-000017</t>
  </si>
  <si>
    <t>OC-SCR-000161</t>
  </si>
  <si>
    <t>REH-MDU - Wadi Yemm - MISSING BEAM TYPE</t>
  </si>
  <si>
    <t>REH-MD01-MDU-ST-OC-Hil-1021-SCR-000008</t>
  </si>
  <si>
    <t>OC-SCR-000162</t>
  </si>
  <si>
    <t>REH-MDU - Wadi Yemm - Plot 1021 - Basement 01 - Openings .</t>
  </si>
  <si>
    <t>REH-MD01-MDU-ST-OC-Hil-1022-SCR-000011</t>
  </si>
  <si>
    <t>OC-SCR-000163</t>
  </si>
  <si>
    <t>REH-MD01-MDU-ST-OC-Hil-1029-SCR-000036</t>
  </si>
  <si>
    <t>OC-SCR-000164</t>
  </si>
  <si>
    <t>REH-MDU - Wadi Yemm - SP01-BASEMENT SLAB COORDINATION CONFLICT.</t>
  </si>
  <si>
    <t>REH-MD01-MDU-ST-OC-Hil-1029-SCR-000037</t>
  </si>
  <si>
    <t>OC-SCR-000165</t>
  </si>
  <si>
    <t>REH-MDU - Wadi Yemm - SP01- GROUND SLAB CLARIFICATION</t>
  </si>
  <si>
    <t>REH-MD01-MDU-ST-OC-Hil-1030-SCR-000001</t>
  </si>
  <si>
    <t>OC-SCR-000166</t>
  </si>
  <si>
    <t>REH-MDU - Wadi Yemm - Plot-1030 BASEMENT SLAB COORDINATION CONFLICT.</t>
  </si>
  <si>
    <t>REH-MD01-MDU-ST-OC-Hil-1041-SCR-000004</t>
  </si>
  <si>
    <t>OC-SCR-000167</t>
  </si>
  <si>
    <t>REH-MDU - Wadi Yemm - Amphitheater (Plot 1041) - Clarification Required on Sump Pit Clearance, Fill Material, and MEP Service Space</t>
  </si>
  <si>
    <t>REH-MD01-MDU-ST-OC-Hil-1047-SCR-000007</t>
  </si>
  <si>
    <t>OC-SCR-000168</t>
  </si>
  <si>
    <t>REH-MDU - Wadi Yemm - Plot 1047- Ground Floors -Part 01 Slab Drop panel on axes (CD &amp;202)</t>
  </si>
  <si>
    <t>REH-MD01-MDU-ST-OC-Hil-1047-SCR-000008</t>
  </si>
  <si>
    <t>OC-SCR-000169</t>
  </si>
  <si>
    <t>REH-MDU - Wadi Yemm - Revised design Ground Floor drawing -Part 02 (REH-MD01-MDU-ST-ECG-1047-DG-109203/ R 04)- (PC 63)on axis (CT)&amp;behind axis(200).</t>
  </si>
  <si>
    <t>REH-MD01-MDU-ST-OC-Hil-1031-SCR-000004</t>
  </si>
  <si>
    <t>OC-SCR-000171</t>
  </si>
  <si>
    <t>REH-MDU - Wadi Yemm - Clarification Required on Sketch vs. Design Drawing Discrepancies – SP02</t>
  </si>
  <si>
    <t>REH-MD01-MDU-ST-OC-Hil-1022-SCR-000012</t>
  </si>
  <si>
    <t>OC-SCR-000173</t>
  </si>
  <si>
    <t>REH-MDU - Wadi Yemm - Clarifications at super plot 06-plot 1018-slab.</t>
  </si>
  <si>
    <t>REH-MD01-MDU-ST-OC-Hil-1025-SCR-000003</t>
  </si>
  <si>
    <t>OC-SCR-000175</t>
  </si>
  <si>
    <t>REH-MDU - Wadi Yemm - COLUMN REBAR @ FIRST STAGE IS SMALLER THAN SECOND STAGE</t>
  </si>
  <si>
    <t>REH-MD01-MDU-ST-OC-Hil-1029-SCR-000038</t>
  </si>
  <si>
    <t>OC-SCR-000172</t>
  </si>
  <si>
    <t>REH-MDU - Wadi Yemm - MARKED BEAMS CONFLICT-PLOT 1035-AXIS (35BA)</t>
  </si>
  <si>
    <t>REH-MD01-MDU-ST-OC-Hil-1024-SCR-000010</t>
  </si>
  <si>
    <t>OC-SCR-000177</t>
  </si>
  <si>
    <t>REH-MD01-MDU-ST-OC-Hil-1026-SCR-000010</t>
  </si>
  <si>
    <t>OC-SCR-000176</t>
  </si>
  <si>
    <t>REH-MDU - Wadi Yemm - Plot 1026 - Conflict Retaining wall at Groung Floor</t>
  </si>
  <si>
    <t>REH-MD01-MDU-ST-OC-Hil-1029-SCR-000039</t>
  </si>
  <si>
    <t>OC-SCR-000179</t>
  </si>
  <si>
    <t>REH-MD01-MDU-ST-OC-Hil-1029-SCR-000040</t>
  </si>
  <si>
    <t>OC-SCR-000180</t>
  </si>
  <si>
    <t>REH-MDU - Wadi Yemm - CONFLICT IN LEVELS</t>
  </si>
  <si>
    <t>REH-MD01-MDU-ST-OC-Hil-1029-SCR-000041</t>
  </si>
  <si>
    <t>OC-SCR-000181</t>
  </si>
  <si>
    <t>REH-MDU - Wadi Yemm - CLARIFY Main Reinforcement Direction &amp; Mesh RFT Border</t>
  </si>
  <si>
    <t>REH-MD01-MDU-ST-OC-Hil-1036-SCR-000026</t>
  </si>
  <si>
    <t>OC-SCR-000182</t>
  </si>
  <si>
    <t>REH-MDU - Wadi Yemm - Plot-1036 COLUMN STARTER BARS REINFORCEMENT ISSUE</t>
  </si>
  <si>
    <t>REH-MD01-MDU-ST-OC-Hil-1021-SCR-000009</t>
  </si>
  <si>
    <t>OC-SCR-000183</t>
  </si>
  <si>
    <t xml:space="preserve">REH-MDU- Wadi Yemm -  Discrepancy in Wall Thickness (W2) </t>
  </si>
  <si>
    <t>REH-MD01-MDU-ST-OC-Hil-1024-SCR-000011</t>
  </si>
  <si>
    <t>OC-SCR-000185</t>
  </si>
  <si>
    <t>REH-MDU - Wadi Yemm - Clarification on Stair 1 Part 6 Section and Finishing Layers</t>
  </si>
  <si>
    <t>REH-MD01-MDU-ST-OC-Hil-1026-SCR-000011</t>
  </si>
  <si>
    <t>OC-SCR-000186</t>
  </si>
  <si>
    <t>REH-MDU - Wadi Yemm - Missing floor for slab</t>
  </si>
  <si>
    <t>REH-MD01-MDU-ST-OC-Hil-1022-SCR-000013</t>
  </si>
  <si>
    <t>OC-SCR-000188</t>
  </si>
  <si>
    <t>REH-MDU - Wadi Yemm - Clarifications at super plot 06 - plot 1018 - ground floor</t>
  </si>
  <si>
    <t>REH-MD01-MDU-ST-OC-Hil-1029-SCR-000042</t>
  </si>
  <si>
    <t>OC-SCR-000187</t>
  </si>
  <si>
    <t>REH-MDU - Wadi Yemm - SP01- COLUMNS SCHEDULE CLARIFICATION</t>
  </si>
  <si>
    <t>REH-MD01-MDU-ST-OC-Hil-1029-SCR-000043</t>
  </si>
  <si>
    <t>OC-SCR-000189</t>
  </si>
  <si>
    <t>REH-MDU - Wadi Yemm - Retaining Wall Extent, Connection, and Dashed Lines</t>
  </si>
  <si>
    <t>REH-MD01-MDU-ST-OC-Hil-1021-SCR-000010</t>
  </si>
  <si>
    <t>OC-SCR-000190</t>
  </si>
  <si>
    <t>REH-MDU - Wadi Yemm - Required Design Drawings for Typical Floors in Plot 1021</t>
  </si>
  <si>
    <t>REH-MD01-MDU-ST-OC-Hil-1022-SCR-000014</t>
  </si>
  <si>
    <t>OC-SCR-000191</t>
  </si>
  <si>
    <t>REH-MDU - Wadi Yemm - Clarifications at SP6-plot 1022- GR-01 Slabs</t>
  </si>
  <si>
    <t>REH-MD01-MDU-ST-OC-Hil-1031-SCR-000005</t>
  </si>
  <si>
    <t>OC-SCR-000197</t>
  </si>
  <si>
    <t>REH-MDU - Wadi Yemm - Discrepancies in axes-1031 B1-1032 B2-1033 B2 - SP02</t>
  </si>
  <si>
    <t>REH-MD01-MDU-ST-OC-Hil-1036-SCR-000027</t>
  </si>
  <si>
    <t>OC-SCR-000198</t>
  </si>
  <si>
    <t>REH-MDU - Wadi Yemm - Plot-1036 Shafts conflict</t>
  </si>
  <si>
    <t>REH-MD01-MDU-ST-OC-Hil-1029-SCR-000044</t>
  </si>
  <si>
    <t>OC-SCR-000200</t>
  </si>
  <si>
    <t>REH-MDU - Wadi Yemm - Plot 1034 - GR Slab opennings conflict</t>
  </si>
  <si>
    <t>REH-MD01-MDU-ST-OC-Hil-1043-SCR-000007</t>
  </si>
  <si>
    <t>OC-SCR-000201</t>
  </si>
  <si>
    <t>REH-MDU - Wadi Yemm - Light house - Basement 01 Columns and Axes Conflict</t>
  </si>
  <si>
    <t>REH-MD01-MDU-ST-OC-Hil-1020-SCR-000002</t>
  </si>
  <si>
    <t>OC-SCR-000202</t>
  </si>
  <si>
    <t>REH-MDU - Wadi Yemm - Boutique Cluster 1020 – Discrebancy between Excavation and Blinding levels</t>
  </si>
  <si>
    <t>REH-MD01-MDU-ST-OC-Hil-1024-SCR-000012</t>
  </si>
  <si>
    <t>OC-SCR-000203</t>
  </si>
  <si>
    <t>REH-MDU - Wadi Yemm - Conflict in STR. Design data</t>
  </si>
  <si>
    <t>REH-MD01-MDU-ST-OC-Hil-1024-SCR-000013</t>
  </si>
  <si>
    <t>OC-SCR-000204</t>
  </si>
  <si>
    <t>REH-MD01-MDU-ST-OC-Hil-1027-SCR-000006</t>
  </si>
  <si>
    <t>OC-SCR-000205</t>
  </si>
  <si>
    <t>REH-MD01-MDU-ST-OC-Hil-1036-SCR-000028</t>
  </si>
  <si>
    <t>OC-SCR-000208</t>
  </si>
  <si>
    <t>REH-MDU - Wadi Yemm - Clarification Request Regarding (SCR) - Structural IFC Drawings – First Floor Level – Plot 1036</t>
  </si>
  <si>
    <t>REH-MD01-MDU-ST-OC-Hil-1036-SCR-000029</t>
  </si>
  <si>
    <t>OC-SCR-000209</t>
  </si>
  <si>
    <t>REH-MD01-MDU-ST-OC-Hil-1044-SCR-000016</t>
  </si>
  <si>
    <t>OC-SCR-000211</t>
  </si>
  <si>
    <t>REH-MD01-MDU-ST-OC-Hil-1029-SCR-000045</t>
  </si>
  <si>
    <t>OC-SCR-000213</t>
  </si>
  <si>
    <t>REH-MD01-MDU-ST-OC-Hil-1043-SCR-000008</t>
  </si>
  <si>
    <t>OC-SCR-000214</t>
  </si>
  <si>
    <t>REH-MDU - Wadi Yemm - Light house - Basement 01 slab discrepancies</t>
  </si>
  <si>
    <t>REH-MD01-MDU-ST-OC-Hil-1041-SCR-000005</t>
  </si>
  <si>
    <t>OC-SCR-000218</t>
  </si>
  <si>
    <t>REH-MDU - Wadi Yemm - Amphitheater (Plot 1041) – Clarifications Required for the IFC Foundation Package</t>
  </si>
  <si>
    <t>REH-MD01-MDU-ST-OC-Hil-1025-SCR-000004</t>
  </si>
  <si>
    <t>OC-SCR-000219</t>
  </si>
  <si>
    <t>REH-MDU - Wadi Yemm - BEAMS LEVEL AT END SUPPORT</t>
  </si>
  <si>
    <t>REH-MD01-MDU-ST-OC-Hil-1022-SCR-000015</t>
  </si>
  <si>
    <t>OC-SCR-000221</t>
  </si>
  <si>
    <t>REH-MDU - Wadi Yemm - Clarifications at SP6-plot 1022-1018- GR-01 Slabs (2)</t>
  </si>
  <si>
    <t>REH-MD01-MDU-ST-OC-Hil-1023-SCR-000007</t>
  </si>
  <si>
    <t>OC-SCR-000228</t>
  </si>
  <si>
    <t>REH-MDU - Wadi Yemm - Plot 1023 -basement 01 columns discrepancies</t>
  </si>
  <si>
    <t>REH-MD01-MDU-ST-OC-Hil-1024-SCR-000014</t>
  </si>
  <si>
    <t>OC-SCR-000229</t>
  </si>
  <si>
    <t>REH-MDU - Wadi Yemm - Beams STR. Design, in the first floor, part 2</t>
  </si>
  <si>
    <t>REH-MD01-MDU-ST-OC-Hil-1022-SCR-000016</t>
  </si>
  <si>
    <t>OC-SCR-000231</t>
  </si>
  <si>
    <t>REH-MD01-MDU-ST-OC-Hil-1029-SCR-000046</t>
  </si>
  <si>
    <t>OC-SCR-000230</t>
  </si>
  <si>
    <t>REH-MD01-MDU-ST-OC-Hil-1024-SCR-000015</t>
  </si>
  <si>
    <t>OC-SCR-000235</t>
  </si>
  <si>
    <t>REH-MDU - Wadi Yemm - Clarification For SCR (8)</t>
  </si>
  <si>
    <t>REH-MD01-MDU-ST-OC-Hil-1024-SCR-000016</t>
  </si>
  <si>
    <t>OC-SCR-000236</t>
  </si>
  <si>
    <t>REH-MDU - Wadi Yemm - Conflict in Design Data First Floor Plot 1024</t>
  </si>
  <si>
    <t>REH-MD01-MDU-ST-OC-Hil-1022-SCR-000017</t>
  </si>
  <si>
    <t>REH-MD01-MDU-ST-OC-Hil-1029-SCR-000047</t>
  </si>
  <si>
    <t>OC-SCR-000238</t>
  </si>
  <si>
    <t>REH-MDU - Wadi Yemm - missing type of beam in plot 1034 at lower ground level</t>
  </si>
  <si>
    <t>REH-MD01-MDU-ST-OC-Hil-1029-SCR-000048</t>
  </si>
  <si>
    <t>OC-SCR-000239</t>
  </si>
  <si>
    <t>REH-MDU - Wadi Yemm - missing info. about (openings,slabs,pc boundary)</t>
  </si>
  <si>
    <t>REH-MD01-MDU-ST-OC-Hil-1029-SCR-000049</t>
  </si>
  <si>
    <t>OC-SCR-000241</t>
  </si>
  <si>
    <t>REH-MD01-MDU-ST-OC-Hil-1044-SCR-000017</t>
  </si>
  <si>
    <t>OC-SCR-000242</t>
  </si>
  <si>
    <t>REH-MD01-MDU-ST-OC-Hil-1029-SCR-000050</t>
  </si>
  <si>
    <t>OC-SCR-000243</t>
  </si>
  <si>
    <t>REH-MDU - Wadi Yemm - Plot 1035 - Column's top clarification</t>
  </si>
  <si>
    <t>REH-MD01-MDU-ST-OC-Hil-1029-SCR-000051</t>
  </si>
  <si>
    <t>OC-SCR-000244</t>
  </si>
  <si>
    <t>REH-MDU - Wadi Yemm - CONFLICT BETWEEN THE LEVEL OF SLAB AND BEAM. &amp; LOCATION OF BEAM.-PLOT 1035-SP01</t>
  </si>
  <si>
    <t>REH-MD01-MDU-ST-OC-Hil-1036-SCR-000030</t>
  </si>
  <si>
    <t>OC-SCR-000245</t>
  </si>
  <si>
    <t>REH-MDU - Wadi Yemm - CONFLICT IN THE WIDTH OF COLUMNS C56.</t>
  </si>
  <si>
    <t>REH-MD01-MDU-ST-OC-Hil-1044-SCR-000018</t>
  </si>
  <si>
    <t>REH-MD01-MDU-ST-OC-Hil-1026-SCR-000012</t>
  </si>
  <si>
    <t>OC-SCR-000247</t>
  </si>
  <si>
    <t>REH-MDU - Wadi Yemm - Beam Discrepancies</t>
  </si>
  <si>
    <t>REH-MD01-MDU-ST-OC-Hil-1026-SCR-000013</t>
  </si>
  <si>
    <t>OC-SCR-000248</t>
  </si>
  <si>
    <t>REH-MD01-MDU-ST-OC-Hil-1036-SCR-000031</t>
  </si>
  <si>
    <t>OC-SCR-000249</t>
  </si>
  <si>
    <t>REH-MDU - Wadi Yemm - Plot-1036 Columns bracing</t>
  </si>
  <si>
    <t>REH-MD01-MDU-ST-OC-Hil-1022-SCR-000018</t>
  </si>
  <si>
    <t>OC-SCR-000251</t>
  </si>
  <si>
    <t>REH-MDU - Wadi Yemm - Structural Design Clarifications – Super Plot 06, Plot 1045 – Ground Floor</t>
  </si>
  <si>
    <t>REH-MD01-MDU-ST-OC-Hil-1022-SCR-000019</t>
  </si>
  <si>
    <t>OC-SCR-000252</t>
  </si>
  <si>
    <t>REH-MD01-MDU-ST-OC-Hil-1022-SCR-000020</t>
  </si>
  <si>
    <t>OC-SCR-000253</t>
  </si>
  <si>
    <t>REH-MDU - Wadi Yemm -SP06 - Q4 1045 - Columns&amp;Axis discrepancies and coordination issues in IFC drawings</t>
  </si>
  <si>
    <t>REH-MD01-MDU-ST-OC-Hil-1029-SCR-000052</t>
  </si>
  <si>
    <t>OC-SCR-000254</t>
  </si>
  <si>
    <t>REH-MDU - Wadi Yemm -Plot 1030 - Lower ground Slab drop clarification</t>
  </si>
  <si>
    <t>REH-MD01-MDU-ST-OC-Hil-1029-SCR-000053</t>
  </si>
  <si>
    <t>OC-SCR-000255</t>
  </si>
  <si>
    <t>REH-MD01-MDU-ST-OC-Hil-1029-SCR-000054</t>
  </si>
  <si>
    <t>OC-SCR-000257</t>
  </si>
  <si>
    <t>REH-MD01-MDU-ST-OC-Hil-1029-SCR-000055</t>
  </si>
  <si>
    <t>OC-SCR-000258</t>
  </si>
  <si>
    <t>REH-MDU - Wadi Yemm - Clarification Request Regarding (SCR) - Basement Level Structural IFC Drawings For Plot 1030</t>
  </si>
  <si>
    <t>REH-MD01-MDU-ST-OC-Hil-1029-SCR-000056</t>
  </si>
  <si>
    <t>OC-SCR-000261</t>
  </si>
  <si>
    <t>REH-MDU - Wadi Yemm - Clarification Request Regarding (SCR) - Ground Level Structural IFC Drawings For Plot 1029</t>
  </si>
  <si>
    <t>REH-MD01-MDU-ST-OC-Hil-1041-SCR-000006</t>
  </si>
  <si>
    <t>OC-SCR-000260</t>
  </si>
  <si>
    <t>REH-MD01-MDU-ST-OC-Hil-1022-SCR-000021</t>
  </si>
  <si>
    <t>REH-MD01-MDU-ST-OC-Hil-1047-SCR-000009</t>
  </si>
  <si>
    <t>OC-SCR-000263</t>
  </si>
  <si>
    <t>REH-MDU - Wadi Yemm - Plot 1047- Revised design FIRST Floor drawing -Part 02 (REH-MD01-MDU-ST-ECG-1047-DG-109303/ R 01)</t>
  </si>
  <si>
    <t>REH-MD01-MDU-ST-OC-Hil-1047-SCR-000010</t>
  </si>
  <si>
    <t>OC-SCR-000269</t>
  </si>
  <si>
    <t>REH-MDU - Wadi Yemm - Plot 1047- Revised design FIRST Floor drawing -Part 03 (REH-MD01-MDU-ST-ECG-1047-DG-109304/ R 01)</t>
  </si>
  <si>
    <t>REH-MD01-MDU-ST-OC-Hil-1022-SCR-000022</t>
  </si>
  <si>
    <t>OC-SCR-000264</t>
  </si>
  <si>
    <t>REH-MDU - Wadi Yemm - SP06 - Q4 1045 -Coordination issue between ARCH and STR drawings for Columns &amp; Axes</t>
  </si>
  <si>
    <t>REH-MD01-MDU-ST-OC-Hil-1023-SCR-000008</t>
  </si>
  <si>
    <t>OC-SCR-000267</t>
  </si>
  <si>
    <t>REH-MDU - Wadi Yemm - Plot 1023 -Basement 01 slab discrepancies</t>
  </si>
  <si>
    <t>REH-MD01-MDU-ST-OC-Hil-1029-SCR-000057</t>
  </si>
  <si>
    <t>OC-SCR-000265</t>
  </si>
  <si>
    <t>REH-MD01-MDU-ST-OC-Hil-1036-SCR-000032</t>
  </si>
  <si>
    <t>OC-SCR-000266</t>
  </si>
  <si>
    <t>REH-MDU - Wadi Yemm - New IFC design package (HillInt-TRANSMIT-001659)&amp; according to the current site stiuation</t>
  </si>
  <si>
    <t>REH-MD01-MDU-ST-OC-Hil-1036-SCR-000033</t>
  </si>
  <si>
    <t>OC-SCR-000268</t>
  </si>
  <si>
    <t>REH-MDU - Wadi Yemm - LOCATION OF C150</t>
  </si>
  <si>
    <t>REH-MD01-MDU-ST-OC-Hil-1022-SCR-000023</t>
  </si>
  <si>
    <t>OC-SCR-000270</t>
  </si>
  <si>
    <t>REH-MD01-MDU-ST-OC-Hil-1044-SCR-000019</t>
  </si>
  <si>
    <t>OC-SCR-000271</t>
  </si>
  <si>
    <t>REH-MDU - Wadi Yemm - TRENCH DRAIN LOCATION CLARIFICATION – BASEMENT 01</t>
  </si>
  <si>
    <t>REH-MD01-MDU-ST-OC-Hil-1028-SCR-000013</t>
  </si>
  <si>
    <t>OC-SCR-000273</t>
  </si>
  <si>
    <t>REH-MDU - Wadi Yemm - 1028 - Ramp Slope Discrepancy (basement 01 up to ground floor).</t>
  </si>
  <si>
    <t>REH-MD01-MDU-ST-OC-Hil-1029-SCR-000058</t>
  </si>
  <si>
    <t>OC-SCR-000274</t>
  </si>
  <si>
    <t>REH-MDU - Wadi Yemm - 1029 - Clarification Required – Slab Thickness (Lower Ground vs Ground Floor).</t>
  </si>
  <si>
    <t>REH-MD01-MDU-ST-OC-Hil-1024-SCR-000017</t>
  </si>
  <si>
    <t>OC-SCR-000275</t>
  </si>
  <si>
    <t>REH-MDU - Wadi Yemm - Discrepancies in levels-Part 03- Plot 1024- ground floor</t>
  </si>
  <si>
    <t>REH-MD01-MDU-ST-OC-Hil-1024-SCR-000018</t>
  </si>
  <si>
    <t>OC-SCR-000277</t>
  </si>
  <si>
    <t>REH-MDU - Wadi Yemm - Stair,Shafts contradictions- Plot 1024- First floor</t>
  </si>
  <si>
    <t>REH-MD01-MDU-ST-OC-Hil-1029-SCR-000059</t>
  </si>
  <si>
    <t>OC-SCR-000278</t>
  </si>
  <si>
    <t>REH-MDU - Wadi Yemm - 1029 - Depth of Beam need to be increased</t>
  </si>
  <si>
    <t>REH-MD01-MDU-ST-OC-Hil-1044-SCR-000020</t>
  </si>
  <si>
    <t>OC-SCR-000279</t>
  </si>
  <si>
    <t>REH-MD01-MDU-ST-OC-Hil-1043-SCR-000009</t>
  </si>
  <si>
    <t>OC-SCR-000280</t>
  </si>
  <si>
    <t>REH-MDU - Wadi Yemm - Light house - Basement 01missing beams types</t>
  </si>
  <si>
    <t>REH-MD01-MDU-ST-OC-Hil-1029-SCR-000060</t>
  </si>
  <si>
    <t>OC-SCR-000281</t>
  </si>
  <si>
    <t>REH-MDU - Wadi Yemm - Beam conflicts and missing data</t>
  </si>
  <si>
    <t>REH-MD01-MDU-ST-OC-Hil-1044-SCR-000021</t>
  </si>
  <si>
    <t>OC-SCR-000282</t>
  </si>
  <si>
    <t>REH-MDU - Wadi Yemm - Clarification for Planted Columns</t>
  </si>
  <si>
    <t>REH-MD01-MDU-ST-OC-Hil-1026-SCR-000014</t>
  </si>
  <si>
    <t>OC-SCR-000285</t>
  </si>
  <si>
    <t>REH-MDU - Wadi Yemm - Plot 1026 - Conflict and missing data at Ground Floor</t>
  </si>
  <si>
    <t>REH-MD01-MDU-ST-OC-Hil-1027-SCR-000007</t>
  </si>
  <si>
    <t>OC-SCR-000284</t>
  </si>
  <si>
    <t>REH-MDU - Wadi Yemm - Fortaleza (Plot 1027) – Clarifications Required for the IFC Foundation Package</t>
  </si>
  <si>
    <t>REH-MD01-MDU-ST-OC-Hil-1036-SCR-000034</t>
  </si>
  <si>
    <t>OC-SCR-000283</t>
  </si>
  <si>
    <t>REH-MDU - Wadi Yemm - Plot-1036 MISSING BEAM TYPE AT BEAM REINFORCEMENT SCHEDULE</t>
  </si>
  <si>
    <t>REH-MD01-MDU-ST-OC-Hil-1029-SCR-000061</t>
  </si>
  <si>
    <t>OC-SCR-000286</t>
  </si>
  <si>
    <t>REH-MDU - Wadi Yemm - SP01-BASEMENT SLAB MISSING BEAMS TYPE</t>
  </si>
  <si>
    <t>REH-MD01-MDU-ST-OC-Hil-1036-SCR-000035</t>
  </si>
  <si>
    <t>OC-SCR-000287</t>
  </si>
  <si>
    <t>REH-MDU - Wadi Yemm - Plot-1036 MISSING COLUMN TYPE AT GROUND AND FIRST IFC STRUCtURE</t>
  </si>
  <si>
    <t>REH-MD01-MDU-ST-OC-Hil-1029-SCR-000062</t>
  </si>
  <si>
    <t>OC-SCR-000288</t>
  </si>
  <si>
    <t>REH-MD01-MDU-ST-OC-Hil-1029-SCR-000063</t>
  </si>
  <si>
    <t>OC-SCR-000289</t>
  </si>
  <si>
    <t>REH-MD01-MDU-ST-OC-Hil-1021-SCR-000011</t>
  </si>
  <si>
    <t>OC-SCR-000294</t>
  </si>
  <si>
    <t>REH-MD01-MDU-ST-OC-Hil-1044-SCR-000022</t>
  </si>
  <si>
    <t>REH-MDU - Wadi Yemm - Confirmation for Beam Depth</t>
  </si>
  <si>
    <t>REH-MD01-MDU-ST-OC-Hil-1029-SCR-000064</t>
  </si>
  <si>
    <t>OC-SCR-000296</t>
  </si>
  <si>
    <t>REH-MDU - Wadi Yemm - Column conflicts</t>
  </si>
  <si>
    <t>REH-MD01-MDU-ST-OC-Hil-1022-SCR-000024</t>
  </si>
  <si>
    <t>OC-SCR-000297</t>
  </si>
  <si>
    <t>REH-MDU - Wadi Yemm - Confliction ARCH &amp; Structure drawings SP06-1022</t>
  </si>
  <si>
    <t>REH-MD01-MDU-ST-OC-Hil-1029-SCR-000065</t>
  </si>
  <si>
    <t>OC-SCR-000299</t>
  </si>
  <si>
    <t>REH-MDU - Wadi Yemm - Super Plot 01 - Plot-1037 Clarify Structural Adequacy and Verification of Wall Openings between Water Tank and Pump Room (Domestic Tank)</t>
  </si>
  <si>
    <t>REH-MD01-MDU-ST-OC-Hil-1029-SCR-000066</t>
  </si>
  <si>
    <t>OC-SCR-000300</t>
  </si>
  <si>
    <t>REH-MD01-MDU-ST-OC-Hil-1027-SCR-000008</t>
  </si>
  <si>
    <t>OC-SCR-000301</t>
  </si>
  <si>
    <t>REH-MDU - Wadi Yemm - Fortaleza (Plot 1027) -IFC Foundation Clarification</t>
  </si>
  <si>
    <t>REH-MD01-MDU-ST-OC-Hil-1041-SCR-000007</t>
  </si>
  <si>
    <t>OC-SCR-000302</t>
  </si>
  <si>
    <t>REH-MD01-MDU-ST-OC-Hil-1029-SCR-000067</t>
  </si>
  <si>
    <t>OC-SCR-000304</t>
  </si>
  <si>
    <t>REH-MDU - Wadi Yemm - slab opening for SP01-PLOT 1030 LOWER GROUND</t>
  </si>
  <si>
    <t>REH-MD01-MDU-ST-OC-Hil-1036-SCR-000036</t>
  </si>
  <si>
    <t>OC-SCR-000309</t>
  </si>
  <si>
    <t>REH-MDU - Wadi Yemm - Plot-1036: WALLS REINFORCEMENT AT CORNERS.</t>
  </si>
  <si>
    <t>REH-MD01-MDU-ST-OC-Hil-1024-SCR-000019</t>
  </si>
  <si>
    <t>OC-SCR-000313</t>
  </si>
  <si>
    <t>REH-MDU - Wadi Yemm - Proposal For increase Beam Depth Part (1) Ground Plot 1024</t>
  </si>
  <si>
    <t>REH-MD01-MDU-ST-OC-Hil-1029-SCR-000068</t>
  </si>
  <si>
    <t>OC-SCR-000315</t>
  </si>
  <si>
    <t>REH-MD01-MDU-ST-OC-Hil-1060-SCR-000018</t>
  </si>
  <si>
    <t>OC-SCR-000316</t>
  </si>
  <si>
    <t>REH-MDU - Wadi Yemm - MISSING DATA IN IFC</t>
  </si>
  <si>
    <t>REH-MD01-MDU-ST-OC-Hil-1022-SCR-000025</t>
  </si>
  <si>
    <t>OC-SCR-000319</t>
  </si>
  <si>
    <t>REH-MDU - Wadi Yemm - Clarifications at SP6-plot 1018</t>
  </si>
  <si>
    <t>REH-MD01-MDU-ST-OC-Hil-1023-SCR-000009</t>
  </si>
  <si>
    <t>OC-SCR-000326</t>
  </si>
  <si>
    <t>REH-MDU - Wadi Yemm - SP05 -Clarifications between architecture drawings and structure drawing foundation plans</t>
  </si>
  <si>
    <t>REH-MD01-MDU-ST-OC-Hil-1024-SCR-000020</t>
  </si>
  <si>
    <t>OC-SCR-000328</t>
  </si>
  <si>
    <t>REH-MDU - Plot 1024- first floor- a conflict in STR. Design drawing.</t>
  </si>
  <si>
    <t>REH-MD01-MDU-ST-OC-Hil-1047-SCR-000011</t>
  </si>
  <si>
    <t>OC-SCR-000329</t>
  </si>
  <si>
    <t>REH-MDU - Plot 1024- first floor- Conflict in STR. Design-PLOT 1047- FIRST FLOOR-PART 3.</t>
  </si>
  <si>
    <t>REH-MD01-MDU-ST-OC-Hil-1022-SCR-000026</t>
  </si>
  <si>
    <t>OC-SCR-000330</t>
  </si>
  <si>
    <t>REH-MDU -SP06 - Q4 1045 &amp; Q 1046 - Conflict between Expansion joint with Landscape package</t>
  </si>
  <si>
    <t>REH-MD01-MDU-ST-OC-Hil-1023-SCR-000010</t>
  </si>
  <si>
    <t>OC-SCR-000331</t>
  </si>
  <si>
    <t>REH-MDU -SP05 -Missing RFT and Concrete dimensions for some elements in foundation plans</t>
  </si>
  <si>
    <t>REH-MD01-MDU-ST-OC-Hil-1031-SCR-000006</t>
  </si>
  <si>
    <t>OC-SCR-000332</t>
  </si>
  <si>
    <t>REH-MDU - Required Design Drawings for Typical Floors in (SP-02)</t>
  </si>
  <si>
    <t>REH-MD01-MDU-ST-OC-Hil-1029-SCR-000069</t>
  </si>
  <si>
    <t>OC-SCR-000333</t>
  </si>
  <si>
    <t>REH-MDU - Shaft Openening &amp; Drop Panel Clarification for SP01-PLOT 1034 GROUND</t>
  </si>
  <si>
    <t>REH-MD01-MDU-ST-OC-Hil-1029-SCR-000070</t>
  </si>
  <si>
    <t>OC-SCR-000335</t>
  </si>
  <si>
    <t>REH-MDU - Wadi Yemm - Plot 1034 - Ground level beam clarification</t>
  </si>
  <si>
    <t>REH-MD01-MDU-ST-OC-Hil-XXXX-SCR-000003</t>
  </si>
  <si>
    <t>OC-SCR-000337</t>
  </si>
  <si>
    <t>REH-MDU - Wadi Yemm - Plot XXXX - Request For General Details for Rft of Light weight Concrete Stairs</t>
  </si>
  <si>
    <t>REH-MD01-MDU-ST-OC-Hil-1026-SCR-000015</t>
  </si>
  <si>
    <t>OC-SCR-000339</t>
  </si>
  <si>
    <t>REH-MDU - Wadi Yemm - Plot 1026 - structural sysytrm at Ramp</t>
  </si>
  <si>
    <t>REH-MD01-MDU-ST-OC-Hil-1029-SCR-000071</t>
  </si>
  <si>
    <t>OC-SCR-000340</t>
  </si>
  <si>
    <t>REH-MD01-MDU-ST-OC-Hil-1031-SCR-000007</t>
  </si>
  <si>
    <t>OC-SCR-000344</t>
  </si>
  <si>
    <t>REH-MDU - Wadi Yemm - Discrepancies in opening-1032 B1- SP02</t>
  </si>
  <si>
    <t>REH-MD01-MDU-ST-OC-Hil-1026-SCR-000016</t>
  </si>
  <si>
    <t>OC-SCR-000346</t>
  </si>
  <si>
    <t>REH-MD01-MDU-ST-OC-Hil-1060-SCR-000019</t>
  </si>
  <si>
    <t>OC-SCR-000347</t>
  </si>
  <si>
    <t>REH-MDU - Wadi Yemm - Shafts contradictions- Plot 1060- at basement 02 floor</t>
  </si>
  <si>
    <t>REH-MD01-MDU-ST-OC-Hil-1029-SCR-000072</t>
  </si>
  <si>
    <t>OC-SCR-000348</t>
  </si>
  <si>
    <t>REH-MDU - Wadi Yemm - Plot 1035 - Landscape stairs missing</t>
  </si>
  <si>
    <t>REH-MD01-MDU-ST-OC-Hil-1029-SCR-000073</t>
  </si>
  <si>
    <t>OC-SCR-000349</t>
  </si>
  <si>
    <t>REH-MDU - Wadi Yemm - Clarification Request Regarding (SCR) - Foundation Level Structural IFC Drawings For Plot 1029</t>
  </si>
  <si>
    <t>REH-MD01-MDU-ST-OC-Hil-1036-SCR-000037</t>
  </si>
  <si>
    <t>OC-SCR-000350</t>
  </si>
  <si>
    <t>REH-MDU - Wadi Yemm - Plot-1036: Proposal for Reinforcement of Transferred Columns (C100 &amp; C35)</t>
  </si>
  <si>
    <t>REH-MD01-MDU-ST-OC-Hil-1024-SCR-000021</t>
  </si>
  <si>
    <t>OC-SCR-000351</t>
  </si>
  <si>
    <t>REH-MDU - Wadi Yemm - Proposal For Increase Column Width Part (2) First As per Site Conditions Plot 1024</t>
  </si>
  <si>
    <t>REH-MD01-MDU-ST-OC-Hil-1031-SCR-000008</t>
  </si>
  <si>
    <t>OC-SCR-000353</t>
  </si>
  <si>
    <t>REH-MDU - Wadi Yemm - Missing data in SP02</t>
  </si>
  <si>
    <t>REH-MD01-MDU-ST-OC-Hil-1031-SCR-000009</t>
  </si>
  <si>
    <t>OC-SCR-000354</t>
  </si>
  <si>
    <t>REH-MDU - Wadi Yemm - Level Difference-1032 B1- SP02</t>
  </si>
  <si>
    <t>REH-MD01-MDU-ST-OC-Hil-1031-SCR-000010</t>
  </si>
  <si>
    <t>OC-SCR-000355</t>
  </si>
  <si>
    <t>REH-MDU - Wadi Yemm - Missing data and conflicting information</t>
  </si>
  <si>
    <t>REH-MD01-MDU-ST-OC-Hil-1027-SCR-000009</t>
  </si>
  <si>
    <t>OC-SCR-000358</t>
  </si>
  <si>
    <t>REH-MDU - Wadi Yemm - Fortaleza (Plot 1027) - Basement 01 IFC Package – Clarification Required</t>
  </si>
  <si>
    <t>REH-MD01-MDU-ST-OC-Hil-1027-SCR-000010</t>
  </si>
  <si>
    <t>OC-SCR-000359</t>
  </si>
  <si>
    <t>REH-MDU - Wadi Yemm - Fortaleza Hotel (Plot 1027) –Structural IFC Foundation Package Rev.01 vs. Plumbing 50% DD Package –Location Discrepancies</t>
  </si>
  <si>
    <t>REH-MD01-MDU-ST-OC-Hil-1022-SCR-000027</t>
  </si>
  <si>
    <t>OC-SCR-000363</t>
  </si>
  <si>
    <t>REH-MD01-MDU-ST-OC-Hil-1021-SCR-000012</t>
  </si>
  <si>
    <t>OC-SCR-000368</t>
  </si>
  <si>
    <t>REH-MD01-MDU-ST-OC-Hil-1031-SCR-000011</t>
  </si>
  <si>
    <t>OC-SCR-000369</t>
  </si>
  <si>
    <t>REH-MDU - Wadi Yemm - Opening Contradiction -1031 L.G &amp; GR. PLANS- SP02</t>
  </si>
  <si>
    <t>REH-MD01-MDU-ST-OC-Hil-1060-SCR-000020</t>
  </si>
  <si>
    <t>OC-SCR-000370</t>
  </si>
  <si>
    <t>REH-MDU - Wadi Yemm - Clarification Required – Structural IFC vs Architectural Design (Plot 1060)</t>
  </si>
  <si>
    <t>REH-MD01-MDU-ST-OC-Hil-1029-SCR-000074</t>
  </si>
  <si>
    <t>OC-SCR-000372</t>
  </si>
  <si>
    <t>REH-MD01-MDU-ST-OC-Hil-1029-SCR-000075</t>
  </si>
  <si>
    <t>OC-SCR-000373</t>
  </si>
  <si>
    <t>REH-MD01-MDU-ST-OC-Hil-1029-SCR-000076</t>
  </si>
  <si>
    <t>OC-SCR-000374</t>
  </si>
  <si>
    <t>REH-MDU - Wadi Yemm - Clarification Request Regarding (SCR) - Lower Ground Level Structural IFC Drawings For Plot 1034</t>
  </si>
  <si>
    <t>REH-MD01-MDU-ST-OC-Hil-1029-SCR-000077</t>
  </si>
  <si>
    <t>OC-SCR-000375</t>
  </si>
  <si>
    <t>REH-MD01-MDU-ST-OC-Hil-1029-SCR-000078</t>
  </si>
  <si>
    <t>OC-SCR-000377</t>
  </si>
  <si>
    <t>REH-MDU - Wadi Yemm - Carifications at super plot 01 plot 1035</t>
  </si>
  <si>
    <t>REH-MD01-MDU-ST-OC-Hil-1029-SCR-000079</t>
  </si>
  <si>
    <t>OC-SCR-000378</t>
  </si>
  <si>
    <t>REH-MD01-MDU-ST-OC-Hil-1023-SCR-000011</t>
  </si>
  <si>
    <t>OC-SCR-000379</t>
  </si>
  <si>
    <t>REH-MD01-MDU-ST-OC-Hil-1024-SCR-000022</t>
  </si>
  <si>
    <t>OC-SCR-000380</t>
  </si>
  <si>
    <t>REH-MDU - Wadi Yemm - Missing Drawings of Roof Level Plot 1024</t>
  </si>
  <si>
    <t>REH-MD01-MDU-ST-OC-Hil-1043-SCR-000010</t>
  </si>
  <si>
    <t>OC-SCR-000382</t>
  </si>
  <si>
    <t>REH-MDU - Wadi Yemm - Light house - Sump pits missing data</t>
  </si>
  <si>
    <t>REH-MD01-MDU-ST-OC-Hil-1021-SCR-000013</t>
  </si>
  <si>
    <t>OC-SCR-000384</t>
  </si>
  <si>
    <t>REH-MDU - Wadi Yemm - Plot 1021 - ground - Columns</t>
  </si>
  <si>
    <t>REH-MD01-MDU-ST-OC-Hil-1024-SCR-000023</t>
  </si>
  <si>
    <t>OC-SCR-000386</t>
  </si>
  <si>
    <t>REH-MDU - Wadi Yemm - Ramp Details for Plot 1024</t>
  </si>
  <si>
    <t>REH-MD01-MDU-ST-OC-Hil-1029-SCR-000080</t>
  </si>
  <si>
    <t>OC-SCR-000383</t>
  </si>
  <si>
    <t>REH-MD01-MDU-ST-OC-Hil-1029-SCR-000081</t>
  </si>
  <si>
    <t>OC-SCR-000388</t>
  </si>
  <si>
    <t>REH-MDU - Wadi Yemm - SUPER PLOT 01 Clarification Request Regarding (SCR) - Ground Level Structural IFC Drawings For Plot 1029</t>
  </si>
  <si>
    <t>REH-MD01-MDU-ST-OC-Hil-1036-SCR-000038</t>
  </si>
  <si>
    <t>OC-SCR-000389</t>
  </si>
  <si>
    <t>REH-MDU - Wadi Yemm - Plot-1036: Proposal for Reinforcement of Transferred Columns (C100 &amp; C35 &amp; C92 &amp; C94 &amp; C2 &amp; C12)</t>
  </si>
  <si>
    <t>REH-MD01-MDU-ST-OC-Hil-1044-SCR-000023</t>
  </si>
  <si>
    <t>OC-SCR-000385</t>
  </si>
  <si>
    <t>REH-MDU - Wadi Yemm - Ramp &amp; Trench Drain Construction Detail Confirmation</t>
  </si>
  <si>
    <t>REH-MD01-MDU-ST-OC-Hil-1027-SCR-000011</t>
  </si>
  <si>
    <t>OC-SCR-000390</t>
  </si>
  <si>
    <t>REH-MDU - Wadi Yemm - Fortaleza Hotel (Plot 1027) –Structural IFC Foundation Package Rev.02 – Location Discrepancy</t>
  </si>
  <si>
    <t>REH-MD01-MDU-ST-OC-Hil-1023-SCR-000012</t>
  </si>
  <si>
    <t>OC-SCR-000391</t>
  </si>
  <si>
    <t>REH-MD01-MDU-ST-OC-Hil-1024-SCR-000024</t>
  </si>
  <si>
    <t>OC-SCR-000395</t>
  </si>
  <si>
    <t>REH-MDU - Wadi Yemm - Proposal For Increase Column Width Part (2) First As per Site Execution Plot 1024</t>
  </si>
  <si>
    <t>REH-MD01-MDU-ST-OC-Hil-1031-SCR-000012</t>
  </si>
  <si>
    <t>OC-SCR-000394</t>
  </si>
  <si>
    <t>REH-MDU - Wadi Yemm - Revit model's Shared Coordinates-SP02-RA08-1031</t>
  </si>
  <si>
    <t>REH-MD01-MDU-ST-OC-Hil-1023-SCR-000013</t>
  </si>
  <si>
    <t>OC-SCR-000397</t>
  </si>
  <si>
    <t>REH-MDU - Wadi Yemm - Plot 1023 - SP05 -conflict in pedestal dimensions at raft</t>
  </si>
  <si>
    <t>REH-MD01-MDU-ST-OC-Hil-1024-SCR-000025</t>
  </si>
  <si>
    <t>OC-SCR-000398</t>
  </si>
  <si>
    <t>REH-MDU - Wadi Yemm - Request of Typical Detail of Columns At Edge of Retaining Wall Plot 1024</t>
  </si>
  <si>
    <t>REH-MD01-MDU-ST-OC-Hil-1028-SCR-000014</t>
  </si>
  <si>
    <t>OC-SCR-000402</t>
  </si>
  <si>
    <t>REH-MDU - Wadi Yemm - 1028 -Ground Floor- Part3 - Clarification Required Regarding Attic Slab at Swimming Pool Area</t>
  </si>
  <si>
    <t>REH-MD01-MDU-ST-OC-Hil-1029-SCR-000082</t>
  </si>
  <si>
    <t>OC-SCR-000403</t>
  </si>
  <si>
    <t>REH-MDU - Wadi Yemm - Carifications at super plot 01</t>
  </si>
  <si>
    <t>REH-MD01-MDU-ST-OC-Hil-1047-SCR-000012</t>
  </si>
  <si>
    <t>OC-SCR-000404</t>
  </si>
  <si>
    <t>REH-MDU - Wadi Yemm - Design-PLOT 1047- 1st Floor- Part 02- position of (PC19).</t>
  </si>
  <si>
    <t>REH-MD01-MDU-ST-OC-Hil-1029-SCR-000083</t>
  </si>
  <si>
    <t>OC-SCR-000405</t>
  </si>
  <si>
    <t>REH-MDU - Wadi Yemm - CONCRETE DIMENSIONS OF CORE 02-PLOT1030-SP01</t>
  </si>
  <si>
    <t>REH-MD01-MDU-ST-OC-Hil-XXXX-SCR-000004</t>
  </si>
  <si>
    <t>OC-SCR-000406</t>
  </si>
  <si>
    <t>REH-MDU - Wadi Yemm - Plot XXXX - Upgrade Project BIM Software from Autodesk Revit 2024 to Autodesk Revit 2026</t>
  </si>
  <si>
    <t>REH-MD01-MDU-ST-OC-Hil-1020-SCR-000003</t>
  </si>
  <si>
    <t>OC-SCR-000409</t>
  </si>
  <si>
    <t>REH-MDU - Wadi Yemm - Clarification For foundations</t>
  </si>
  <si>
    <t>REH-MD01-MDU-ST-OC-Hil-1026-SCR-000017</t>
  </si>
  <si>
    <t>OC-SCR-000410</t>
  </si>
  <si>
    <t>REH-MDU - Wadi Yemm - Plot 1026 - Ground Floor conflict in levels.</t>
  </si>
  <si>
    <t>REH-MD01-MDU-ST-OC-Hil-1047-SCR-000013</t>
  </si>
  <si>
    <t>OC-SCR-000412</t>
  </si>
  <si>
    <t>REH-MDU - Wadi Yemm - Plot 1047- missing shaft in 3rd, and 4th str. Design drawings.</t>
  </si>
  <si>
    <t>REH-MD01-MDU-ST-OC-Hil-1029-SCR-000084</t>
  </si>
  <si>
    <t>OC-SCR-000413</t>
  </si>
  <si>
    <t>REH-MDU - Wadi Yemm - Carifications at super plot 01 plot 1029</t>
  </si>
  <si>
    <t>REH-MD01-MDU-ST-OC-Hil-1029-SCR-000085</t>
  </si>
  <si>
    <t>OC-SCR-000416</t>
  </si>
  <si>
    <t>REH-MD01-MDU-ST-OC-Hil-1029-SCR-000086</t>
  </si>
  <si>
    <t>OC-SCR-000417</t>
  </si>
  <si>
    <t>REH-MDU - Wadi Yemm - SP01- LOWER GROUND BEAMS TYPE CHANGE.</t>
  </si>
  <si>
    <t>REH-MD01-MDU-ST-OC-Hil-1060-SCR-000021</t>
  </si>
  <si>
    <t>OC-SCR-000419</t>
  </si>
  <si>
    <t>REH-MDU - Wadi Yemm - Clarification Required – Plot 1060 - Basement 01 - Conflict in Openings &amp; elevator pit</t>
  </si>
  <si>
    <t>REH-MD01-MDU-ST-OC-Hil-1029-SCR-000087</t>
  </si>
  <si>
    <t>OC-SCR-000424</t>
  </si>
  <si>
    <t>REH-MDU - Wadi Yemm - Plot 1037 - S.O.G level modification clarification</t>
  </si>
  <si>
    <t>REH-MD01-MDU-ST-OC-Hil-1029-SCR-000088</t>
  </si>
  <si>
    <t>OC-SCR-000425</t>
  </si>
  <si>
    <t>REH-MD01-MDU-ST-OC-Hil-1029-SCR-000089</t>
  </si>
  <si>
    <t>OC-SCR-000426</t>
  </si>
  <si>
    <t>REH-MDU - Wadi Yemm - THE START LEVEL OF REDUCTION FOR C09&amp;C10</t>
  </si>
  <si>
    <t>REH-MD01-MDU-ST-OC-Hil-1029-SCR-000090</t>
  </si>
  <si>
    <t>OC-SCR-000427</t>
  </si>
  <si>
    <t>REH-MDU - Wadi Yemm - DETERMINE THE END OF BEAM AND ITS SUPPORT.</t>
  </si>
  <si>
    <t>REH-MD01-MDU-ST-OC-Hil-1022-SCR-000028</t>
  </si>
  <si>
    <t>OC-SCR-000428</t>
  </si>
  <si>
    <t>REH-MDU - Wadi Yemm - Carifications at super plot 06-Plot 1018-attic slab</t>
  </si>
  <si>
    <t>REH-MD01-MDU-ST-OC-Hil-1029-SCR-000091</t>
  </si>
  <si>
    <t>OC-SCR-000432</t>
  </si>
  <si>
    <t>REH-MDU - Wadi Yemm - SP01- GROUND BEAMS TYPE CHANGE.</t>
  </si>
  <si>
    <t>REH-MD01-MDU-ST-OC-Hil-1025-SCR-000005</t>
  </si>
  <si>
    <t>OC-SCR-000433</t>
  </si>
  <si>
    <t>REH-MDU - Wadi Yemm - Plot 1025- Super structure coordination</t>
  </si>
  <si>
    <t>REH-MD01-MDU-ST-OC-Hil-1028-SCR-000015</t>
  </si>
  <si>
    <t>OC-SCR-000434</t>
  </si>
  <si>
    <t>REH-MDU - Wadi Yemm -1028 -From Foundation to Basement Slab Level- Part3 - Column C8 Executed Size and Reinforcement Discrepancy</t>
  </si>
  <si>
    <t>REH-MD01-MDU-ST-OC-Hil-1029-SCR-000092</t>
  </si>
  <si>
    <t>OC-SCR-000436</t>
  </si>
  <si>
    <t>REH-MDU - Wadi Yemm - Plot 1035 - STAIR 03 - A11</t>
  </si>
  <si>
    <t>REH-MD01-MDU-ST-OC-Hil-1029-SCR-000093</t>
  </si>
  <si>
    <t>OC-SCR-000437</t>
  </si>
  <si>
    <t>REH-MDU - Wadi Yemm - Beam Type Clarification</t>
  </si>
  <si>
    <t>REH-MD01-MDU-ST-OC-Hil-1029-SCR-000094</t>
  </si>
  <si>
    <t>OC-SCR-000438</t>
  </si>
  <si>
    <t>REH-MDU - Wadi Yemm - COLUMN AND AXIS for SP01-PLOT 1030 FOR FIRST LEVEL</t>
  </si>
  <si>
    <t>REH-MD01-MDU-ST-OC-Hil-1044-SCR-000024</t>
  </si>
  <si>
    <t>OC-SCR-000440</t>
  </si>
  <si>
    <t>REH-MD01-MDU-ST-OC-Hil-1029-SCR-000095</t>
  </si>
  <si>
    <t>OC-SCR-000441</t>
  </si>
  <si>
    <t>REH-MD01-MDU-ST-OC-Hil-1029-SCR-000096</t>
  </si>
  <si>
    <t>OC-SCR-000442</t>
  </si>
  <si>
    <t>REH-MD01-MDU-ST-OC-Hil-1022-SCR-000029</t>
  </si>
  <si>
    <t>OC-SCR-000443</t>
  </si>
  <si>
    <t>REH-MDU - Wadi Yemm - Request for Latest Updated Landscape Package – Super Plot 06, Plot 1045 &amp; 1046</t>
  </si>
  <si>
    <t>REH-MD01-MDU-ST-OC-Hil-1029-SCR-000097</t>
  </si>
  <si>
    <t>OC-SCR-000444</t>
  </si>
  <si>
    <t>REH-MD01-MDU-ST-OC-Hil-1031-SCR-000013</t>
  </si>
  <si>
    <t>OC-SCR-000445</t>
  </si>
  <si>
    <t>REH-MDU - Wadi Yemm - COLUMNS DIMENSIONS -Plot 1031 L.G PLAN- SP02</t>
  </si>
  <si>
    <t>REH-MD01-MDU-ST-OC-Hil-1029-SCR-000098</t>
  </si>
  <si>
    <t>OC-SCR-000446</t>
  </si>
  <si>
    <t>REH-MD01-MDU-ST-OC-Hil-1031-SCR-000014</t>
  </si>
  <si>
    <t>OC-SCR-000448</t>
  </si>
  <si>
    <t>REH-MDU - Wadi Yemm - Discrepancies in opening and slab -1033 Lower GR- SP02</t>
  </si>
  <si>
    <t>REH-MD01-MDU-ST-OC-Hil-1026-SCR-000018</t>
  </si>
  <si>
    <t>OC-SCR-000451</t>
  </si>
  <si>
    <t>REH-MDU - Wadi Yemm - Shaft Contradictions – Plot 1026 – First Floor.</t>
  </si>
  <si>
    <t>REH-MD01-MDU-ST-OC-Hil-1023-SCR-000014</t>
  </si>
  <si>
    <t>OC-SCR-000452</t>
  </si>
  <si>
    <t>REH-MDU - Wadi Yemm - Plot 1023 - SP05 -RFT of column C34</t>
  </si>
  <si>
    <t>REH-MD01-MDU-ST-OC-Hil-1022-SCR-000030</t>
  </si>
  <si>
    <t>OC-SCR-000453</t>
  </si>
  <si>
    <t>REH-MDU - Wadi Yemm - STRUCTURAL CLARIFICATIONS – Super Plot 06, Plot 1022</t>
  </si>
  <si>
    <t>REH-MD01-MDU-ST-OC-Hil-1027-SCR-000012</t>
  </si>
  <si>
    <t>OC-SCR-000454</t>
  </si>
  <si>
    <t>REH-MDU - Wadi Yemm - Fortaleza Hotel (Plot 1027) –Structural IFC - Early Works - Ground Floor IFC</t>
  </si>
  <si>
    <t>REH-MD01-MDU-ST-OC-Hil-1029-SCR-000099</t>
  </si>
  <si>
    <t>OC-SCR-000457</t>
  </si>
  <si>
    <t>REH-MD01-MDU-ST-OC-Hil-1043-SCR-000011</t>
  </si>
  <si>
    <t>OC-SCR-000459</t>
  </si>
  <si>
    <t>REH-MDU - Wadi Yemm - Light house - Lower ground columns conflict</t>
  </si>
  <si>
    <t>REH-MD01-MDU-ST-OC-Hil-1029-SCR-000100</t>
  </si>
  <si>
    <t>OC-SCR-000460</t>
  </si>
  <si>
    <t>REH-MDU - Wadi Yemm - SP01- GROUND BEAMS and SLAB TOC CLARIFICATION</t>
  </si>
  <si>
    <t>REH-MD01-MDU-ST-OC-Hil-1029-SCR-000101</t>
  </si>
  <si>
    <t>OC-SCR-000461</t>
  </si>
  <si>
    <t>REH-MD01-MDU-ST-OC-Hil-1043-SCR-000012</t>
  </si>
  <si>
    <t>OC-SCR-000462</t>
  </si>
  <si>
    <t>REH-MDU - Wadi Yemm - Light house - SIKKA Road Retaining wall foundation RFT details</t>
  </si>
  <si>
    <t>REH-MD01-MDU-ST-OC-Hil-1029-SCR-000102</t>
  </si>
  <si>
    <t>OC-SCR-000465</t>
  </si>
  <si>
    <t>REH-MDU - Wadi Yemm - SP01- PLANTED COLUMNS LOCATION CLARIFICATION</t>
  </si>
  <si>
    <t>REH-MD01-MDU-ST-OC-Hil-1044-SCR-000025</t>
  </si>
  <si>
    <t>OC-SCR-000468</t>
  </si>
  <si>
    <t>REH-MDU - Wadi Yemm - CConflict Between Attachment 01 &amp; Attachment 02 – Slab Edge and Opening Dimensions</t>
  </si>
  <si>
    <t>REH-MD01-MDU-ST-OC-Hil-1029-SCR-000103</t>
  </si>
  <si>
    <t>OC-SCR-000469</t>
  </si>
  <si>
    <t>REH-MDU - Wadi Yemm - conflicts between the beams and openning in the wall</t>
  </si>
  <si>
    <t>REH-MD01-MDU-ST-OC-Hil-1043-SCR-000013</t>
  </si>
  <si>
    <t>OC-SCR-000471</t>
  </si>
  <si>
    <t>REH-MDU - Wadi Yemm - Light house - Lower Ground Slab descrapincies</t>
  </si>
  <si>
    <t>REH-MD01-MDU-ST-OC-Hil-1020-SCR-000004</t>
  </si>
  <si>
    <t>OC-SCR-000479</t>
  </si>
  <si>
    <t>REH-MDU - Wadi Yemm - Discrepancies Between ARCH &amp; STR MODELS</t>
  </si>
  <si>
    <t>REH-MD01-MDU-ST-OC-Hil-1029-SCR-000104</t>
  </si>
  <si>
    <t>OC-SCR-000480</t>
  </si>
  <si>
    <t>REH-MDU - Wadi Yemm - conflicts between the beams</t>
  </si>
  <si>
    <t>REH-MD01-MDU-ST-OC-Hil-1043-SCR-000014</t>
  </si>
  <si>
    <t>OC-SCR-000481</t>
  </si>
  <si>
    <t>REH-MDU - Wadi Yemm - Light house - Light house - Lower Ground Slab descrapincies</t>
  </si>
  <si>
    <t>REH-MD01-MDU-ST-OC-Hil-1024-SCR-000026</t>
  </si>
  <si>
    <t>OC-SCR-000482</t>
  </si>
  <si>
    <t>REH-MDU - Wadi Yemm -Missing Areas in Str. Design DWG. For Second Level Plot 1024</t>
  </si>
  <si>
    <t>REH-MD01-MDU-ST-OC-Hil-1026-SCR-000019</t>
  </si>
  <si>
    <t>OC-SCR-000483</t>
  </si>
  <si>
    <t>REH-MDU - Wadi Yemm - Conflict in Column C42 dimensions at plot 1026</t>
  </si>
  <si>
    <t>REH-MD01-MDU-ST-OC-Hil-1024-SCR-000027</t>
  </si>
  <si>
    <t>OC-SCR-000485</t>
  </si>
  <si>
    <t>REH-MDU - Wadi Yemm - Plot 1024 - Second floor - Openings .</t>
  </si>
  <si>
    <t>REH-MD01-MDU-ST-OC-Hil-1029-SCR-000105</t>
  </si>
  <si>
    <t>OC-SCR-000486</t>
  </si>
  <si>
    <t>REH-MDU - Wadi Yemm - Clarification Request Regarding (SCR) - Ground Level Structural IFC Drawings For Plot 1034</t>
  </si>
  <si>
    <t>REH-MD01-MDU-ST-OC-Hil-1027-SCR-000013</t>
  </si>
  <si>
    <t>OC-SCR-000487</t>
  </si>
  <si>
    <t>REH-MDU - Wadi Yemm - Fortaleza (Plot 1027) – Tower Crane Part H - Concrtet Dimension</t>
  </si>
  <si>
    <t>REH-MD01-MDU-ST-OC-Hil-1024-SCR-000028</t>
  </si>
  <si>
    <t>OC-SCR-000490</t>
  </si>
  <si>
    <t>REH-MD01-MDU-ST-OC-Hil-1026-SCR-000020</t>
  </si>
  <si>
    <t>OC-SCR-000492</t>
  </si>
  <si>
    <t>REH-MDU - Wadi Yemm - Conflict Level in Ground Slab at Plot -1026</t>
  </si>
  <si>
    <t>REH-MD01-MDU-ST-OC-Hil-1026-SCR-000021</t>
  </si>
  <si>
    <t>OC-SCR-000491</t>
  </si>
  <si>
    <t>REH-MDU - Wadi Yemm - MISSING Beam Tyeps in Ground FLOOR at Plot -1026</t>
  </si>
  <si>
    <t>REH-MD01-MDU-ST-OC-Hil-1021-SCR-000014</t>
  </si>
  <si>
    <t>OC-SCR-000495</t>
  </si>
  <si>
    <t>REH-MD01-MDU-ST-OC-Hil-1044-SCR-000026</t>
  </si>
  <si>
    <t>OC-SCR-000496</t>
  </si>
  <si>
    <t>REH-MDU - Wadi Yemm - Slab Opening Discrepancy Between Architectural and Structural Drawings</t>
  </si>
  <si>
    <t>REH-MD01-MDU-ST-OC-Hil-1022-SCR-000031</t>
  </si>
  <si>
    <t>OC-SCR-000502</t>
  </si>
  <si>
    <t>REH-MDU - Wadi Yemm - SP06 – Q4 1045 – Part 14 – Clarification of Ground Slab Coordination Issues</t>
  </si>
  <si>
    <t>REH-MD01-MDU-ST-OC-Hil-1022-SCR-000032</t>
  </si>
  <si>
    <t>OC-SCR-000503</t>
  </si>
  <si>
    <t>REH-MDU - Wadi Yemm - SP06 – Q3 1046 – Part 20 – Clarification of Ground Slab Coordination Issues</t>
  </si>
  <si>
    <t>REH-MD01-MDU-ST-OC-Hil-1022-SCR-000033</t>
  </si>
  <si>
    <t>OC-SCR-000504</t>
  </si>
  <si>
    <t>REH-MDU - Wadi Yemm - SP06 – Q3 1046 – Part 21 – Clarification of Ground Slab Coordination Issues</t>
  </si>
  <si>
    <t>REH-MD01-MDU-ST-OC-Hil-1022-SCR-000034</t>
  </si>
  <si>
    <t>OC-SCR-000505</t>
  </si>
  <si>
    <t>REH-MD01-MDU-ST-OC-Hil-1024-SCR-000029</t>
  </si>
  <si>
    <t>OC-SCR-000506</t>
  </si>
  <si>
    <t>REH-MDU - Wadi Yemm - Conflict and Missing Data in Str. Design DWG. For Second Level Plot 1024</t>
  </si>
  <si>
    <t>REH-MD01-MDU-ST-OC-Hil-1029-SCR-000106</t>
  </si>
  <si>
    <t>OC-SCR-000507</t>
  </si>
  <si>
    <t>REH-MDU - Wadi Yemm - Plot 1035 - Slabs connection</t>
  </si>
  <si>
    <t>REH-MD01-MDU-ST-OC-Hil-1029-SCR-000107</t>
  </si>
  <si>
    <t>OC-SCR-000511</t>
  </si>
  <si>
    <t>REH-MD01-MDU-ST-OC-Hil-1029-SCR-000108</t>
  </si>
  <si>
    <t>OC-SCR-000512</t>
  </si>
  <si>
    <t>REH-MDU - Wadi Yemm - SUPER PLOT 01 Clarification Request Regarding (SCR) -LOWER Ground Level Structural IFC Drawings For Plot 1029</t>
  </si>
  <si>
    <t>REH-MD01-MDU-ST-OC-Hil-1024-SCR-000030</t>
  </si>
  <si>
    <t>OC-SCR-000514</t>
  </si>
  <si>
    <t>REH-MDU - Wadi Yemm - Drilled and Missing RFT of Vertical RW Part (4) For Ground Level Plot 1024</t>
  </si>
  <si>
    <t>REH-MD01-MDU-ST-OC-Hil-1029-SCR-000109</t>
  </si>
  <si>
    <t>OC-SCR-000516</t>
  </si>
  <si>
    <t>REH-MDU - Wadi Yemm - Super Plot 01 - Plot-1035 Clarify Structural Adequacy and Verification of Beam Type &amp; Dimensions</t>
  </si>
  <si>
    <t>REH-MD01-MDU-ST-OC-Hil-1024-SCR-000031</t>
  </si>
  <si>
    <t>OC-SCR-000518</t>
  </si>
  <si>
    <t>REH-MDU - Wadi Yemm - Updates in Str. Design for First Floor Plot 1024 Dated 13-7-2026</t>
  </si>
  <si>
    <t>REH-MD01-MDU-ST-OC-Hil-1022-SCR-000035</t>
  </si>
  <si>
    <t>OC-SCR-000519</t>
  </si>
  <si>
    <t>REH-MDU - Wadi Yemm - Clarifications at SP6-plot 1022</t>
  </si>
  <si>
    <t>REH-MD01-MDU-ST-OC-Hil-1022-SCR-000036</t>
  </si>
  <si>
    <t>OC-SCR-000520</t>
  </si>
  <si>
    <t>REH-MDU - Wadi Yemm - Columns &amp; Axis Clarifications at SP06-plot 1022</t>
  </si>
  <si>
    <t>REH-MD01-MDU-ST-OC-Hil-1022-SCR-000037</t>
  </si>
  <si>
    <t>OC-SCR-000521</t>
  </si>
  <si>
    <t>REH-MDU - Wadi Yemm - SP06 – Q4 1045 – Clarification of Ground Slab Coordination Issues</t>
  </si>
  <si>
    <t>REH-MD01-MDU-ST-OC-Hil-1024-SCR-000032</t>
  </si>
  <si>
    <t>OC-SCR-000522</t>
  </si>
  <si>
    <t>REH-MDU - Wadi Yemm - Stairs 3&amp;7 Details- Plot 1024</t>
  </si>
  <si>
    <t>REH-MD01-MDU-ST-OC-Hil-1029-SCR-000110</t>
  </si>
  <si>
    <t>OC-SCR-000523</t>
  </si>
  <si>
    <t>REH-MD01-MDU-ST-OC-Hil-1029-SCR-000111</t>
  </si>
  <si>
    <t>OC-SCR-000524</t>
  </si>
  <si>
    <t>REH-MDU - Wadi Yemm - Clarification Request Regarding (SCR) - Ground Level Structural IFC Drawings For Plot 1035</t>
  </si>
  <si>
    <t>REH-MD01-MDU-ST-OC-Hil-1029-SCR-000112</t>
  </si>
  <si>
    <t>OC-SCR-000527</t>
  </si>
  <si>
    <t>REH-MD01-MDU-ST-OC-Hil-1029-SCR-000113</t>
  </si>
  <si>
    <t>OC-SCR-000537</t>
  </si>
  <si>
    <t>REH-MDU - Wadi Yemm - MISSED SLAB IN IFC DRAWINGS-PLOT1030-SP01</t>
  </si>
  <si>
    <t>REH-MD01-MDU-ST-OC-Hil-1029-SCR-000114</t>
  </si>
  <si>
    <t>OC-SCR-000540</t>
  </si>
  <si>
    <t>REH-MDU - Wadi Yemm - Clarification Regarding Intermediate Beams</t>
  </si>
  <si>
    <t>REH-MD01-MDU-ST-OC-Hil-1036-SCR-000039</t>
  </si>
  <si>
    <t>OC-SCR-000541</t>
  </si>
  <si>
    <t>REH-MDU - Wadi Yemm - Plot-1036 COLUMN C71 DEWELS BAR REINFORCEMENT ISSUE</t>
  </si>
  <si>
    <t>REH-MD01-MDU-ST-OC-Hil-1029-SCR-000115</t>
  </si>
  <si>
    <t>OC-SCR-000542</t>
  </si>
  <si>
    <t>REH-MDU - Wadi Yemm - CLARIFY BEAM SUPPORT.</t>
  </si>
  <si>
    <t>REH-MD01-MDU-ST-OC-Hil-1022-SCR-000038</t>
  </si>
  <si>
    <t>OC-SCR-000545</t>
  </si>
  <si>
    <t>REH-MD01-MDU-ST-OC-Hil-1024-SCR-000033</t>
  </si>
  <si>
    <t>OC-SCR-000546</t>
  </si>
  <si>
    <t>REH-MDU - Wadi Yemm -Adding new drainage shaft in ground slab of part 3- Plot 1024</t>
  </si>
  <si>
    <t>REH-MD01-MDU-ST-OC-Hil-1036-SCR-000040</t>
  </si>
  <si>
    <t>OC-SCR-000547</t>
  </si>
  <si>
    <t>REH-MDU - Wadi Yemm - Plot-1036 Typical staircase landing slab opening</t>
  </si>
  <si>
    <t>REH-MD01-MDU-ST-OC-Hil-1022-SCR-000039</t>
  </si>
  <si>
    <t>OC-SCR-000549</t>
  </si>
  <si>
    <t>REH-MDU - Wadi Yemm - SP06 – Q4 1045 – STAIRS ISSUES</t>
  </si>
  <si>
    <t>REH-MD01-MDU-ST-OC-Hil-1060-SCR-000022</t>
  </si>
  <si>
    <t>OC-SCR-000550</t>
  </si>
  <si>
    <t>REH-MDU - Wadi Yemm - Clarification Required – in SCR num.(REH-MD01-MDU-ST-OC-Hil-1060-SCR-000020) (Plot 1060)</t>
  </si>
  <si>
    <t>REH-MD01-MDU-ST-OC-Hil-1060-SCR-000023</t>
  </si>
  <si>
    <t>OC-SCR-000551</t>
  </si>
  <si>
    <t>REH-MDU - Wadi Yemm - Clarification Required – in SCR num.(REH-MD01-MDU-ST-OC-Hil-1060-SCR-000019) (Plot 1060)</t>
  </si>
  <si>
    <t>REH-MD01-MDU-ST-OC-Hil-1060-SCR-000024</t>
  </si>
  <si>
    <t>OC-SCR-000552</t>
  </si>
  <si>
    <t>REH-MDU - Wadi Yemm - Clarification Required for the punching details in foundation (Plot 1060)</t>
  </si>
  <si>
    <t>REH-MD01-MDU-ST-OC-Hil-1029-SCR-000116</t>
  </si>
  <si>
    <t>OC-SCR-000555</t>
  </si>
  <si>
    <t>REH-MDU - Wadi Yemm - CONFLICT BETWEEN PLAN PUNCHING DETAIL AND TABLE</t>
  </si>
  <si>
    <t>REH-MD01-MDU-ST-OC-Hil-1022-SCR-000040</t>
  </si>
  <si>
    <t>OC-SCR-000557</t>
  </si>
  <si>
    <t>REH-MD01-MDU-ST-OC-Hil-1029-SCR-000117</t>
  </si>
  <si>
    <t>OC-SCR-000560</t>
  </si>
  <si>
    <t>REH-MDU - Wadi Yemm -Clarification Regarding Landing Elevation and Stair Starter Bar location</t>
  </si>
  <si>
    <t>REH-MD01-MDU-ST-OC-Hil-1060-SCR-000025</t>
  </si>
  <si>
    <t>OC-SCR-000563</t>
  </si>
  <si>
    <t>REH-MDU - Wadi Yemm - Clarification Required – in SCR num.(Hil-1060-SCR-000019)&amp;(Hil-1060-SCR-000012) (Plot 1060)</t>
  </si>
  <si>
    <t>REH-MD01-MDU-ST-OC-Hil-1043-SCR-000015</t>
  </si>
  <si>
    <t>OC-SCR-000564</t>
  </si>
  <si>
    <t>REH-MDU - Wadi Yemm - Light house - Ground columns conflict</t>
  </si>
  <si>
    <t>REH-MD01-MDU-ST-OC-Hil-1024-SCR-000034</t>
  </si>
  <si>
    <t>OC-SCR-000566</t>
  </si>
  <si>
    <t>REH-MDU - Wadi Yemm - Proposal for Beam Depth Modification at part 06 to Achieve Uniform Soffit Level</t>
  </si>
  <si>
    <t>REH-MD01-MDU-ST-OC-Hil-1022-SCR-000041</t>
  </si>
  <si>
    <t>OC-SCR-000567</t>
  </si>
  <si>
    <t>REH-MD01-MDU-ST-OC-Hil-1029-SCR-000118</t>
  </si>
  <si>
    <t>OC-SCR-000568</t>
  </si>
  <si>
    <t>REH-MDU - Wadi Yemm - CLARIFY BEAM SUPPORT AND LEVEL.</t>
  </si>
  <si>
    <t>REH-MD01-MDU-ST-OC-Hil-1021-SCR-000015</t>
  </si>
  <si>
    <t>OC-SCR-000575</t>
  </si>
  <si>
    <t>REH-MDU - Wadi Yemm - Plot 1021 - Ground - slab discrepancies</t>
  </si>
  <si>
    <t>REH-MD01-MDU-ST-OC-Hil-1026-SCR-000022</t>
  </si>
  <si>
    <t>OC-SCR-000576</t>
  </si>
  <si>
    <t>REH-MDU - Wadi Yemm - Coordination Issues and Drawing Discrepancies in Ground FLOOR at Plot -1026</t>
  </si>
  <si>
    <t>REH-MD01-MDU-ST-OC-Hil-1029-SCR-000119</t>
  </si>
  <si>
    <t>OC-SCR-000577</t>
  </si>
  <si>
    <t>REH-MDU - Wadi Yemm - CLARIFY EXPANSION JOINT AND ITS SUPPORT.</t>
  </si>
  <si>
    <t>REH-MD01-MDU-ST-OC-Hil-1024-SCR-000035</t>
  </si>
  <si>
    <t>OC-SCR-000578</t>
  </si>
  <si>
    <t>REH-MD01-MDU-ST-OC-Hil-1027-SCR-000014</t>
  </si>
  <si>
    <t>OC-SCR-000579</t>
  </si>
  <si>
    <t>REH-MDU - Wadi Yemm - Fortaleza (Plot 1027) – Clarification of Structural Reinforcement and Ramp Beam Discrepancies</t>
  </si>
  <si>
    <t>REH-MD01-MDU-ST-OC-Hil-1029-SCR-000120</t>
  </si>
  <si>
    <t>OC-SCR-000580</t>
  </si>
  <si>
    <t>REH-MDU - Wadi Yemm - CLARIFY MISSED EXPANSION JOINT.</t>
  </si>
  <si>
    <t>REH-MD01-MDU-ST-OC-Hil-1021-SCR-000016</t>
  </si>
  <si>
    <t>OC-SCR-000588</t>
  </si>
  <si>
    <t>REH-MDU - Wadi Yemm - Plot 1021 - Basement 01 - pools .</t>
  </si>
  <si>
    <t>REH-MD01-MDU-ST-OC-Hil-1024-SCR-000036</t>
  </si>
  <si>
    <t>OC-SCR-000582</t>
  </si>
  <si>
    <t>REH-MDU - Wadi Yemm - Conflict and Missing Data in Str. Design DWG. For First Level Plot 1024</t>
  </si>
  <si>
    <t>REH-MD01-MDU-ST-OC-Hil-1043-SCR-000016</t>
  </si>
  <si>
    <t>OC-SCR-000583</t>
  </si>
  <si>
    <t>REH-MDU - Wadi Yemm - Light house - Ground Slab descrapincies</t>
  </si>
  <si>
    <t>REH-MD01-MDU-ST-OC-Hil-1022-SCR-000042</t>
  </si>
  <si>
    <t>OC-SCR-000593</t>
  </si>
  <si>
    <t>REH-MDU - Wadi Yemm - STRUCTURAL CLARIFICATIONS – Super Plot 06</t>
  </si>
  <si>
    <t>REH-MD01-MDU-ST-OC-Hil-1036-SCR-000041</t>
  </si>
  <si>
    <t>OC-SCR-000595</t>
  </si>
  <si>
    <t>REH-MDU - Wadi Yemm - Plot-1036 Slab edge coordination</t>
  </si>
  <si>
    <t>REH-MD01-MDU-ST-OC-Hil-1044-SCR-000027</t>
  </si>
  <si>
    <t>OC-SCR-000594</t>
  </si>
  <si>
    <t>REH-MDU - Wadi Yemm - Conflict Between Tower Crane Opening and Kids Pool Location</t>
  </si>
  <si>
    <t>REH-MD01-MDU-ST-OC-Hil-1029-SCR-000121</t>
  </si>
  <si>
    <t>OC-SCR-000597</t>
  </si>
  <si>
    <t>REH-MDU - Wadi Yemm - Super Plot 01 - Request for Shop Drawing Proposal – Continuous Beams / Detail Modification</t>
  </si>
  <si>
    <t>REH-MD01-MDU-ST-OC-Hil-1029-SCR-000122</t>
  </si>
  <si>
    <t>OC-SCR-000603</t>
  </si>
  <si>
    <t>REH-MD01-MDU-ST-OC-Hil-1021-SCR-000017</t>
  </si>
  <si>
    <t>OC-SCR-000605</t>
  </si>
  <si>
    <t>REH-MDU - Wadi Yemm - Plot 1021 - first - Conflict in Openings.</t>
  </si>
  <si>
    <t>REH-MD01-MDU-ST-OC-Hil-1022-SCR-000043</t>
  </si>
  <si>
    <t>OC-SCR-000610</t>
  </si>
  <si>
    <t>REH-MDU - Wadi Yemm - SP06 – Q4 1045 – PART 15 Ground Slab Coordination Issues</t>
  </si>
  <si>
    <t>REH-MD01-MDU-ST-OC-Hil-1028-SCR-000016</t>
  </si>
  <si>
    <t>OC-SCR-000611</t>
  </si>
  <si>
    <t>REH-MDU - Wadi Yemm - Plot 1028 -Clarification Required for Beam Type B00 at Ground Level Not Listed in Beam Schedule</t>
  </si>
  <si>
    <t>REH-MD01-MDU-ST-OC-Hil-1022-SCR-000044</t>
  </si>
  <si>
    <t>OC-SCR-000612</t>
  </si>
  <si>
    <t>REH-MD01-MDU-ST-OC-Hil-1043-SCR-000017</t>
  </si>
  <si>
    <t>OC-SCR-000613</t>
  </si>
  <si>
    <t>REH-MDU - Wadi Yemm - Light house - Additional RFT Length For Retaining wall</t>
  </si>
  <si>
    <t>REH-MD01-MDU-ST-OC-Hil-1044-SCR-000028</t>
  </si>
  <si>
    <t>OC-SCR-000614</t>
  </si>
  <si>
    <t>REH-MDU - Wadi Yemm - Clarification of Wall Details and Slab Reinforcement</t>
  </si>
  <si>
    <t>REH-MD01-MDU-ST-OC-Hil-1044-SCR-000029</t>
  </si>
  <si>
    <t>OC-SCR-000615</t>
  </si>
  <si>
    <t>REH-MDU - Wadi Yemm -   Clarification For Beams Details</t>
  </si>
  <si>
    <t>REH-MD01-MDU-ST-OC-Hil-1024-SCR-000037</t>
  </si>
  <si>
    <t>OC-SCR-000616</t>
  </si>
  <si>
    <t>REH-MD01-MDU-ST-OC-Hil-1021-SCR-000018</t>
  </si>
  <si>
    <t>OC-SCR-000623</t>
  </si>
  <si>
    <t>REH-MDU - Wadi Yemm - Plot 1021 - Conflict and missing data at Ground Floor</t>
  </si>
  <si>
    <t>REH-MD01-MDU-ST-OC-Hil-1026-SCR-000023</t>
  </si>
  <si>
    <t>OC-SCR-000624</t>
  </si>
  <si>
    <t>REH-MDU - Wadi Yemm - Plot 1026 – 1st Floor – Architectural &amp; Structural Drawing Conflicts</t>
  </si>
  <si>
    <t>REH-MD01-MDU-ST-OC-Hil-1029-SCR-000123</t>
  </si>
  <si>
    <t>OC-SCR-000629</t>
  </si>
  <si>
    <t>REH-MDU - Wadi Yemm - SP01 - RAMPS' THIKNESS</t>
  </si>
  <si>
    <t>REH-MD01-MDU-ST-OC-Hil-1029-SCR-000124</t>
  </si>
  <si>
    <t>OC-SCR-000631</t>
  </si>
  <si>
    <t>REH-MDU - Wadi Yemm - 1034 - LANDSCAPE STAIR</t>
  </si>
  <si>
    <t>REH-MD01-MDU-ST-OC-Hil-1029-SCR-000125</t>
  </si>
  <si>
    <t>OC-SCR-000632</t>
  </si>
  <si>
    <t>REH-MD01-MDU-ST-OC-Hil-1029-SCR-000126</t>
  </si>
  <si>
    <t>OC-SCR-000633</t>
  </si>
  <si>
    <t>REH-MDU - Wadi Yemm - Missing Grid at Ramp Area</t>
  </si>
  <si>
    <t>REH-MD01-MDU-ST-OC-Hil-1043-SCR-000018</t>
  </si>
  <si>
    <t>OC-SCR-000634</t>
  </si>
  <si>
    <t>REH-MDU - Wadi Yemm - Clarification Request Regarding the Use of Couplers for Columns with Reinforcement Ratio Exceeding 4%- SP07</t>
  </si>
  <si>
    <t>REH-MD01-MDU-ST-OC-Hil-1025-SCR-000006</t>
  </si>
  <si>
    <t>OC-SCR-000635</t>
  </si>
  <si>
    <t>REH-MDU - Wadi Yemm - Plot 1025- Super structure stairs</t>
  </si>
  <si>
    <t>REH-MD01-MDU-ST-OC-Hil-1024-SCR-000038</t>
  </si>
  <si>
    <t>OC-SCR-000637</t>
  </si>
  <si>
    <t>REH-MDU - Wadi Yemm - Slab edge contradictions-second slab - Plot 1024</t>
  </si>
  <si>
    <t>REH-MD01-MDU-ST-OC-Hil-1041-SCR-000008</t>
  </si>
  <si>
    <t>OC-SCR-000642</t>
  </si>
  <si>
    <t>REH-MDU - Wadi Yemm - Amphitheater Lower Ground- IFC updated as per comment</t>
  </si>
  <si>
    <t>REH-MD01-MDU-ST-OC-Hil-1024-SCR-000039</t>
  </si>
  <si>
    <t>OC-SCR-000647</t>
  </si>
  <si>
    <t>REH-MDU - Wadi Yemm - Clarification For Reply of SCR (REH-MD01-MDU-ST-OC-Hil-1024-SCR-000036-00)</t>
  </si>
  <si>
    <t>REH-MD01-MDU-ST-OC-Hil-1026-SCR-000024</t>
  </si>
  <si>
    <t>OC-SCR-000646</t>
  </si>
  <si>
    <t>REH-MD01-MDU-ST-OC-Hil-1031-SCR-000015</t>
  </si>
  <si>
    <t>OC-SCR-000648</t>
  </si>
  <si>
    <t>REH-MDU - Wadi Yemm - Plot 1032- Conflict and missing data at Basemen-01 Floor</t>
  </si>
  <si>
    <t>REH-MD01-MDU-ST-OC-Hil-1031-SCR-000016</t>
  </si>
  <si>
    <t>OC-SCR-000649</t>
  </si>
  <si>
    <t>REH-MDU - Wadi Yemm - Discrepancies in opening at retaining wall &amp; Façade conflict -1033 L.GR-1031 L.GR&amp;elevation- SP02</t>
  </si>
  <si>
    <t>REH-MD01-MDU-ST-OC-Hil-1024-SCR-000040</t>
  </si>
  <si>
    <t>OC-SCR-000651</t>
  </si>
  <si>
    <t>REH-MDU - Wadi Yemm - Plot 1024- Part 2 in 2nd floor - FB153 proposed new width</t>
  </si>
  <si>
    <t>REH-MD01-MDU-ST-OC-Hil-1029-SCR-000127</t>
  </si>
  <si>
    <t>OC-SCR-000650</t>
  </si>
  <si>
    <t>REH-MDU - Wadi Yemm -SP01- PLOT 1030 CONFLICTS AND CLARIFICATIONS.</t>
  </si>
  <si>
    <t>REH-MD01-MDU-ST-OC-Hil-1020-SCR-000005</t>
  </si>
  <si>
    <t>OC-SCR-000652</t>
  </si>
  <si>
    <t>REH-MDU - Wadi Yemm - Missing Door Opening In Stair Cores</t>
  </si>
  <si>
    <t>REH-MD01-MDU-ST-OC-Hil-1020-SCR-000006</t>
  </si>
  <si>
    <t>OC-SCR-000653</t>
  </si>
  <si>
    <t>REH-MDU - Wadi Yemm - Discrepancies Between 2D DWGS &amp; STR MODELS</t>
  </si>
  <si>
    <t>REH-MD01-MDU-ST-OC-Hil-1029-SCR-000128</t>
  </si>
  <si>
    <t>REH-MD01-MDU-ST-OC-Hil-1036-SCR-000042</t>
  </si>
  <si>
    <t>OC-SCR-000658</t>
  </si>
  <si>
    <t>REH-MDU - Wadi Yemm - Plot-1036 COLUMN C70 PART6</t>
  </si>
  <si>
    <t>REH-MD01-MDU-ST-OC-Hil-1029-SCR-000129</t>
  </si>
  <si>
    <t>OC-SCR-000664</t>
  </si>
  <si>
    <t>REH-MDU - Wadi Yemm -SP01 - POOLS' STAIR</t>
  </si>
  <si>
    <t>REH-MD01-MDU-ST-OC-Hil-1024-SCR-000041</t>
  </si>
  <si>
    <t>OC-SCR-000665</t>
  </si>
  <si>
    <t>REH-MDU - Wadi Yemm -Opening &amp;Slab edge contradictions-third slab - Plot 1024</t>
  </si>
  <si>
    <t>REH-MD01-MDU-ST-OC-Hil-1029-SCR-000130</t>
  </si>
  <si>
    <t>OC-SCR-000666</t>
  </si>
  <si>
    <t>REH-MD01-MDU-ST-OC-Hil-1029-SCR-000131</t>
  </si>
  <si>
    <t>OC-SCR-000667</t>
  </si>
  <si>
    <t>REH-MDU - Wadi Yemm - Ramps – Coordination Conflicts and Clarifications</t>
  </si>
  <si>
    <t>REH-MD01-MDU-ST-OC-Hil-1024-SCR-000042</t>
  </si>
  <si>
    <t>OC-SCR-000669</t>
  </si>
  <si>
    <t>REH-MD01-MDU-ST-OC-Hil-1036-SCR-000043</t>
  </si>
  <si>
    <t>OC-SCR-000668</t>
  </si>
  <si>
    <t>REH-MDU - Wadi Yemm - Plot-1036 GROUND FLOOR STAIRS BASE</t>
  </si>
  <si>
    <t>REH-MD01-MDU-ST-OC-Hil-1022-SCR-000045</t>
  </si>
  <si>
    <t>OC-SCR-000671</t>
  </si>
  <si>
    <t>REH-MDU - Wadi Yemm - SP06 - Q4 1045 &amp; Q 1046 - Request for Latest Updated Landscape Package for periority parts</t>
  </si>
  <si>
    <t>REH-MD01-MDU-ST-OC-Hil-1031-SCR-000017</t>
  </si>
  <si>
    <t>OC-SCR-000672</t>
  </si>
  <si>
    <t>REH-MDU - Wadi Yemm - Plot 1032- Conflict data at Basemen-01 Floor</t>
  </si>
  <si>
    <t>REH-MD01-MDU-ST-OC-Hil-1029-SCR-000132</t>
  </si>
  <si>
    <t>OC-SCR-000674</t>
  </si>
  <si>
    <t>REH-MD01-MDU-ST-OC-Hil-1024-SCR-000043</t>
  </si>
  <si>
    <t>OC-SCR-000676</t>
  </si>
  <si>
    <t>REH-MDU - Wadi Yemm - Clarification on Internal Stairs at ground level- Plot 1024</t>
  </si>
  <si>
    <t>REH-MD01-MDU-ST-OC-Hil-1029-SCR-000133</t>
  </si>
  <si>
    <t>OC-SCR-000678</t>
  </si>
  <si>
    <t>REH-MDU - Wadi Yemm - SP01- SLAB TOC CLARIFICATION</t>
  </si>
  <si>
    <t>REH-MD01-MDU-ST-OC-Hil-1022-SCR-000046</t>
  </si>
  <si>
    <t>OC-SCR-000679</t>
  </si>
  <si>
    <t>REH-MDU - Wadi Yemm - SP06 - Q4 1045 &amp; Q3 1046 - Contradicts of the Drainage System for the Landscape Pools</t>
  </si>
  <si>
    <t>REH-MD01-MDU-ST-OC-Hil-1060-SCR-000026</t>
  </si>
  <si>
    <t>OC-SCR-000680</t>
  </si>
  <si>
    <t>REH-MDU - Wadi Yemm - Clarification Required – conflicts in columns and axes from foundation to ground floor</t>
  </si>
  <si>
    <t>REH-MD01-MDU-ST-OC-Hil-1029-SCR-000134</t>
  </si>
  <si>
    <t>OC-SCR-000681</t>
  </si>
  <si>
    <t>REH-MDU - Wadi Yemm - Clarification Required for Slab Support</t>
  </si>
  <si>
    <t>REH-MD01-MDU-ST-OC-Hil-1022-SCR-000047</t>
  </si>
  <si>
    <t>OC-SCR-000682</t>
  </si>
  <si>
    <t>REH-MD01-MDU-ST-OC-Hil-1025-SCR-000007</t>
  </si>
  <si>
    <t>OC-SCR-000683</t>
  </si>
  <si>
    <t>REH-MDU - Wadi Yemm - Clarification Regarding Structural Levels and Beam Clash at Third &amp; Fourth Floors</t>
  </si>
  <si>
    <t>REH-MD01-MDU-ST-OC-Hil-1043-SCR-000019</t>
  </si>
  <si>
    <t>OC-SCR-000684</t>
  </si>
  <si>
    <t>REH-MD01-MDU-ST-OC-Hil-1025-SCR-000008</t>
  </si>
  <si>
    <t>OC-SCR-000692</t>
  </si>
  <si>
    <t>REH-MDU - Wadi Yemm - Plot 1025- planted columns supported on slabs</t>
  </si>
  <si>
    <t>REH-MD01-MDU-ST-OC-Hil-1029-SCR-000135</t>
  </si>
  <si>
    <t>OC-SCR-000696</t>
  </si>
  <si>
    <t>REH-MDU - Wadi Yemm - Beam Connection &amp; Reinforcement Detail</t>
  </si>
  <si>
    <t>REH-MD01-MDU-ST-OC-Hil-1023-SCR-000015</t>
  </si>
  <si>
    <t>OC-SCR-000711</t>
  </si>
  <si>
    <t>REH-MDU - Wadi Yemm -SP05 -Clarification of RFT for Vertical elements</t>
  </si>
  <si>
    <t>REH-MD01-MDU-ST-OC-Hil-1029-SCR-000136</t>
  </si>
  <si>
    <t>OC-SCR-000712</t>
  </si>
  <si>
    <t>REH-MDU - Wadi Yemm - CLARIFICATION STATICAL SYSTEM AROUND STAIR SLAB AT GROUND LEVEL (+21.30)</t>
  </si>
  <si>
    <t>REH-MD01-MDU-ST-OC-Hil-1031-SCR-000018</t>
  </si>
  <si>
    <t>OC-SCR-000714</t>
  </si>
  <si>
    <t>REH-MD01-MDU-ST-OC-Hil-1031-SCR-000019</t>
  </si>
  <si>
    <t>OC-SCR-000715</t>
  </si>
  <si>
    <t>REH-MDU - Wadi Yemm - Coordination Issues and Drawing Discrepancies in Lower Ground FLOOR at Plot -1031</t>
  </si>
  <si>
    <t>REH-MD01-MDU-ST-OC-Hil-1026-SCR-000025</t>
  </si>
  <si>
    <t>OC-SCR-000716</t>
  </si>
  <si>
    <t>REH-MDU - Wadi Yemm - Shaft Contradictions – Plot 1026 – second Floor</t>
  </si>
  <si>
    <t>REH-MD01-MDU-ST-OC-Hil-1029-SCR-000137</t>
  </si>
  <si>
    <t>OC-SCR-000717</t>
  </si>
  <si>
    <t>REH-MD01-MDU-ST-OC-Hil-1031-SCR-000020</t>
  </si>
  <si>
    <t>OC-SCR-000718</t>
  </si>
  <si>
    <t>REH-MD01-MDU-ST-OC-Hil-1022-SCR-000048</t>
  </si>
  <si>
    <t>OC-SCR-000721</t>
  </si>
  <si>
    <t>REH-MD01-MDU-ST-OC-Hil-1029-SCR-000138</t>
  </si>
  <si>
    <t>OC-SCR-000722</t>
  </si>
  <si>
    <t>REH-MDU - Wadi Yemm - ENDED COLUMNS LEVEL</t>
  </si>
  <si>
    <t>REH-MD01-MDU-ST-OC-Hil-1029-SCR-000139</t>
  </si>
  <si>
    <t>OC-SCR-000726</t>
  </si>
  <si>
    <t>REH-MDU - Wadi Yemm - PLOT 1035-A11 – Stair 03 – Beam Clash with Stair Shaft</t>
  </si>
  <si>
    <t>REH-MD01-MDU-ST-OC-Hil-1031-SCR-000021</t>
  </si>
  <si>
    <t>OC-SCR-000725</t>
  </si>
  <si>
    <t>REH-MDU - Wadi Yemm - Conflict data in SP02-Plot-1032</t>
  </si>
  <si>
    <t>REH-MD01-MDU-ST-OC-Hil-1029-SCR-000140</t>
  </si>
  <si>
    <t>OC-SCR-000727</t>
  </si>
  <si>
    <t>REH-MDU - Wadi Yemm - SP01- BEAM DEPTH MODIFICATION.</t>
  </si>
  <si>
    <t>REH-MD01-MDU-ST-OC-Hil-XXXX-SCR-000005</t>
  </si>
  <si>
    <t>OC-SCR-000728</t>
  </si>
  <si>
    <t>REH-MDU - Wadi Yemm - clarification regarding the backfill material to be used under SOG for all plots (ECG-SHAKER) scope of work</t>
  </si>
  <si>
    <t>REH-MD01-MDU-ST-OC-Hil-1029-SCR-000141</t>
  </si>
  <si>
    <t>OC-SCR-000730</t>
  </si>
  <si>
    <t>REH-MDU - Wadi Yemm - SP01 – PLOT 1035-C11 – Stair 09 – Clarification of Slab Elevations beyond the door</t>
  </si>
  <si>
    <t>REH-MD01-MDU-ST-OC-Hil-1023-SCR-000016</t>
  </si>
  <si>
    <t>OC-SCR-000732</t>
  </si>
  <si>
    <t>REH-MDU - Wadi Yemm - SP05-COLUMNS AND AXES AT Ground Level</t>
  </si>
  <si>
    <t>REH-MD01-MDU-ST-OC-Hil-1029-SCR-000142</t>
  </si>
  <si>
    <t>OC-SCR-000733</t>
  </si>
  <si>
    <t>REH-MDU - Wadi Yemm - THE TYPE AND LEVEL OF UPSTANDS</t>
  </si>
  <si>
    <t>REH-MD01-MDU-ST-OC-Hil-1022-SCR-000049</t>
  </si>
  <si>
    <t>OC-SCR-000741</t>
  </si>
  <si>
    <t>REH-MD01-MDU-ST-OC-Hil-1022-SCR-000050</t>
  </si>
  <si>
    <t>OC-SCR-000748</t>
  </si>
  <si>
    <t>REH-MDU - Wadi Yemm - Clarifications at SP6-plot (1018 - 1022)</t>
  </si>
  <si>
    <t>REH-MD01-MDU-ST-OC-Hil-1023-SCR-000017</t>
  </si>
  <si>
    <t>OC-SCR-000749</t>
  </si>
  <si>
    <t>REH-MDU - Wadi Yemm - SP05-Ground Level Descrapincies</t>
  </si>
  <si>
    <t>REH-MD01-MDU-ST-OC-Hil-1026-SCR-000026</t>
  </si>
  <si>
    <t>OC-SCR-000753</t>
  </si>
  <si>
    <t>REH-MDU - Wadi Yemm - Stair case issue in Ground,First FLOOR at Plot -1026</t>
  </si>
  <si>
    <t>REH-MD01-MDU-ST-OC-Hil-1029-SCR-000143</t>
  </si>
  <si>
    <t>OC-SCR-000750</t>
  </si>
  <si>
    <t>REH-MDU - Wadi Yemm - STARTER BARS OF RAMP LOCATION</t>
  </si>
  <si>
    <t>REH-MD01-MDU-ST-OC-Hil-1029-SCR-000144</t>
  </si>
  <si>
    <t>OC-SCR-000751</t>
  </si>
  <si>
    <t>REH-MD01-MDU-ST-OC-Hil-1060-SCR-000027</t>
  </si>
  <si>
    <t>OC-SCR-000752</t>
  </si>
  <si>
    <t>REH-MDU - Wadi Yemm - Clarification Request Regarding the Use of Couplers for Columns with Reinforcement- at 1060</t>
  </si>
  <si>
    <t>REH-MD01-MDU-ST-OC-Hil-1026-SCR-000027</t>
  </si>
  <si>
    <t>OC-SCR-000754</t>
  </si>
  <si>
    <t>REH-MDU - Wadi Yemm - Openings Spacing in first FLOOR at Plot -1026</t>
  </si>
  <si>
    <t>REH-MD01-MDU-ST-OC-Hil-1029-SCR-000145</t>
  </si>
  <si>
    <t>OC-SCR-000756</t>
  </si>
  <si>
    <t>REH-MDU - Wadi Yemm - Ramp &amp; Floor Clash &amp; Level Verification Plot 1030</t>
  </si>
  <si>
    <t>REH-MD01-MDU-ST-OC-Hil-1029-SCR-000146</t>
  </si>
  <si>
    <t>OC-SCR-000757</t>
  </si>
  <si>
    <t>REH-MDU - Wadi Yemm - Missing Data AND COLUMNS TYPES CHANGED</t>
  </si>
  <si>
    <t>REH-MD01-MDU-ST-OC-Hil-1029-SCR-000147</t>
  </si>
  <si>
    <t>OC-SCR-000758</t>
  </si>
  <si>
    <t>REH-MD01-MDU-ST-OC-Hil-1027-SCR-000015</t>
  </si>
  <si>
    <t>OC-SCR-000759</t>
  </si>
  <si>
    <t>REH-MDU - Wadi Yemm - Fortaleza (Plot 1027) – Basement 01 Slab IFC Package – Stair Clarification</t>
  </si>
  <si>
    <t>REH-MD01-MDU-ST-OC-Hil-1024-SCR-000044</t>
  </si>
  <si>
    <t>OC-SCR-000761</t>
  </si>
  <si>
    <t>REH-MDU - Wadi Yemm - Plot 1024- Part 1 in First Floor.</t>
  </si>
  <si>
    <t>REH-MD01-MDU-ST-OC-Hil-1029-SCR-000148</t>
  </si>
  <si>
    <t>OC-SCR-000760</t>
  </si>
  <si>
    <t>REH-MD01-MDU-ST-OC-Hil-1029-SCR-000149</t>
  </si>
  <si>
    <t>OC-SCR-000762</t>
  </si>
  <si>
    <t>REH-MDU - Wadi Yemm - REH-MD01-MDU-ST-OC-Hil-1029-SCR-000149</t>
  </si>
  <si>
    <t>REH-MD01-MDU-ST-OC-Hil-1020-SCR-000007</t>
  </si>
  <si>
    <t>OC-SCR-000763</t>
  </si>
  <si>
    <t>REH-MDU - Wadi Yemm - 1020 Boutrique - Punching Shear Reinforcement and Wall Link Detail Clarification</t>
  </si>
  <si>
    <t>REH-MD01-MDU-ST-OC-Hil-1027-SCR-000016</t>
  </si>
  <si>
    <t>OC-SCR-000764</t>
  </si>
  <si>
    <t>REH-MDU - Wadi Yemm - The Fortaleza 1027 - Confirmation of Punching Shear Reinforcement Detail</t>
  </si>
  <si>
    <t>REH-MD01-MDU-ST-OC-Hil-1029-SCR-000150</t>
  </si>
  <si>
    <t>OC-SCR-000766</t>
  </si>
  <si>
    <t>REH-MDU - Wadi Yemm - Plot 1030 - Shifted axes</t>
  </si>
  <si>
    <t>REH-MD01-MDU-ST-OC-Hil-1029-SCR-000151</t>
  </si>
  <si>
    <t>OC-SCR-000772</t>
  </si>
  <si>
    <t>REH-MDU - Wadi Yemm - SP01- BEAM TYPE CONFLICT &amp; SLAB INFORMATION CLARIFICATION</t>
  </si>
  <si>
    <t>REH-MD01-MDU-ST-OC-Hil-1031-SCR-000022</t>
  </si>
  <si>
    <t>OC-SCR-000771</t>
  </si>
  <si>
    <t>REH-MDU - Wadi Yemm - Plot 1031- Conflict in Columns Dimensions between Plans &amp; Schedules</t>
  </si>
  <si>
    <t>REH-MD01-MDU-ST-OC-Hil-1029-SCR-000152</t>
  </si>
  <si>
    <t>OC-SCR-000773</t>
  </si>
  <si>
    <t>REH-MDU - Wadi Yemm - The existing of LandScape Stairs at Ground Floor Plot 1035</t>
  </si>
  <si>
    <t>REH-MD01-MDU-ST-OC-Hil-1022-SCR-000051</t>
  </si>
  <si>
    <t>OC-SCR-000774</t>
  </si>
  <si>
    <t>REH-MD01-MDU-ST-OC-Hil-1029-SCR-000153</t>
  </si>
  <si>
    <t>OC-SCR-000776</t>
  </si>
  <si>
    <t>REH-MDU - Wadi Yemm - conflicts between the beams and t.o.c for hatched slab</t>
  </si>
  <si>
    <t>REH-MD01-MDU-ST-OC-Hil-1029-SCR-000154</t>
  </si>
  <si>
    <t>OC-SCR-000777</t>
  </si>
  <si>
    <t>REH-MD01-MDU-ST-OC-Hil-1029-SCR-000155</t>
  </si>
  <si>
    <t>OC-SCR-000778</t>
  </si>
  <si>
    <t>REH-MD01-MDU-ST-OC-Hil-1029-SCR-000156</t>
  </si>
  <si>
    <t>OC-SCR-000785</t>
  </si>
  <si>
    <t>REH-MD01-MDU-ST-OC-Hil-1043-SCR-000020</t>
  </si>
  <si>
    <t>OC-SCR-000786</t>
  </si>
  <si>
    <t>REH-MDU - Wadi Yemm - Light house - Protection layer around Columns inside water tank</t>
  </si>
  <si>
    <t>REH-MD01-MDU-ST-OC-Hil-1029-SCR-000157</t>
  </si>
  <si>
    <t>OC-SCR-000787</t>
  </si>
  <si>
    <t>REH-MDU - Wadi Yemm - CONFLICT BETWEEN R.W ENDED LEVEL AND SLAB LEVEL (PLOT 1030)</t>
  </si>
  <si>
    <t>REH-MD01-MDU-ST-OC-Hil-1029-SCR-000158</t>
  </si>
  <si>
    <t>OC-SCR-000789</t>
  </si>
  <si>
    <t>REH-MD01-MDU-ST-OC-Hil-1031-SCR-000023</t>
  </si>
  <si>
    <t>OC-SCR-000792</t>
  </si>
  <si>
    <t>REH-MDU - Wadi Yemm - Plot 1032- Conflict data at Basement-01 Floor</t>
  </si>
  <si>
    <t>REH-MD01-MDU-ST-OC-Hil-1022-SCR-000052</t>
  </si>
  <si>
    <t>OC-SCR-000795</t>
  </si>
  <si>
    <t>REH-MDU - Wadi Yemm - SP06 - Q1045 - PART 16 GROUND FLOOR SLAB COORDINATION ISSUES</t>
  </si>
  <si>
    <t>REH-MD01-MDU-ST-OC-Hil-1026-SCR-000028</t>
  </si>
  <si>
    <t>OC-SCR-000796</t>
  </si>
  <si>
    <t>REH-MDU - Wadi Yemm - asking for approvel</t>
  </si>
  <si>
    <t>REH-MD01-MDU-ST-OC-Hil-1029-SCR-000159</t>
  </si>
  <si>
    <t>OC-SCR-000797</t>
  </si>
  <si>
    <t>REH-MDU - Wadi Yemm - PLOT 1035-BUILDING C-FIRST FLOOR</t>
  </si>
  <si>
    <t>REH-MD01-MDU-ST-OC-Hil-1029-SCR-000160</t>
  </si>
  <si>
    <t>OC-SCR-000798</t>
  </si>
  <si>
    <t>REH-MD01-MDU-ST-OC-Hil-1031-SCR-000024</t>
  </si>
  <si>
    <t>OC-SCR-000800</t>
  </si>
  <si>
    <t>REH-MDU - Wadi Yemm - Plot 1033- Inquiry about structural condition of a footing.</t>
  </si>
  <si>
    <t>REH-MD01-MDU-ST-OC-Hil-1022-SCR-000053</t>
  </si>
  <si>
    <t>OC-SCR-000801</t>
  </si>
  <si>
    <t>REH-MD01-MDU-ST-OC-Hil-1020-SCR-000008</t>
  </si>
  <si>
    <t>OC-SCR-000803</t>
  </si>
  <si>
    <t>REH-MDU - Wadi Yemm - CLARIFICATIONS FOR MISSING DATA</t>
  </si>
  <si>
    <t>REH-MD01-MDU-ST-OC-Hil-1060-SCR-000028</t>
  </si>
  <si>
    <t>OC-SCR-000804</t>
  </si>
  <si>
    <t>REH-MDU - Wadi Yemm - Plot 1060 – Ramp Type 02 – Beam overlapping at Basement02 &amp; Basement 03 levels</t>
  </si>
  <si>
    <t>REH-MD01-MDU-ST-OC-Hil-1031-SCR-000025</t>
  </si>
  <si>
    <t>OC-SCR-000805</t>
  </si>
  <si>
    <t>REH-MDU - Wadi Yemm - Plot 1033- Clarification Regarding Lower Ground Beams</t>
  </si>
  <si>
    <t>REH-MD01-MDU-ST-OC-Hil-1029-SCR-000161</t>
  </si>
  <si>
    <t>OC-SCR-000807</t>
  </si>
  <si>
    <t>REH-MD01-MDU-ST-OC-Hil-1022-SCR-000054</t>
  </si>
  <si>
    <t>OC-SCR-000812</t>
  </si>
  <si>
    <t>REH-MDU - Wadi Yemm - SP06 – Q3 1046 – Part 19&amp;22 – Clarification of Ground Slab Coordination Issues</t>
  </si>
  <si>
    <t>REH-MD01-MDU-ST-OC-Hil-1027-SCR-000017</t>
  </si>
  <si>
    <t>OC-SCR-000813</t>
  </si>
  <si>
    <t>REH-MDU - Wadi Yemm - The Fortaleza 1027 - Request for Basement 02 Slab Reinforcement Details</t>
  </si>
  <si>
    <t>REH-MD01-MDU-ST-OC-Hil-1029-SCR-000162</t>
  </si>
  <si>
    <t>OC-SCR-000814</t>
  </si>
  <si>
    <t>REH-MDU - Wadi Yemm - Clarification of T.O.C. of Attic Slab and conflicts between Surrounding Beams</t>
  </si>
  <si>
    <t>REH-MD01-MDU-ST-OC-Hil-1024-SCR-000045</t>
  </si>
  <si>
    <t>OC-SCR-000816</t>
  </si>
  <si>
    <t>REH-MDU - Wadi Yemm - Missing Beams Type and Level in Str. Design DWG. For First Level Plot 1024</t>
  </si>
  <si>
    <t>REH-MD01-MDU-ST-OC-Hil-1029-SCR-000163</t>
  </si>
  <si>
    <t>OC-SCR-000817</t>
  </si>
  <si>
    <t>REH-MD01-MDU-ST-OC-Hil-1026-SCR-000029</t>
  </si>
  <si>
    <t>OC-SCR-000818</t>
  </si>
  <si>
    <t>REH-MDU - Wadi Yemm - Staircase Issue at Ground and First Floors – Plot 1026</t>
  </si>
  <si>
    <t>REH-MD01-MDU-ST-OC-Hil-1029-SCR-000164</t>
  </si>
  <si>
    <t>OC-SCR-000819</t>
  </si>
  <si>
    <t>REH-MD01-MDU-ST-OC-Hil-1029-SCR-000165</t>
  </si>
  <si>
    <t>OC-SCR-000825</t>
  </si>
  <si>
    <t>REH-MDU - Wadi Yemm - SP01 - Pool stairs</t>
  </si>
  <si>
    <t>REH-MD01-MDU-ST-OC-Hil-1029-SCR-000166</t>
  </si>
  <si>
    <t>OC-SCR-000824</t>
  </si>
  <si>
    <t>REH-MD01-MDU-ST-OC-Hil-1029-SCR-000167</t>
  </si>
  <si>
    <t>OC-SCR-000823</t>
  </si>
  <si>
    <t>REH-MDU - Wadi Yemm - Missing Data and conflect with architectural drawings</t>
  </si>
  <si>
    <t>REH-MD01-MDU-ST-OC-Hil-1022-SCR-000055</t>
  </si>
  <si>
    <t>OC-SCR-000827</t>
  </si>
  <si>
    <t>REH-MDU - Wadi Yemm - Landscape Walls,stairs &amp;ramps – Clarification for super plot 6 (1046-1045-1022-1018)</t>
  </si>
  <si>
    <t>REH-MD01-MDU-ST-OC-Hil-1022-SCR-000056</t>
  </si>
  <si>
    <t>OC-SCR-000826</t>
  </si>
  <si>
    <t>REH-MDU - Wadi Yemm - RFI – Stair No. 6 Landing Extension and Handrail PLOT 1046</t>
  </si>
  <si>
    <t>REH-MD01-MDU-ST-OC-Hil-1043-SCR-000021</t>
  </si>
  <si>
    <t>OC-SCR-000822</t>
  </si>
  <si>
    <t>REH-MDU - Wadi Yemm - Light house - SIKKA Road Retaining wall RFT details</t>
  </si>
  <si>
    <t>REH-MD01-MDU-ST-OC-Hil-1029-SCR-000168</t>
  </si>
  <si>
    <t>OC-SCR-000834</t>
  </si>
  <si>
    <t>REH-MD01-MDU-ST-OC-Hil-1029-SCR-000169</t>
  </si>
  <si>
    <t>OC-SCR-000833</t>
  </si>
  <si>
    <t>REH-MDU - Wadi Yemm - PLOT 1035-BUILDING B-FIRST FLOOR</t>
  </si>
  <si>
    <t>REH-MD01-MDU-ST-OC-Hil-1029-SCR-000170</t>
  </si>
  <si>
    <t>OC-SCR-000836</t>
  </si>
  <si>
    <t>REH-MDU - Wadi Yemm - Conflicts between the beams and t.o.c for slab</t>
  </si>
  <si>
    <t>REH-MD01-MDU-ST-OC-Hil-1029-SCR-000171</t>
  </si>
  <si>
    <t>OC-SCR-000838</t>
  </si>
  <si>
    <t>REH-MD01-MDU-ST-OC-Hil-1043-SCR-000022</t>
  </si>
  <si>
    <t>OC-SCR-000839</t>
  </si>
  <si>
    <t>REH-MDU - Wadi Yemm - Light house - Elevator Pit and added upstands dimensions</t>
  </si>
  <si>
    <t>REH-MD01-MDU-ST-OC-Hil-1020-SCR-000009</t>
  </si>
  <si>
    <t>OC-SCR-000850</t>
  </si>
  <si>
    <t>REH-MD01-MDU-ST-OC-Hil-1029-SCR-000172</t>
  </si>
  <si>
    <t>OC-SCR-000854</t>
  </si>
  <si>
    <t>REH-MD01-MDU-ST-OC-Hil-1029-SCR-000173</t>
  </si>
  <si>
    <t>OC-SCR-000859</t>
  </si>
  <si>
    <t>REH-MDU - Wadi Yemm -PLOT 1034-BUILDING C-FIRST FLOOR</t>
  </si>
  <si>
    <t>REH-MD01-MDU-ST-OC-Hil-1029-SCR-000174</t>
  </si>
  <si>
    <t>OC-SCR-000864</t>
  </si>
  <si>
    <t>REH-MD01-MDU-ST-OC-Hil-1029-SCR-000175</t>
  </si>
  <si>
    <t>OC-SCR-000865</t>
  </si>
  <si>
    <t>REH-MD01-MDU-ST-OC-Hil-1029-SCR-000176</t>
  </si>
  <si>
    <t>OC-SCR-000869</t>
  </si>
  <si>
    <t>REH-MDU - Wadi Yemm -Technical Proposal – Proposed Solution for Over-Poured Columns- Plot 1037 - part 25</t>
  </si>
  <si>
    <t>REH-MD01-MDU-ST-OC-Hil-1022-SCR-000057</t>
  </si>
  <si>
    <t>OC-SCR-000863</t>
  </si>
  <si>
    <t>REH-MD01-MDU-ST-OC-Hil-1022-SCR-000058</t>
  </si>
  <si>
    <t>OC-SCR-000868</t>
  </si>
  <si>
    <t>REH-MDU - Wadi Yemm - Subject: Concrete Slab Construction Between Plot 1018 and Plot 1022 – Level Differences</t>
  </si>
  <si>
    <t>REH-MD01-MDU-ST-OC-Hil-1024-SCR-000046</t>
  </si>
  <si>
    <t>OC-SCR-000870</t>
  </si>
  <si>
    <t>REH-MDU - Wadi Yemm - Clarification of Slab Thickness</t>
  </si>
  <si>
    <t>REH-MD01-MDU-ST-OC-Hil-1031-SCR-000026</t>
  </si>
  <si>
    <t>OC-SCR-000866</t>
  </si>
  <si>
    <t>REH-MDU - Wadi Yemm - Expansion Joint at SP02 &amp; RAMP Plot 1031</t>
  </si>
  <si>
    <t>REH-MD01-MDU-ST-OC-Hil-1060-SCR-000029</t>
  </si>
  <si>
    <t>OC-SCR-000867</t>
  </si>
  <si>
    <t>REH-MDU - Wadi Yemm - Plot 1060 – Ramp Type 01 – Beams overlapping</t>
  </si>
  <si>
    <t>REH-MD01-MDU-ST-OC-Hil-1023-SCR-000018</t>
  </si>
  <si>
    <t>OC-SCR-000878</t>
  </si>
  <si>
    <t>REH-MDU - Wadi Yemm - SP05-Lower Ground Level Descrapincies</t>
  </si>
  <si>
    <t>REH-MD01-MDU-ST-OC-Hil-1029-SCR-000177</t>
  </si>
  <si>
    <t>OC-SCR-000879</t>
  </si>
  <si>
    <t>REH-MDU - Wadi Yemm - Proposed Structural Modification – Replacement of Wall with RC Beam - Plot 1037 - part 23</t>
  </si>
  <si>
    <t>REH-MD01-MDU-ST-OC-Hil-1022-SCR-000059</t>
  </si>
  <si>
    <t>OC-SCR-000880</t>
  </si>
  <si>
    <t>REH-MDU - Wadi Yemm - Carifications at super plot 06-Plot 1018</t>
  </si>
  <si>
    <t>REH-MD01-MDU-ST-OC-Hil-1023-SCR-000019</t>
  </si>
  <si>
    <t>OC-SCR-000883</t>
  </si>
  <si>
    <t>REH-MDU - Wadi Yemm - SP05 -Coordination Discrepancies Between Structural IFC and Architectural Package</t>
  </si>
  <si>
    <t>REH-MD01-MDU-ST-OC-Hil-1029-SCR-000178</t>
  </si>
  <si>
    <t>OC-SCR-000884</t>
  </si>
  <si>
    <t>REH-MDU - Wadi Yemm - SP05 -SP01- BEAM &amp; SLAB OPENINGS CONFLICT CLARIFICATION</t>
  </si>
  <si>
    <t>REH-MD01-MDU-ST-OC-Hil-1029-SCR-000179</t>
  </si>
  <si>
    <t>OC-SCR-000887</t>
  </si>
  <si>
    <t>REH-MDU - Wadi Yemm - conflicts between the columns</t>
  </si>
  <si>
    <t>REH-MD01-MDU-ST-OC-Hil-1031-SCR-000027</t>
  </si>
  <si>
    <t>OC-SCR-000888</t>
  </si>
  <si>
    <t>REH-MDU - Wadi Yemm - Levels Naming Conflict -1032 - SP02</t>
  </si>
  <si>
    <t>REH-MD01-MDU-ST-OC-Hil-1029-SCR-000180</t>
  </si>
  <si>
    <t>OC-SCR-000890</t>
  </si>
  <si>
    <t>REH-MD01-MDU-ST-OC-Hil-1043-SCR-000023</t>
  </si>
  <si>
    <t>OC-SCR-000891</t>
  </si>
  <si>
    <t>REH-MDU - Wadi Yemm - Light house - Balancing Tank height</t>
  </si>
  <si>
    <t>REH-MD01-MDU-ST-OC-Hil-1027-SCR-000018</t>
  </si>
  <si>
    <t>OC-SCR-000893</t>
  </si>
  <si>
    <t>REH-MDU - Wadi Yemm - Walls – Clarification for Fortaleza Hotel</t>
  </si>
  <si>
    <t>REH-MD01-MDU-ST-OC-Hil-1022-SCR-000060</t>
  </si>
  <si>
    <t>OC-SCR-000900</t>
  </si>
  <si>
    <t>REH-MD01-MDU-ST-OC-Hil-1022-SCR-000061</t>
  </si>
  <si>
    <t>OC-SCR-000903</t>
  </si>
  <si>
    <t>REH-MD01-MDU-ST-OC-Hil-1029-SCR-000181</t>
  </si>
  <si>
    <t>OC-SCR-000909</t>
  </si>
  <si>
    <t>REH-MDU - Wadi Yemm - PLOT 1035 - SUNKEN SLAB CONFLICT</t>
  </si>
  <si>
    <t>REH-MD01-MDU-ST-OC-Hil-1041-SCR-000009</t>
  </si>
  <si>
    <t>OC-SCR-000910</t>
  </si>
  <si>
    <t>REH-MDU - Wadi Yemm - Amphitheatre Lower Ground IFC – Missing Levels and Slab Thickness</t>
  </si>
  <si>
    <t>REH-MD01-MDU-ST-OC-Hil-1029-SCR-000182</t>
  </si>
  <si>
    <t>OC-SCR-000911</t>
  </si>
  <si>
    <t>REH-MDU - Wadi Yemm - Clarification Required – Slab and Backfilling Arrangement | Plot 1037 Parts 24 &amp; 25</t>
  </si>
  <si>
    <t>REH-MD01-MDU-ST-OC-Hil-1025-SCR-000009</t>
  </si>
  <si>
    <t>OC-SCR-000912</t>
  </si>
  <si>
    <t>REH-MDU - Wadi Yemm - Plot 1025- Super structure floors coordination</t>
  </si>
  <si>
    <t>REH-MD01-MDU-ST-OC-Hil-1041-SCR-000010</t>
  </si>
  <si>
    <t>OC-SCR-000918</t>
  </si>
  <si>
    <t>REH-MDU - Wadi Yemm - Amphitheatre 1041 Foundation Level Revision from +0.85 m to +0.90 m</t>
  </si>
  <si>
    <t>REH-MD01-MDU-ST-OC-Hil-1047-SCR-000014</t>
  </si>
  <si>
    <t>OC-SCR-000920</t>
  </si>
  <si>
    <t>REH-MDU - Wadi Yemm - Discrepancy in Column existing on grid( CO,CN &amp;222) in Structre design drawings.</t>
  </si>
  <si>
    <t>REH-MD01-MDU-ST-OC-Hil-1029-SCR-000183</t>
  </si>
  <si>
    <t>OC-SCR-000921</t>
  </si>
  <si>
    <t>REH-MDU - Wadi Yemm - PLOT 1029 - COLUMN CLARIFICATION</t>
  </si>
  <si>
    <t>REH-MD01-MDU-ST-OC-Hil-1022-SCR-000062</t>
  </si>
  <si>
    <t>OC-SCR-000922</t>
  </si>
  <si>
    <t>REH-MDU - Wadi Yemm - Concrete Slab Construction Between Plot 1018 and Plot 1022 – Level Differences</t>
  </si>
  <si>
    <t>REH-MD01-MDU-ST-OC-Hil-1022-SCR-000063</t>
  </si>
  <si>
    <t>OC-SCR-000923</t>
  </si>
  <si>
    <t>REH-MDU - Wadi Yemm - SP06 – Q3 1046 – Part 19– Clarification of Ground Slab and columns Coordination Issues</t>
  </si>
  <si>
    <t>REH-MD01-MDU-ST-OC-Hil-1041-SCR-000011</t>
  </si>
  <si>
    <t>OC-SCR-000925</t>
  </si>
  <si>
    <t>REH-MDU - Wadi Yemm - Amphitheatre 1041 Lower Ground Slab – Structural Clarifications</t>
  </si>
  <si>
    <t>REH-MD01-MDU-ST-OC-Hil-1022-SCR-000064</t>
  </si>
  <si>
    <t>OC-SCR-000926</t>
  </si>
  <si>
    <t>REH-MDU - Wadi Yemm - SP06 - Plot 1045&amp;1046 - Reinforcement details for the pools overflow system</t>
  </si>
  <si>
    <t>REH-MD01-MDU-ST-OC-Hil-1041-SCR-000012</t>
  </si>
  <si>
    <t>OC-SCR-000930</t>
  </si>
  <si>
    <t>REH-MDU - Wadi Yemm - Discrepancies and Clarifications for Drop Panels, Planted Columns, Planter Walls, Beams, and Openings Alignment</t>
  </si>
  <si>
    <t>REH-MD01-MDU-ST-OC-Hil-1043-SCR-000024</t>
  </si>
  <si>
    <t>OC-SCR-000935</t>
  </si>
  <si>
    <t>REH-MDU - Wadi Yemm - Light house - Basement 02 SOG Discrepancies</t>
  </si>
  <si>
    <t>REH-MD01-MDU-ST-OC-Hil-1023-SCR-000020</t>
  </si>
  <si>
    <t>OC-SCR-000938</t>
  </si>
  <si>
    <t>REH-MDU - Wadi Yemm - SP05-Upper Ground Level Descrapincies</t>
  </si>
  <si>
    <t>REH-MD01-MDU-ST-OC-Hil-1020-SCR-000010</t>
  </si>
  <si>
    <t>OC-SCR-000939</t>
  </si>
  <si>
    <t>REH-MDU - Wadi Yemm - Confirmation of RFT Details at Raft and Retaining Wall Connection</t>
  </si>
  <si>
    <t>REH-MD01-MDU-ST-OC-Hil-1041-SCR-000013</t>
  </si>
  <si>
    <t>OC-SCR-000940</t>
  </si>
  <si>
    <t>REH-MDU - Wadi Yemm - Amphitheatre 1041 Tank Walls and Retaining walls – Structural Clarifications</t>
  </si>
  <si>
    <t>REH-MD01-MDU-ST-OC-Hil-1021-SCR-000019</t>
  </si>
  <si>
    <t>OC-SCR-000942</t>
  </si>
  <si>
    <t>REH-MDU - Wadi Yemm - Plot 1021 - Stair 8 - Finishing Thickness</t>
  </si>
  <si>
    <t>REH-MD01-MDU-ST-OC-Hil-1036-SCR-000044</t>
  </si>
  <si>
    <t>OC-SCR-000943</t>
  </si>
  <si>
    <t>REH-MDU - Wadi Yemm - Plot-1036 SECOND FLOOR BEAM CLARIFICATION</t>
  </si>
  <si>
    <t>REH-MD01-MDU-ST-OC-Hil-1029-SCR-000184</t>
  </si>
  <si>
    <t>OC-SCR-000944</t>
  </si>
  <si>
    <t>REH-MD01-MDU-ST-OC-Hil-1031-SCR-000028</t>
  </si>
  <si>
    <t>OC-SCR-000945</t>
  </si>
  <si>
    <t>REH-MDU - Wadi Yemm - Clarify l type OF structure framing</t>
  </si>
  <si>
    <t>REH-MD01-MDU-ST-OC-Hil-1024-SCR-000047</t>
  </si>
  <si>
    <t>OC-SCR-000947</t>
  </si>
  <si>
    <t>REH-MDU - Wadi Yemm - Missing Water stop in Tank of Ground Level Plot 1024</t>
  </si>
  <si>
    <t>REH-MD01-MDU-ST-OC-Hil-1021-SCR-000020</t>
  </si>
  <si>
    <t>OC-SCR-000950</t>
  </si>
  <si>
    <t>REH-MDU - Wadi Yemm - Plot 1021 - Ground Floor - Stair Levels</t>
  </si>
  <si>
    <t>REH-MD01-MDU-ST-OC-Hil-1024-SCR-000048</t>
  </si>
  <si>
    <t>OC-SCR-000951</t>
  </si>
  <si>
    <t>REH-MDU - Wadi Yemm - stair 2 statical system clarification on grids (FM,FN AND 526,528)</t>
  </si>
  <si>
    <t>REH-MD01-MDU-ST-OC-Hil-1029-SCR-000185</t>
  </si>
  <si>
    <t>OC-SCR-000952</t>
  </si>
  <si>
    <t>REH-MD01-MDU-ST-OC-Hil-1043-SCR-000025</t>
  </si>
  <si>
    <t>OC-SCR-000953</t>
  </si>
  <si>
    <t>REH-MDU - Wadi Yemm - Light house - Core 06 door opening</t>
  </si>
  <si>
    <t>REH-MD01-MDU-ST-OC-Hil-1060-SCR-000030</t>
  </si>
  <si>
    <t>OC-SCR-000955</t>
  </si>
  <si>
    <t>REH-MDU - Wadi Yemm - Request for Clarification Regarding Discrepancies Between IFC Drawings – Plot 1060</t>
  </si>
  <si>
    <t>REH-MD01-MDU-ST-OC-Hil-1022-SCR-000065</t>
  </si>
  <si>
    <t>OC-SCR-000956</t>
  </si>
  <si>
    <t>REH-MDU - Wadi Yemm - SP06 - Q1045 - PART 15&amp;16 GROUND FLOOR SLAB COORDINATION ISSUES</t>
  </si>
  <si>
    <t>REH-MD01-MDU-ST-OC-Hil-1029-SCR-000186</t>
  </si>
  <si>
    <t>OC-SCR-000958</t>
  </si>
  <si>
    <t>REH-MDU - Wadi Yemm - conflicts between the PC Columns for plot 1030 building A</t>
  </si>
  <si>
    <t>REH-MD01-MDU-ST-OC-Hil-1047-SCR-000015</t>
  </si>
  <si>
    <t>OC-SCR-000966</t>
  </si>
  <si>
    <t>REH-MDU - Wadi Yemm - A proposal for the ID of the column existing on grid( CO,CN &amp; 222)</t>
  </si>
  <si>
    <t>REH-MD01-MDU-ST-OC-Hil-1023-SCR-000021</t>
  </si>
  <si>
    <t>OC-SCR-000978</t>
  </si>
  <si>
    <t>REH-MDU - Wadi Yemm - SP05 -Beams Interferrence in Floor and Ramp - B1</t>
  </si>
  <si>
    <t>REH-MD01-MDU-ST-OC-Hil-1029-SCR-000187</t>
  </si>
  <si>
    <t>OC-SCR-000979</t>
  </si>
  <si>
    <t>REH-MDU - Wadi Yemm - PLOT 1030 - RAMP BEAMS</t>
  </si>
  <si>
    <t>REH-MD01-MDU-ST-OC-Hil-1024-SCR-000049</t>
  </si>
  <si>
    <t>OC-SCR-000981</t>
  </si>
  <si>
    <t>REH-MDU - Wadi Yemm - Missing Data and Conflict in Ground Level Plot 1024</t>
  </si>
  <si>
    <t>REH-MD01-MDU-ST-OC-Hil-1041-SCR-000014</t>
  </si>
  <si>
    <t>OC-SCR-000982</t>
  </si>
  <si>
    <t>REH-MDU - Wadi Yemm - Amphitheatre Lower Ground IFC – Stair Level Clarifications</t>
  </si>
  <si>
    <t>REH-MD01-MDU-ST-OC-Hil-1041-SCR-000015</t>
  </si>
  <si>
    <t>OC-SCR-000983</t>
  </si>
  <si>
    <t>REH-MDU - Wadi Yemm - Amphitheatre Lower Ground IFC – Ramp Structural Details</t>
  </si>
  <si>
    <t>REH-MD01-MDU-ST-OC-Hil-1022-SCR-000066</t>
  </si>
  <si>
    <t>OC-SCR-000992</t>
  </si>
  <si>
    <t>REH-MDU - Wadi Yemm -SP06 - PLOT 1045&amp;1046 - CONFLICT BETWEEN ARCH AND STR IFC DRAWINGS</t>
  </si>
  <si>
    <t>REH-MD01-MDU-ST-OC-Hil-1029-SCR-000188</t>
  </si>
  <si>
    <t>OC-SCR-000993</t>
  </si>
  <si>
    <t>REH-MDU - Wadi Yemm - SP01- PLOT 1030 - The clear distance between the adjacent slabs</t>
  </si>
  <si>
    <t>REH-MD01-MDU-ST-OC-Hil-1029-SCR-000189</t>
  </si>
  <si>
    <t>REH-MDU - Wadi Yemm - SP01- PLOT 1030 - Confirmation of Beam Supporting PC Column – Beam Type &amp; TOC</t>
  </si>
  <si>
    <t>REH-MD01-MDU-ST-OC-Hil-1029-SCR-000190</t>
  </si>
  <si>
    <t>OC-SCR-000996</t>
  </si>
  <si>
    <t>REH-MDU - Wadi Yemm - SP01- Plot 1037 - GROUND FLOOR</t>
  </si>
  <si>
    <t>REH-MD01-MDU-ST-OC-Hil-1029-SCR-000191</t>
  </si>
  <si>
    <t>OC-SCR-001006</t>
  </si>
  <si>
    <t>REH-MD01-MDU-ST-OC-Hil-1022-SCR-000067</t>
  </si>
  <si>
    <t>OC-SCR-001000</t>
  </si>
  <si>
    <t>REH-MDU - Wadi Yemm - SP06 - Plot 1045&amp;1046 - Conflict in the planter wall at pool</t>
  </si>
  <si>
    <t>REH-MD01-MDU-ST-OC-Hil-1026-SCR-000030</t>
  </si>
  <si>
    <t>OC-SCR-001001</t>
  </si>
  <si>
    <t>REH-MDU - Wadi Yemm - Clarify location and type for structure framing</t>
  </si>
  <si>
    <t>REH-MD01-MDU-ST-OC-Hil-1041-SCR-000016</t>
  </si>
  <si>
    <t>OC-SCR-001009</t>
  </si>
  <si>
    <t>REH-MDU - Wadi Yemm - Amphitheatre Replacement soil Below Foundation Plain conccrete</t>
  </si>
  <si>
    <t>REH-MD01-MDU-ST-OC-Hil-1023-SCR-000022</t>
  </si>
  <si>
    <t>OC-SCR-001011</t>
  </si>
  <si>
    <t>REH-MDU - Wadi Yemm - SP05 -Beams Interferrence in Floor and Ramp - B1 after reply of SCR #21</t>
  </si>
  <si>
    <t>REH-MD01-MDU-ST-OC-Hil-1022-SCR-000068</t>
  </si>
  <si>
    <t>OC-SCR-001015</t>
  </si>
  <si>
    <t>REH-MD01-MDU-ST-OC-Hil-1029-SCR-000192</t>
  </si>
  <si>
    <t>OC-SCR-001030</t>
  </si>
  <si>
    <t>REH-MDU - Wadi Yemm - PLOT 1034-Lower Ground Slab</t>
  </si>
  <si>
    <t>REH-MD01-MDU-ST-OC-Hil-1022-SCR-000069</t>
  </si>
  <si>
    <t>OC-SCR-001031</t>
  </si>
  <si>
    <t>REH-MD01-MDU-ST-OC-Hil-1029-SCR-000193</t>
  </si>
  <si>
    <t>OC-SCR-001032</t>
  </si>
  <si>
    <t>REH-MDU - Wadi Yemm - PLOT 1037-Lower Ground Slab</t>
  </si>
  <si>
    <t>REH-MD01-MDU-ST-OC-Hil-1021-SCR-000021</t>
  </si>
  <si>
    <t>OC-SCR-001037</t>
  </si>
  <si>
    <t>REH-MDU - Wadi Yemm - Plot 1021 -Tank Levels</t>
  </si>
  <si>
    <t>REH-MD01-MDU-ST-OC-Hil-1031-SCR-000029</t>
  </si>
  <si>
    <t>OC-SCR-001036</t>
  </si>
  <si>
    <t>REH-MDU - Wadi Yemm - Plot -1031- Ground Foor Plans</t>
  </si>
  <si>
    <t>REH-MD01-MDU-ST-OC-Hil-1022-SCR-000070</t>
  </si>
  <si>
    <t>OC-SCR-001038</t>
  </si>
  <si>
    <t>REH-MDU - Wadi Yemm - SP06 – Q3 1046 – Kids Pool Design conflict</t>
  </si>
  <si>
    <t>REH-MD01-MDU-ST-OC-Hil-1022-SCR-000071</t>
  </si>
  <si>
    <t>OC-SCR-001040</t>
  </si>
  <si>
    <t>REH-MDU - Wadi Yemm - SP06 – Q4 1045 – Part 16 clarifications</t>
  </si>
  <si>
    <t>REH-MD01-MDU-ST-OC-Hil-1026-SCR-000031</t>
  </si>
  <si>
    <t>OC-SCR-001041</t>
  </si>
  <si>
    <t>REH-MDU - Wadi Yemm - First Floor – Terraces – Dropped Panels</t>
  </si>
  <si>
    <t>REH-MD01-MDU-ST-OC-Hil-1029-SCR-000194</t>
  </si>
  <si>
    <t>OC-SCR-001042</t>
  </si>
  <si>
    <t>REH-MDU - Wadi Yemm - Clarification Required – Slab and Backfilling Arrangement | SP01- Plot 1037 Parts 24 &amp; 25 after reply of SCR #182</t>
  </si>
  <si>
    <t>REH-MD01-MDU-ST-OC-Hil-1022-SCR-000072</t>
  </si>
  <si>
    <t>OC-SCR-001044</t>
  </si>
  <si>
    <t>REH-MD01-MDU-ST-OC-Hil-1023-SCR-000023</t>
  </si>
  <si>
    <t>OC-SCR-001050</t>
  </si>
  <si>
    <t>REH-MDU - Wadi Yemm - SP05 -Basement1 slab Main mesh and additional RFT clarification</t>
  </si>
  <si>
    <t>REH-MD01-MDU-ST-OC-Hil-1024-SCR-000050</t>
  </si>
  <si>
    <t>OC-SCR-001051</t>
  </si>
  <si>
    <t>REH-MDU - Wadi Yemm - Proposal for Anchoring Reinforcement for Staircase Supporting Beams into poured Core Walls and Columns</t>
  </si>
  <si>
    <t>REH-MD01-MDU-ST-OC-Hil-1027-SCR-000019</t>
  </si>
  <si>
    <t>OC-SCR-001052</t>
  </si>
  <si>
    <t>REH-MDU - Wadi Yemm - Fortaleza – Ground Slab IFC – Structural Clarifications</t>
  </si>
  <si>
    <t>REH-MD01-MDU-ST-OC-Hil-1029-SCR-000195</t>
  </si>
  <si>
    <t>OC-SCR-001053</t>
  </si>
  <si>
    <t>REH-MDU - Wadi Yemm - Clarification Request Regarding (SCR) - First Level Structural IFC Drawings For Plot 1030</t>
  </si>
  <si>
    <t>REH-MD01-MDU-ST-OC-Hil-1029-SCR-000196</t>
  </si>
  <si>
    <t>OC-SCR-001054</t>
  </si>
  <si>
    <t>REH-MDU - Wadi Yemm - PLOT 1029 - BRIDGE EXPANSION CONFLICT</t>
  </si>
  <si>
    <t>REH-MD01-MDU-ST-OC-Hil-1029-SCR-000197</t>
  </si>
  <si>
    <t>OC-SCR-001055</t>
  </si>
  <si>
    <t>REH-MDU - Wadi Yemm - PLOT 1029 - MISSING DROP PANEL SOLUTION</t>
  </si>
  <si>
    <t>REH-MD01-MDU-ST-OC-Hil-1029-SCR-000198</t>
  </si>
  <si>
    <t>OC-SCR-001056</t>
  </si>
  <si>
    <t>REH-MDU - Wadi Yemm - PLOT 1029 - MISSING PC TYPES</t>
  </si>
  <si>
    <t>REH-MD01-MDU-ST-OC-Hil-1060-SCR-000031</t>
  </si>
  <si>
    <t>OC-SCR-001057</t>
  </si>
  <si>
    <t>REH-MDU - Wadi Yemm - Plot 1060 – Sump pits / Walls clash &amp; Floor drains</t>
  </si>
  <si>
    <t>REH-MD01-MDU-ST-OC-Hil-1043-SCR-000026</t>
  </si>
  <si>
    <t>OC-SCR-001058</t>
  </si>
  <si>
    <t>REH-MDU - Wadi Yemm - Light house - SP07 - Updated IFC For Lower Ground Columns &amp; Axes Descrapincies</t>
  </si>
  <si>
    <t>REH-MD01-MDU-ST-OC-Hil-1043-SCR-000027</t>
  </si>
  <si>
    <t>OC-SCR-001059</t>
  </si>
  <si>
    <t>REH-MDU - Wadi Yemm - Light house - SP07 - Stairs Descrapincies</t>
  </si>
  <si>
    <t>REH-MD01-MDU-ST-OC-Hil-1029-SCR-000199</t>
  </si>
  <si>
    <t>OC-SCR-001070</t>
  </si>
  <si>
    <t>REH-MDU - Wadi Yemm - SUPER PLOT 01 Clarification Request Regarding (SCR) - Ground Level Structural IFC Drawings For Plot 1035</t>
  </si>
  <si>
    <t>REH-MD01-MDU-ST-OC-Hil-1029-SCR-000200</t>
  </si>
  <si>
    <t>OC-SCR-001073</t>
  </si>
  <si>
    <t>REH-MDU - Wadi Yemm - MISSING DATA – BEAMS TYPES &amp; BEAMS DEPTH NEED CLARIFICATIONS | SP01- Plot 1037</t>
  </si>
  <si>
    <t>REH-MD01-MDU-ST-OC-Hil-1022-SCR-000073</t>
  </si>
  <si>
    <t>OC-SCR-001075</t>
  </si>
  <si>
    <t>REH-MDU - Wadi Yemm - SP06 – Q4 1045 – Planter walls missing levels</t>
  </si>
  <si>
    <t>REH-MD01-MDU-ST-OC-Hil-1022-SCR-000074</t>
  </si>
  <si>
    <t>OC-SCR-001076</t>
  </si>
  <si>
    <t>REH-MDU - Wadi Yemm - SP06 – Q4 1045 – PART 14 - STORAGE ROOM OPENING</t>
  </si>
  <si>
    <t>REH-MD01-MDU-ST-OC-Hil-1029-SCR-000201</t>
  </si>
  <si>
    <t>OC-SCR-001077</t>
  </si>
  <si>
    <t>REH-MDU - Wadi Yemm - Clarify the column type at Plot 1030, Building C</t>
  </si>
  <si>
    <t>REH-MD01-MDU-ST-OC-Hil-1029-SCR-000202</t>
  </si>
  <si>
    <t>OC-SCR-001078</t>
  </si>
  <si>
    <t>REH-MDU - Wadi Yemm - MISSING DATA – BEAMS NEED CLARIFICATIONS | SP01- Plot 1037</t>
  </si>
  <si>
    <t>REH-MD01-MDU-ST-OC-Hil-1022-SCR-000075</t>
  </si>
  <si>
    <t>OC-SCR-001082</t>
  </si>
  <si>
    <t>REH-MDU - Wadi Yemm - SP06 - Plot 1046 - Building (B) - Clashes and Discrepancies</t>
  </si>
  <si>
    <t>REH-MD01-MDU-ST-OC-Hil-1022-SCR-000076</t>
  </si>
  <si>
    <t>OC-SCR-001087</t>
  </si>
  <si>
    <t>REH-MDU - Wadi Yemm - SP06 – Q4 1045 – PART 16 - Door Opening at Ground Floor Stair. 04 Core</t>
  </si>
  <si>
    <t>REH-MD01-MDU-ST-OC-Hil-1029-SCR-000203</t>
  </si>
  <si>
    <t>OC-SCR-001088</t>
  </si>
  <si>
    <t>REH-MDU - Wadi Yemm - Clarification of Column Positions at Plot 1030, Building B – First Level</t>
  </si>
  <si>
    <t>REH-MD01-MDU-ST-OC-Hil-1043-SCR-000029</t>
  </si>
  <si>
    <t>OC-SCR-001108</t>
  </si>
  <si>
    <t>REH-MDU - Light house - Lower Ground Discrepancies</t>
  </si>
  <si>
    <t>REH-MD01-MDU-ST-OC-Hil-1022-SCR-000077</t>
  </si>
  <si>
    <t>REH-MDU - Wadi Yemm - SP06 - Plot 1046 - Building (A) - Clashes and Discrepancies</t>
  </si>
  <si>
    <t>REH-MD01-MDU-ST-OC-Hil-1022-SCR-000078</t>
  </si>
  <si>
    <t>OC-SCR-001102</t>
  </si>
  <si>
    <t>REH-MDU - Wadi Yemm - SP06 - Plot 1046 - Building (C) - Clashes and Discrepancies</t>
  </si>
  <si>
    <t>REH-MD01-MDU-ST-OC-Hil-1023-SCR-000024</t>
  </si>
  <si>
    <t>OC-SCR-001103</t>
  </si>
  <si>
    <t>REH-MDU - Wadi Yemm - SP05 -Basement1 and Ground Level Stairs RFT clarification</t>
  </si>
  <si>
    <t>REH-MD01-MDU-ST-OC-Hil-1025-SCR-000010</t>
  </si>
  <si>
    <t>OC-SCR-001104</t>
  </si>
  <si>
    <t>REH-MDU - Wadi Yemm - Clarification Required For The Planted Columns at the Fourth Floor</t>
  </si>
  <si>
    <t>REH-MD01-MDU-ST-OC-HILL-1029-SCR-000204</t>
  </si>
  <si>
    <t>REH-MDU - Wadi Yemm - SUPER PLOT 01 Clarification Request Regarding (SCR) - FIRST Level Structural IFC Drawings For Plot 1029-BUILDING A</t>
  </si>
  <si>
    <t>REH-MD01-MDU-ST-OC-HILL-1029-SCR-000205</t>
  </si>
  <si>
    <t>REH-MDU - Wadi Yemm - Ramp Beams and Slab Beams conflict – Clarification - plot 1030</t>
  </si>
  <si>
    <t>REH-MD01-MDU-ST-OC-Hil-1043-SCR-000028</t>
  </si>
  <si>
    <t>OC-SCR-001107</t>
  </si>
  <si>
    <t>REH-MD01-MDU-ST-OC-Hil-1027-SCR-000020</t>
  </si>
  <si>
    <t>OC-SCR-001111</t>
  </si>
  <si>
    <t>REH-MDU - Wadi Yemm - Fortaleza Hotel – Stair Landing &amp; Floor Finish Level Coordination</t>
  </si>
  <si>
    <t>REH-MD01-MDU-ST-OC-Hil-1029-SCR-000206</t>
  </si>
  <si>
    <t>OC-SCR-001112</t>
  </si>
  <si>
    <t>REH-MDU - Wadi Yemm - Clarification of Column Positions at Plot 1030, Building C – First Level</t>
  </si>
  <si>
    <t>REH-MD01-MDU-ST-OC-Hil-1047-SCR-000016</t>
  </si>
  <si>
    <t>OC-SCR-001114</t>
  </si>
  <si>
    <t>REH-MDU - Wadi Yemm - conflect between column table and floors plane</t>
  </si>
  <si>
    <t>REH-MD01-MDU-ST-OC-Hil-1029-SCR-000207</t>
  </si>
  <si>
    <t>OC-SCR-001115</t>
  </si>
  <si>
    <t>REH-MDU - Wadi Yemm - SUPER PLOT 01 Clarification Request Regarding (SCR) - FIRST Level Structural IFC Drawings For Plot 1029-BUILDING B</t>
  </si>
  <si>
    <t>REH-MD01-MDU-ST-OC-Hil-1029-SCR-000208</t>
  </si>
  <si>
    <t>OC-SCR-001116</t>
  </si>
  <si>
    <t>REH-MDU - Wadi Yemm - PLOT 1034-Lower Ground&amp;GROUND SlabS</t>
  </si>
  <si>
    <t>REH-MD01-MDU-ST-OC-Hil-1029-SCR-000209</t>
  </si>
  <si>
    <t>OC-SCR-001117</t>
  </si>
  <si>
    <t>REH-MD01-MDU-ST-OC-Hil-1043-SCR-000030</t>
  </si>
  <si>
    <t>OC-SCR-001120</t>
  </si>
  <si>
    <t>REH-MDU - Wadi Yemm - Light house - SP07 - Basement 01 Descrapincies.</t>
  </si>
  <si>
    <t>REH-MD01-MDU-ST-OC-Hil-1022-SCR-000079</t>
  </si>
  <si>
    <t>OC-SCR-001121</t>
  </si>
  <si>
    <t>REH-MDU - Wadi Yemm - SP06 - Plot 1018 - Stairs Clarifications</t>
  </si>
  <si>
    <t>REH-MD01-MDU-ST-OC-Hil-1029-SCR-000210</t>
  </si>
  <si>
    <t>OC-SCR-001122</t>
  </si>
  <si>
    <t>REH-MDU - Wadi Yemm - Clarification of Column Positions at Plot 1037, Building B –Columns from first to second Level</t>
  </si>
  <si>
    <t>REH-MD01-MDU-ST-OC-Hil-1029-SCR-000211</t>
  </si>
  <si>
    <t>OC-SCR-001123</t>
  </si>
  <si>
    <t>REH-MD01-MDU-ST-OC-Hil-1031-SCR-000030</t>
  </si>
  <si>
    <t>OC-SCR-001125</t>
  </si>
  <si>
    <t>REH-MDU - Wadi Yemm - Plot 1031- beams Conflict at Lower Ground floor Plans</t>
  </si>
  <si>
    <t>REH-MD01-MDU-ST-OC-Hil-1022-SCR-000080</t>
  </si>
  <si>
    <t>OC-SCR-001126</t>
  </si>
  <si>
    <t>REH-MD01-MDU-ST-OC-Hil-1024-SCR-000051</t>
  </si>
  <si>
    <t>OC-SCR-001127</t>
  </si>
  <si>
    <t>REH-MDU - Wadi Yemm - Fire Tank – Walls Top Level</t>
  </si>
  <si>
    <t>REH-MD01-MDU-ST-OC-Hil-1027-SCR-000021</t>
  </si>
  <si>
    <t>OC-SCR-001128</t>
  </si>
  <si>
    <t>REH-MDU - Wadi Yemm - Fortaleza – Basement Slab IFC – Beam Type and Details Clarification</t>
  </si>
  <si>
    <t>REH-MD01-MDU-ST-OC-Hil-1029-SCR-000212</t>
  </si>
  <si>
    <t>OC-SCR-001129</t>
  </si>
  <si>
    <t>REH-MDU - Wadi Yemm - Beams and Slab openning conflict – Clarification - plot 1030</t>
  </si>
  <si>
    <t>REH-MD01-MDU-ST-OC-Hil-1022-SCR-000081</t>
  </si>
  <si>
    <t>OC-SCR-001130</t>
  </si>
  <si>
    <t>REH-MDU - Wadi Yemm - Clarifications at SP6-plot 1022-Discrepancy Between Revit model &amp; IFC 2D PKG</t>
  </si>
  <si>
    <t>REH-MD01-MDU-ST-OC-Hil-1024-SCR-000052</t>
  </si>
  <si>
    <t>OC-SCR-001134</t>
  </si>
  <si>
    <t>REH-MDU - Wadi Yemm - Discrepancy in Part 04 - 1st floor</t>
  </si>
  <si>
    <t>REH-MD01-MDU-ST-OC-Hil-1031-SCR-000031</t>
  </si>
  <si>
    <t>OC-SCR-001137</t>
  </si>
  <si>
    <t>REH-MDU - Wadi Yemm - Plot 1032- Conflict and missing data at lower ground Floor</t>
  </si>
  <si>
    <t>REH-MD01-MDU-ST-OC-Hil-1031-SCR-000032</t>
  </si>
  <si>
    <t>OC-SCR-001138</t>
  </si>
  <si>
    <t>REH-MDU - Wadi Yemm - Plot 1031- Discrepancies at Lower Ground floor Plans</t>
  </si>
  <si>
    <t>REH-MD01-MDU-ST-OC-Hil-1022-SCR-000082</t>
  </si>
  <si>
    <t>OC-SCR-001140</t>
  </si>
  <si>
    <t>REH-MDU - Wadi Yemm - SP06 - Plot 1018 - Building (A) - Level 01 Clashes and Discrepancies</t>
  </si>
  <si>
    <t>REH-MD01-MDU-ST-OC-Hil-XXXX-SCR-000006</t>
  </si>
  <si>
    <t>OC-SCR-001143</t>
  </si>
  <si>
    <t>REH-MDU - Wadi Yemm - S.O.G Design – Proposal for Standardized Detail Across DP1 for all plots (ECG-SHAKER) scope of work</t>
  </si>
  <si>
    <t>REH-MD01-MDU-ST-OC-Hil-1029-SCR-000213</t>
  </si>
  <si>
    <t>OC-SCR-001146</t>
  </si>
  <si>
    <t>REH-MD01-MDU-ST-OC-Hil-1029-SCR-000214</t>
  </si>
  <si>
    <t>OC-SCR-001147</t>
  </si>
  <si>
    <t>REH-MD01-MDU-ST-OC-Hil-1029-SCR-000215</t>
  </si>
  <si>
    <t>OC-SCR-001148</t>
  </si>
  <si>
    <t>REH-MDU - Wadi Yemm - SUPER PLOT 01 Clarification Request Regarding (SCR) - First Level Structural IFC Drawings For Plot 1035</t>
  </si>
  <si>
    <t>REH-MD01-MDU-ST-OC-Hil-1029-SCR-000216</t>
  </si>
  <si>
    <t>OC-SCR-001149</t>
  </si>
  <si>
    <t>REH-MD01-MDU-ST-OC-Hil-1060-SCR-000032</t>
  </si>
  <si>
    <t>OC-SCR-001162</t>
  </si>
  <si>
    <t>REH-MDU - Wadi Yemm - Clarification Request Regarding Missing/Cancelled Sump Pits – Plot 1060</t>
  </si>
  <si>
    <t>REH-MD01-MDU-ST-OC-Hil-1027-SCR-000022</t>
  </si>
  <si>
    <t>OC-SCR-001169</t>
  </si>
  <si>
    <t>REH-MDU - Wadi Yemm - Structural Coordination Discrepancies and Clarifications for Beams, Ramps, Attic Boundaries, Openings, and Staircase Framing</t>
  </si>
  <si>
    <t>REH-MD01-MDU-ST-OC-Hil-1024-SCR-000053</t>
  </si>
  <si>
    <t>OC-SCR-001173</t>
  </si>
  <si>
    <t>REH-MDU - Wadi Yemm - Updates in Str. Design for First Floor Plot 1024 Dated 14-9-2026</t>
  </si>
  <si>
    <t>REH-MD01-MDU-ST-OC-Hil-1024-SCR-000054</t>
  </si>
  <si>
    <t>OC-SCR-001174</t>
  </si>
  <si>
    <t>REH-MDU - Wadi Yemm - proposal for construction joint between axis (FAA,FAR AND 512,523) first floor</t>
  </si>
  <si>
    <t>REH-MD01-MDU-ST-OC-Hil-1022-SCR-000083</t>
  </si>
  <si>
    <t>OC-SCR-001175</t>
  </si>
  <si>
    <t>REH-MDU - Wadi Yemm - SP06 - Plot 1046 - Building (D) - Clashes and Discrepancies</t>
  </si>
  <si>
    <t>REH-MD01-MDU-ST-OC-Hil-1024-SCR-000055</t>
  </si>
  <si>
    <t>OC-SCR-001176</t>
  </si>
  <si>
    <t>REH-MDU - Wadi Yemm - Confirmation Required for Highlighted Beam at Stair 5-part 6</t>
  </si>
  <si>
    <t>REH-MD01-MDU-ST-OC-Hil-1041-SCR-000017</t>
  </si>
  <si>
    <t>OC-SCR-001183</t>
  </si>
  <si>
    <t>REH-MDU - Wadi Yemm - Amphitheatre - Clarification Required – Staircase Concrete Thickness at Cores</t>
  </si>
  <si>
    <t>REH-MD01-MDU-ST-OC-Hil-1022-SCR-000084</t>
  </si>
  <si>
    <t>OC-SCR-001186</t>
  </si>
  <si>
    <t>REH-MD01-MDU-ST-OC-Hil-1022-SCR-000085</t>
  </si>
  <si>
    <t>OC-SCR-001199</t>
  </si>
  <si>
    <t>REH-MDU - Wadi Yemm - SP06 - Plot 1046 - Building (D) - L02 - Clashes and Discrepancies</t>
  </si>
  <si>
    <t>REH-MD01-MDU-ST-OC-Hil-1043-SCR-000031</t>
  </si>
  <si>
    <t>OC-SCR-001200</t>
  </si>
  <si>
    <t>REH-MDU - Wadi Yemm - Light house - Foundation and Basement 02 S.O.G. Clarifications</t>
  </si>
  <si>
    <t>REH-MD01-MDU-ST-OC-Hil-1029-SCR-000217</t>
  </si>
  <si>
    <t>OC-SCR-001202</t>
  </si>
  <si>
    <t>REH-MDU - Wadi Yemm - SUPER PLOT 01 Clarification Request Regarding (SCR) - First Level and Second Level Structural IFC Drawings For Plot 1035</t>
  </si>
  <si>
    <t>REH-MD01-MDU-ST-OC-Hil-1023-SCR-000025</t>
  </si>
  <si>
    <t>OC-SCR-001212</t>
  </si>
  <si>
    <t>REH-MDU - Wadi Yemm - SP05-Basement Level Descrapincies</t>
  </si>
  <si>
    <t>REH-MD01-MDU-ST-OC-Hil-1024-SCR-000056</t>
  </si>
  <si>
    <t>OC-SCR-001214</t>
  </si>
  <si>
    <t>REH-MD01-MDU-ST-OC-Hil-1022-SCR-000086</t>
  </si>
  <si>
    <t>OC-SCR-001219</t>
  </si>
  <si>
    <t>REH-MDU - Wadi Yemm - SP06 - PLOT 1045&amp;1046 - Landscape Stairs Clarifications</t>
  </si>
  <si>
    <t>REH-MD01-MDU-ST-OC-Hil-1022-SCR-000087</t>
  </si>
  <si>
    <t>OC-SCR-001227</t>
  </si>
  <si>
    <t>REH-MDU - Wadi Yemm - Subject: Conflict between column scheduel &amp; IFC plan</t>
  </si>
  <si>
    <t>REH-MD01-MDU-ST-OC-Hil-1060-SCR-000033</t>
  </si>
  <si>
    <t>OC-SCR-001229</t>
  </si>
  <si>
    <t>REH-MDU - Wadi Yemm - Clarification of Core Type 15 Reference</t>
  </si>
  <si>
    <t>REH-MD01-MDU-ST-OC-Hil-1026-SCR-000032</t>
  </si>
  <si>
    <t>OC-SCR-001230</t>
  </si>
  <si>
    <t>REH-MDU - Wadi Yemm - First Floor – Clarifications</t>
  </si>
  <si>
    <t>REH-MD01-MDU-ST-OC-Hil-1026-SCR-000033</t>
  </si>
  <si>
    <t>OC-SCR-001231</t>
  </si>
  <si>
    <t>REH-MD01-MDU-ST-OC-Hil-1022-SCR-000088</t>
  </si>
  <si>
    <t>OC-SCR-001239</t>
  </si>
  <si>
    <t>REH-MD01-MDU-ST-OC-Hil-1047-SCR-000017</t>
  </si>
  <si>
    <t>OC-SCR-001240</t>
  </si>
  <si>
    <t>REH-MDU - Wadi Yemm - First level - Part 03 - Coordination</t>
  </si>
  <si>
    <t>REH-MD01-MDU-ST-OC-Hil-1029-SCR-000218</t>
  </si>
  <si>
    <t>OC-SCR-001241</t>
  </si>
  <si>
    <t>REH-MDU - Wadi Yemm - SUPER PLOT 01 Clarification Request Regarding (SCR) - FIRST Level Structural IFC Drawings For Plot 1035-BUILDING A</t>
  </si>
  <si>
    <t>REH-MD01-MDU-ST-OC-Hil-1029-SCR-000219</t>
  </si>
  <si>
    <t>OC-SCR-001243</t>
  </si>
  <si>
    <t>REH-MDU - Wadi Yemm - SUPER PLOT 01 Clarification Request Regarding (SCR) - First and Second Level Structural IFC Drawings For Plot 1035</t>
  </si>
  <si>
    <t>REH-MD01-MDU-ST-OC-Hil-1029-SCR-000220</t>
  </si>
  <si>
    <t>OC-SCR-001244</t>
  </si>
  <si>
    <t>REH-MDU - Wadi Yemm - SUPER PLOT 01 Clarification Request Regarding (SCR) - FIRST Level Structural IFC Drawings For Plot 1035-BUILDING B</t>
  </si>
  <si>
    <t>REH-MD01-MDU-ST-OC-Hil-1029-SCR-000221</t>
  </si>
  <si>
    <t>OC-SCR-001245</t>
  </si>
  <si>
    <t>REH-MDU - Wadi Yemm - Clarification Required | BEAMS | LOWER GROUND | Plot 1034 Part 19</t>
  </si>
  <si>
    <t>REH-MD01-MDU-ST-OC-Hil-1023-SCR-000026</t>
  </si>
  <si>
    <t>OC-SCR-001255</t>
  </si>
  <si>
    <t>REH-MDU - Wadi Yemm - SP05-Basement 01 Level Descrapincies</t>
  </si>
  <si>
    <t>REH-MD01-MDU-ST-OC-Hil-1047-SCR-000018</t>
  </si>
  <si>
    <t>OC-SCR-001257</t>
  </si>
  <si>
    <t>REH-MDU - Wadi Yemm - Proposal: Alignment of Identical Beams with Ramp</t>
  </si>
  <si>
    <t>REH-MD01-MDU-ST-OC-Hil-1029-SCR-000222</t>
  </si>
  <si>
    <t>OC-SCR-001259</t>
  </si>
  <si>
    <t>REH-MDU - Wadi Yemm - SUPER PLOT 01 Clarification Request Regarding (SCR) - FIRST Level Structural IFC Drawings For Plot 1035-BUILDING c</t>
  </si>
  <si>
    <t>REH-MD01-MDU-ST-OC-Hil-1028-SCR-000017</t>
  </si>
  <si>
    <t>OC-SCR-001263</t>
  </si>
  <si>
    <t>REH-MDU - Wadi Yemm - Plot 1028 -Clarification Required for Missing Structural Information and discrepancies – Fifth and Roof Floors</t>
  </si>
  <si>
    <t>REH-MD01-MDU-ST-OC-Hil-1026-SCR-000034</t>
  </si>
  <si>
    <t>OC-SCR-001264</t>
  </si>
  <si>
    <t>REH-MDU - Wadi Yemm - First Floor – slab edge clarifications beams &amp; expantion joints</t>
  </si>
  <si>
    <t>REH-MD01-MDU-ST-OC-Hil-1041-SCR-000018</t>
  </si>
  <si>
    <t>OC-SCR-001265</t>
  </si>
  <si>
    <t>REH-MDU - Wadi Yemm - Amphitheatre - Amphitheatre Foundation Level inside the sea</t>
  </si>
  <si>
    <t>REH-MD01-MDU-ST-OC-Hil-1022-SCR-000089</t>
  </si>
  <si>
    <t>OC-SCR-001281</t>
  </si>
  <si>
    <t>REH-MDU - Wadi Yemm - CLARIFICATIONS FOR CONCRETE DIMENSIONS PART1-LEVEL02-PLOT 1022</t>
  </si>
  <si>
    <t>REH-MD01-MDU-ST-OC-Hil-1029-SCR-000223</t>
  </si>
  <si>
    <t>OC-SCR-001282</t>
  </si>
  <si>
    <t>REH-MDU - Wadi Yemm - SP01 - SLAB DEPRESSIONS</t>
  </si>
  <si>
    <t>REH-MD01-MDU-ST-OC-Hil-1023-SCR-000027</t>
  </si>
  <si>
    <t>OC-SCR-001283</t>
  </si>
  <si>
    <t>REH-MDU - Wadi Yemm - SP05 - Ground Level (Lower &amp; Upper) Discrepancies with the Architectural Model .</t>
  </si>
  <si>
    <t>REH-MD01-MDU-ST-OC-Hil-1043-SCR-000032</t>
  </si>
  <si>
    <t>OC-SCR-001284</t>
  </si>
  <si>
    <t>REH-MDU - Wadi Yemm - Light house - Raft boundaries against S.O.G &amp; Planters</t>
  </si>
  <si>
    <t>REH-MD01-MDU-ST-OC-Hil-XXXX-SCR-000007</t>
  </si>
  <si>
    <t>OC-SCR-001294</t>
  </si>
  <si>
    <t>REH-MDU - Wadi Yemm - Lightweight Concrete Strength for all DP1 plots</t>
  </si>
  <si>
    <t>REH-MD01-MDU-ST-OC-Hil-1022-SCR-000090</t>
  </si>
  <si>
    <t>OC-SCR-001300</t>
  </si>
  <si>
    <t>REH-MD01-MDU-ST-OC-Hil-1047-SCR-000019</t>
  </si>
  <si>
    <t>OC-SCR-001301</t>
  </si>
  <si>
    <t>REH-MDU - Wadi Yemm - Proposal for using shear links in punching reinforcement at slabs</t>
  </si>
  <si>
    <t>REH-MD01-MDU-ST-OC-Hil-1022-SCR-000091</t>
  </si>
  <si>
    <t>OC-SCR-001303</t>
  </si>
  <si>
    <t>REH-MDU - Wadi Yemm - SP06 - PLOT 1046 - PART 20 (BUILDING A) LEVEL 01 Slab clarifications</t>
  </si>
  <si>
    <t>REH-MD01-MDU-ST-OC-Hil-1021-SCR-000022</t>
  </si>
  <si>
    <t>OC-SCR-001305</t>
  </si>
  <si>
    <t>REH-MDU - Wadi Yemm - Plot 1021 Overlap between tank walls and column.</t>
  </si>
  <si>
    <t>REH-MD01-MDU-ST-OC-Hil-1023-SCR-000028</t>
  </si>
  <si>
    <t>OC-SCR-001307</t>
  </si>
  <si>
    <t>REH-MDU - Wadi Yemm - SP05 - Basement 1 level Coordination and Discrepancies between structure and Architectural drawings.</t>
  </si>
  <si>
    <t>REH-MD01-MDU-ST-OC-Hil-1029-SCR-000226</t>
  </si>
  <si>
    <t>OC-SCR-001319</t>
  </si>
  <si>
    <t>REH-MD01-MDU-ST-OC-Hil-1043-SCR-000033</t>
  </si>
  <si>
    <t>OC-SCR-001320</t>
  </si>
  <si>
    <t>REH-MDU - Wadi Yemm - Light house - SP07 - Lower Ground Descrapincies</t>
  </si>
  <si>
    <t>REH-MD01-MDU-ST-OC-Hil-1022-SCR-000092</t>
  </si>
  <si>
    <t>OC-SCR-001316</t>
  </si>
  <si>
    <t>REH-MD01-MDU-ST-OC-Hil-1029-SCR-000224</t>
  </si>
  <si>
    <t>OC-SCR-001317</t>
  </si>
  <si>
    <t>REH-MD01-MDU-ST-OC-Hil-1029-SCR-000225</t>
  </si>
  <si>
    <t>OC-SCR-001318</t>
  </si>
  <si>
    <t>REH-MDU - Wadi Yemm - columns and Slab conflict – Clarification - plot 1037 - Building A - Second Level</t>
  </si>
  <si>
    <t>REH-MD01-MDU-ST-OC-Hil-1022-SCR-000093</t>
  </si>
  <si>
    <t>OC-SCR-001323</t>
  </si>
  <si>
    <t>REH-MD01-MDU-ST-OC-Hil-1047-SCR-000020</t>
  </si>
  <si>
    <t>OC-SCR-001326</t>
  </si>
  <si>
    <t>REH-MDU - Wadi Yemm - Attic Slab at Level +27.52 – Confirmation of Non-Execution</t>
  </si>
  <si>
    <t>REH-MD01-MDU-ST-OC-Hil-1024-SCR-000057</t>
  </si>
  <si>
    <t>OC-SCR-001335</t>
  </si>
  <si>
    <t>REH-MDU - Wadi Yemm -Confirmation Required for Highlighted Beam at Stair 1-part 1</t>
  </si>
  <si>
    <t>REH-MD01-MDU-ST-OC-Hil-1020-SCR-000011</t>
  </si>
  <si>
    <t>OC-SCR-001337</t>
  </si>
  <si>
    <t>REH-MDU - Wadi Yemm - CONFLICT BETWEEN COLUMN DIMENSIONS ON PLAN AND SCHEDULE</t>
  </si>
  <si>
    <t>REH-MD01-MDU-ST-OC-Hil-1022-SCR-000094</t>
  </si>
  <si>
    <t>OC-SCR-001339</t>
  </si>
  <si>
    <t>REH-MDU - Wadi Yemm - SP06 - PLOT 1045 - Part 14 - Clarifications Required for First Floor Slab - Level 01 (Building C)</t>
  </si>
  <si>
    <t>REH-MD01-MDU-ST-OC-Hil-1023-SCR-000029</t>
  </si>
  <si>
    <t>OC-SCR-001341</t>
  </si>
  <si>
    <t>REH-MDU - Wadi Yemm - SP05 - Design Review for Basement 1 Floor and Ground Floor</t>
  </si>
  <si>
    <t>REH-MD01-MDU-ST-OC-Hil-1044-SCR-000030</t>
  </si>
  <si>
    <t>OC-SCR-001345</t>
  </si>
  <si>
    <t>REH-MD01-MDU-ST-OC-Hil-1024-SCR-000058</t>
  </si>
  <si>
    <t>OC-SCR-001348</t>
  </si>
  <si>
    <t>REH-MDU - Wadi Yemm - Confirmation Required for Highlighted Beam at Stair 7-Part 4 -ground floor</t>
  </si>
  <si>
    <t>REH-MD01-MDU-ST-OC-Hil-XXXX-SCR-000008</t>
  </si>
  <si>
    <t>OC-SCR-001349</t>
  </si>
  <si>
    <t>REH-MDU - Wadi Yemm - SOG Details for all DP1 plots</t>
  </si>
  <si>
    <t>REH-MD01-MDU-ST-OC-Hil-1029-SCR-000227</t>
  </si>
  <si>
    <t>OC-SCR-001350</t>
  </si>
  <si>
    <t>REH-MDU - Wadi Yemm - SP01- PLANTED COL TYPE CLARIFICATION.</t>
  </si>
  <si>
    <t>REH-MD01-MDU-ST-OC-Hil-1023-SCR-000030</t>
  </si>
  <si>
    <t>OC-SCR-001352</t>
  </si>
  <si>
    <t>REH-MDU - Wadi Yemm - Proposal for construction joints at Baesment-1 slab SP5.</t>
  </si>
  <si>
    <t>REH-MD01-MDU-ST-OC-Hil-1026-SCR-000035</t>
  </si>
  <si>
    <t>OC-SCR-001353</t>
  </si>
  <si>
    <t>REH-MDU - Wadi Yemm - Plot 1026 - Stair Dimensions and Configuration – Fire Exit Room No. 114</t>
  </si>
  <si>
    <t>REH-MD01-MDU-ST-OC-Hil-1029-SCR-000228</t>
  </si>
  <si>
    <t>OC-SCR-001355</t>
  </si>
  <si>
    <t>REH-MD01-MDU-ST-OC-Hil-1029-SCR-000229</t>
  </si>
  <si>
    <t>OC-SCR-001356</t>
  </si>
  <si>
    <t>REH-MDU - Wadi Yemm - SUPER PLOT 01 Clarification Request Regarding (SCR) - SECOND Level Structural IFC Drawings For Plot 1029-BUILDING A</t>
  </si>
  <si>
    <t>REH-MD01-MDU-ST-OC-Hil-1029-SCR-000230</t>
  </si>
  <si>
    <t>OC-SCR-001361</t>
  </si>
  <si>
    <t>REH-MD01-MDU-ST-OC-Hil-1029-SCR-000231</t>
  </si>
  <si>
    <t>OC-SCR-001362</t>
  </si>
  <si>
    <t>REH-MDU - Wadi Yemm - SUPER PLOT 01 Clarification Request Regarding (SCR) - SECOND Level Structural IFC Drawings For Plot 1029</t>
  </si>
  <si>
    <t>REH-MD01-MDU-ST-OC-Hil-1031-SCR-000033</t>
  </si>
  <si>
    <t>OC-SCR-001367</t>
  </si>
  <si>
    <t>REH-MDU - Wadi Yemm - Plot -1031- Lower Ground &amp; Ground Plans &amp; Schedules</t>
  </si>
  <si>
    <t>REH-MD01-MDU-ST-OC-Hil-1047-SCR-000021</t>
  </si>
  <si>
    <t>OC-SCR-001368</t>
  </si>
  <si>
    <t>REH-MDU - Wadi Yemm - Missing Door Opening for Core 04 at Ground Floor Level</t>
  </si>
  <si>
    <t>REH-MD01-MDU-ST-OC-Hil-1029-SCR-000234</t>
  </si>
  <si>
    <t>OC-SCR-001373</t>
  </si>
  <si>
    <t>REH-MD01-MDU-ST-OC-Hil-1029-SCR-000234 - SUPER PLOT 01 Clarification Request Regarding (SCR) - SECOND Level Structural IFC Drawings For Plot 1035</t>
  </si>
  <si>
    <t>REH-MD01-MDU-ST-OC-Hil-1029-SCR-000233</t>
  </si>
  <si>
    <t>OC-SCR-001371</t>
  </si>
  <si>
    <t>REH-MDU - Wadi Yemm - SUPER PLOT 01 Clarification Request Regarding (SCR) - SECOND Level Structural IFC Drawings For Plot 1035</t>
  </si>
  <si>
    <t>REH-MD01-MDU-ST-OC-Hil-1029-SCR-000235</t>
  </si>
  <si>
    <t>OC-SCR-001372</t>
  </si>
  <si>
    <t>REH-MDU - Wadi Yemm - SUPER PLOT 01 Clarification Request Regarding (SCR) - First and Second Level and Second Level Structural IFC Drawings For Plot 1035</t>
  </si>
  <si>
    <t>REH-MD01-MDU-ST-OC-Hil-XXXX-SCR-000009</t>
  </si>
  <si>
    <t>OC-SCR-001377</t>
  </si>
  <si>
    <t>REH-MDU - Wadi Yemm - The backfill material to be used under SOG for all DP1 plots.</t>
  </si>
  <si>
    <t>REH-MD01-MDU-ST-OC-Hil-1021-SCR-000023</t>
  </si>
  <si>
    <t>OC-SCR-001379</t>
  </si>
  <si>
    <t>REH-MD01-MDU-ST-OC-Hil-1021-SCR-000023 - Plot 1021 -Ground level -ADDITIONAL RFT -PART02</t>
  </si>
  <si>
    <t>REH-MD01-MDU-ST-OC-Hil-1043-SCR-000034</t>
  </si>
  <si>
    <t>OC-SCR-001389</t>
  </si>
  <si>
    <t>REH-MD01-MDU-ST-OC-Hil-1023-SCR-000031</t>
  </si>
  <si>
    <t>OC-SCR-001391</t>
  </si>
  <si>
    <t>REH-MD01-MDU-ST-OC-Hil-1023-SCR-000031 - SP05 - Basement 1 level - missing data for structure ramps</t>
  </si>
  <si>
    <t>REH-MD01-MDU-ST-OC-Hil-1022-SCR-000095</t>
  </si>
  <si>
    <t>OC-SCR-001392</t>
  </si>
  <si>
    <t>REH-MD01-MDU-ST-OC-Hil-1022-SCR-000095 - Clarifications at SP6-plot 1018</t>
  </si>
  <si>
    <t>REH-MD01-MDU-ST-OC-Hil-1022-SCR-000096</t>
  </si>
  <si>
    <t>OC-SCR-001398</t>
  </si>
  <si>
    <t>REH-MD01-MDU-ST-OC-Hil-1022-SCR-000096 - Clarifications at SP6-plot 1022-Building C</t>
  </si>
  <si>
    <t>REH-MD01-MDU-ST-OC-Hil-1022-SCR-000099</t>
  </si>
  <si>
    <t>OC-SCR-001421</t>
  </si>
  <si>
    <t>REH-MD01-MDU-ST-OC-Hil-1022-SCR-000099 - SP06 - PLOT 1045&amp;1046 - Landscape stair on grade contradicts</t>
  </si>
  <si>
    <t>REH-MD01-MDU-ST-OC-Hil-1021-SCR-000024</t>
  </si>
  <si>
    <t>OC-SCR-001420</t>
  </si>
  <si>
    <t>REH-MD01-MDU-ST-OC-Hil-1021-SCR-000024 - Plot 1021-Ground Level- Beam Reinforcement Arrangement and Over-Reinforcement Check.</t>
  </si>
  <si>
    <t>REH-MD01-MDU-ST-OC-Hil-1022-SCR-000098</t>
  </si>
  <si>
    <t>OC-SCR-001416</t>
  </si>
  <si>
    <t>REH-MD01-MDU-ST-OC-Hil-1022-SCR-000098 - SP06 - PLOT 1045 - Part 14 - Coordination issues</t>
  </si>
  <si>
    <t>REH-MD01-MDU-ST-OC-Hil-1025-SCR-000011</t>
  </si>
  <si>
    <t>OC-SCR-001414</t>
  </si>
  <si>
    <t>REH-MD01-MDU-ST-OC-Hil-1025-SCR-000011-00 - Clarification on Structural and Arch. Discrepancies – Beams at Fifth Floor &amp; Level at Fourth Floor &amp; Parapet Details</t>
  </si>
  <si>
    <t>REH-MD01-MDU-ST-OC-Hil-1022-SCR-000097</t>
  </si>
  <si>
    <t>OC-SCR-001413</t>
  </si>
  <si>
    <t>REH-MD01-MDU-ST-OC-Hil-1022-SCR-000097-00 - SP06 - Plot 1046 - Building (B) - Level 01 Openings</t>
  </si>
  <si>
    <t>REH-MD01-MDU-ST-OC-Hil-1043-SCR-000035</t>
  </si>
  <si>
    <t>OC-SCR-001430</t>
  </si>
  <si>
    <t>REH-MD01-MDU-ST-OC-Hil-1043-SCR-000035-00 - Light house - SP07 - Stairs Descrapincies</t>
  </si>
  <si>
    <t>REH-MD01-MDU-BW-OC-Hil-XXXX-SCR-000005</t>
  </si>
  <si>
    <t>OC-SCR-001428</t>
  </si>
  <si>
    <t>REH-MD01-MDU-BW-OC-Hil-XXXX-SCR-000005 - Discrepancy in the distance between the concrete slab and Block work</t>
  </si>
  <si>
    <t>REH-MD01-MDU-BW-OC-Hil-XXXX-SCR-000004</t>
  </si>
  <si>
    <t>OC-SCR-001427</t>
  </si>
  <si>
    <t>REH-MD01-MDU-BW-OC-Hil-XXXX-SCR-000004 - There are differences for MESH BED JOINT</t>
  </si>
  <si>
    <t>REH-MD01-MDU-BW-OC-Hil-XXXX-SCR-000003</t>
  </si>
  <si>
    <t>OC-SCR-001426</t>
  </si>
  <si>
    <t>REH-MD01-MDU-BW-OC-Hil-XXXX-SCR-000003 - RC stiffeners with thickness 100, 150,&amp; 400, etc mm</t>
  </si>
  <si>
    <t>REH-MD01-MDU-BW-OC-Hil-XXXX-SCR-000002</t>
  </si>
  <si>
    <t>OC-SCR-001425</t>
  </si>
  <si>
    <t>REH-MD01-MDU-BW-OC-Hil-XXXX-SCR-000002 - RC stiffening for blockwork</t>
  </si>
  <si>
    <t>REH-MD01-MDU-BW-OC-Hil-XXXX-SCR-000001</t>
  </si>
  <si>
    <t>OC-SCR-001424</t>
  </si>
  <si>
    <t>REH-MD01-MDU-BW-OC-Hil-XXXX-SCR-000001 - Following ECG specs &amp; typical details</t>
  </si>
  <si>
    <t xml:space="preserve">REH-MD01-MDU-ST-OC-Hil-1021-SCR-000025 </t>
  </si>
  <si>
    <t>OC-SCR-001431</t>
  </si>
  <si>
    <t>REH-MD01-MDU-ST-OC-Hil-1021-SCR-000025 - Plot 1021 -BASEMENT LEVEL -RW ACCESS -PART01</t>
  </si>
  <si>
    <t xml:space="preserve">REH-MD01-MDU-ST-OC-Hil-1029-SCR-000237 </t>
  </si>
  <si>
    <t>OC-SCR-001433</t>
  </si>
  <si>
    <t>REH-MD01-MDU-ST-OC-Hil-1029-SCR-000237 - Plot 1029 - Columns conflict</t>
  </si>
  <si>
    <t>REH-MD01-MDU-ST-OC-Hil-1022-SCR-000100</t>
  </si>
  <si>
    <t>OC-SCR-001439</t>
  </si>
  <si>
    <t>REH-MD01-MDU-ST-OC-Hil-1022-SCR-000100 - Clarifications at SP6-plot 1022</t>
  </si>
  <si>
    <t xml:space="preserve">REH-MD01-MDU-ST-OC-Hil-1022-SCR-000101 </t>
  </si>
  <si>
    <t>OC-SCR-001440</t>
  </si>
  <si>
    <t>REH-MD01-MDU-ST-OC-Hil-1022-SCR-000101 - SP06 - PLOT 1045 - Part 15 - Clarifications Required for First Floor Slab - Level 01 (Building A)</t>
  </si>
  <si>
    <t>REH-MD01-MDU-BK-OC-Hil-XXXX-SCR-000006</t>
  </si>
  <si>
    <t>OC-SCR-001441</t>
  </si>
  <si>
    <t>REH-MD01-MDU-BK-OC-Hil-XXXX-SCR-000006 - Top fixation between blockwork and slab</t>
  </si>
  <si>
    <t>REH-MD01-MDU-ST-OC-Hil-1022-SCR-000102</t>
  </si>
  <si>
    <t>OC-SCR-001452</t>
  </si>
  <si>
    <t>REH-MD01-MDU-ST-OC-Hil-1022-SCR-000102 - SP06 - Plot 1018 - Building (B) - Level 01</t>
  </si>
  <si>
    <t>REH-MD01-MDU-ST-OC-Hil-1025-SCR-000012</t>
  </si>
  <si>
    <t>OC-SCR-001451</t>
  </si>
  <si>
    <t>REH-MD01-MDU-ST-OC-Hil-1025-SCR-000012 - Level Discrepancies and Clarifications – Structural &amp; Architectural IFC Drawings – Plot 1025</t>
  </si>
  <si>
    <t>REH-MD01-MDU-ST-OC-Hil-1031-SCR-000035</t>
  </si>
  <si>
    <t>OC-SCR-001455</t>
  </si>
  <si>
    <t>REH-MD01-MDU-ST-OC-Hil-1031-SCR-000035-00 - 1032 – Structural Beam Discrepancies - Ground Floor Slab</t>
  </si>
  <si>
    <t>REH-MD01-MDU-ST-OC-Hil-1021-SCR-000026</t>
  </si>
  <si>
    <t>OC-SCR-001454</t>
  </si>
  <si>
    <t>REH-MD01-MDU-ST-OC-Hil-1021-SCR-000026-00 - Structural Discrepancies | Ground Floor Slab Plot 1021</t>
  </si>
  <si>
    <t>REH-MD01-MDU-ST-OC-Hil-1022-SCR-000104</t>
  </si>
  <si>
    <t>OC-SCR-001458</t>
  </si>
  <si>
    <t>REH-MD01-MDU-ST-OC-Hil-1022-SCR-000104 - SP06 - Plot 1046 - Building (C) - Clashes and Discrepancies</t>
  </si>
  <si>
    <t>Site Clarification Request ( Architectural )</t>
  </si>
  <si>
    <t>REH-MD01-MDU-AR-OC-Hil-1036-SCR-000001</t>
  </si>
  <si>
    <t>REH-MD01-AR-OC-Hil-1036-SCR-01</t>
  </si>
  <si>
    <t>REH-MDU- Wadi Yemm - Provide us the final IFC architectural drawings for the ground floor of Plot-1036</t>
  </si>
  <si>
    <t>1036</t>
  </si>
  <si>
    <t>REH-MD01-MDU-AR-OC-Hil-1036-SCR-000002</t>
  </si>
  <si>
    <t>OC-SCR-000034</t>
  </si>
  <si>
    <t>REH-MDU- Wadi Yemm - Plot-1036 Doors schedule</t>
  </si>
  <si>
    <t>REH-MD01-MDU-AR-OC-Hil-1036-SCR-000003</t>
  </si>
  <si>
    <t>OC-SCR-000051</t>
  </si>
  <si>
    <t>REH-MDU- Wadi Yemm - Plot-1036 Ramps' slopes</t>
  </si>
  <si>
    <t>REH-MD01-MDU-AR-OC-Hil-1034-SCR-000001</t>
  </si>
  <si>
    <t>OC-SCR-000097</t>
  </si>
  <si>
    <t>REH-MDU- Wadi Yemm - PLOT-1034 Missing Columns</t>
  </si>
  <si>
    <t>1034</t>
  </si>
  <si>
    <t>REH-MD01-MDU-AR-OC-Hil-1030-SCR-000001</t>
  </si>
  <si>
    <t>OC-SCR-000119</t>
  </si>
  <si>
    <t>REH-MDU- Wadi Yemm - PLOT-1030 Pavement &amp; Stairs finishes</t>
  </si>
  <si>
    <t>1030</t>
  </si>
  <si>
    <t>REH-MD01-MDU-AR-OC-Hil-1029-SCR-000001</t>
  </si>
  <si>
    <t>OC-SCR-000216</t>
  </si>
  <si>
    <t>REH-MDU- Wadi Yemm - PLOT-1034 Missing plan</t>
  </si>
  <si>
    <t>1029</t>
  </si>
  <si>
    <t>REH-MD01-MDU-AR-OC-Hil-1036-SCR-000004</t>
  </si>
  <si>
    <t>OC-SCR-000312</t>
  </si>
  <si>
    <t>REH-MDU- Wadi Yemm - Plot-1036 Slab openings conflict</t>
  </si>
  <si>
    <t>REH-MD01-MDU-AR-OC-Hil-1036-SCR-000005</t>
  </si>
  <si>
    <t>OC-SCR-000317</t>
  </si>
  <si>
    <t>REH-MDU- Wadi Yemm - Plot-1036 Stairs AR-ST Conflict</t>
  </si>
  <si>
    <t>REH-MD01-MDU-AR-OC-Hil-1025-SCR-000001</t>
  </si>
  <si>
    <t>OC-SCR-000318</t>
  </si>
  <si>
    <t>REH-MDU- Wadi Yemm - Conflict Door Opening Dimensions and Door Schedule Conflicts for Plot 1025</t>
  </si>
  <si>
    <t>REH-MD01-MDU-AR-OC-Hil-1031-SCR-000001</t>
  </si>
  <si>
    <t>OC-SCR-000345</t>
  </si>
  <si>
    <t>REH-MDU- Wadi Yemm - SPLOT 02-1032-B1- Pavement &amp; Stairs finishes</t>
  </si>
  <si>
    <t>REH-MD01-MDU-AR-OC-Hil-1024-SCR-000001</t>
  </si>
  <si>
    <t>OC-SCR-000362</t>
  </si>
  <si>
    <t>REH-MDU- Wadi Yemm - Clarification on Stairs Sections details -1024 Stair 5</t>
  </si>
  <si>
    <t>REH-MD01-MDU-AR-OC-Hil-1031-SCR-000002</t>
  </si>
  <si>
    <t>OC-SCR-000364</t>
  </si>
  <si>
    <t>REH-MDU- Wadi Yemm - Request for Missing Architectural and Landscape Drawings– Super Plot 2</t>
  </si>
  <si>
    <t>REH-MD01-MDU-AR-OC-Hil-1031-SCR-000003</t>
  </si>
  <si>
    <t>OC-SCR-000371</t>
  </si>
  <si>
    <t>REH-MDU- Wadi Yemm - Conflicts in Levels -1031 B1. PLAN- SP02</t>
  </si>
  <si>
    <t>REH-MD01-MDU-AR-OC-Hil-1024-SCR-000002</t>
  </si>
  <si>
    <t>OC-SCR-000381</t>
  </si>
  <si>
    <t>REH-MDU- Wadi Yemm - Architectural Files Discrepancies</t>
  </si>
  <si>
    <t>REH-MD01-MDU-AR-OC-Hil-1025-SCR-000002</t>
  </si>
  <si>
    <t>OC-SCR-000407</t>
  </si>
  <si>
    <t xml:space="preserve">REH-MDU- Wadi Yemm - Discrapncies Between The Structural Ifc and the Architectural Detailed Design 100% For Second Floor </t>
  </si>
  <si>
    <t>REH-MD01-MDU-AR-OC-Hil-1029-SCR-000002</t>
  </si>
  <si>
    <t>OC-SCR-000470</t>
  </si>
  <si>
    <t>REH-MDU- Wadi Yemm - PLOT-1030 Core escape path</t>
  </si>
  <si>
    <t>REH-MD01-MDU-AR-OC-Hil-1024-SCR-000003</t>
  </si>
  <si>
    <t>OC-SCR-000488</t>
  </si>
  <si>
    <t>REH-MDU- Wadi Yemm - Clarification on Stairs Sections details  -1024 Stair 2</t>
  </si>
  <si>
    <t>REH-MD01-MDU-AR-OC-Hil-1029-SCR-000003</t>
  </si>
  <si>
    <t>OC-SCR-000494</t>
  </si>
  <si>
    <t xml:space="preserve">REH-MDU- Wadi Yemm - Plot : 1037 Missing Access door </t>
  </si>
  <si>
    <t>REH-MD01-MDU-AR-OC-Hil-1024-SCR-000004</t>
  </si>
  <si>
    <t>OC-SCR-000617</t>
  </si>
  <si>
    <t>REH-MDU- Wadi Yemm - Clarification on opening at First Floor plan - Plot 1024</t>
  </si>
  <si>
    <t>REH-MD01-MDU-AR-OC-Hil-1036-SCR-000006</t>
  </si>
  <si>
    <t>OC-SCR-000670</t>
  </si>
  <si>
    <t>REH-MDU- Wadi Yemm - Plot-1036 STAIR BLOCK WALL</t>
  </si>
  <si>
    <t>REH-MD01-MDU-AR-OC-Hil-1024-SCR-000005</t>
  </si>
  <si>
    <t>OC-SCR-000675</t>
  </si>
  <si>
    <t>REH-MDU- Wadi Yemm - Clarification on internal stair finishing -plot 1024</t>
  </si>
  <si>
    <t>REH-MD01-MDU-AR-OC-Hil-1029-SCR-000004</t>
  </si>
  <si>
    <t>OC-SCR-000768</t>
  </si>
  <si>
    <t>REH-MDU- Wadi Yemm - PLOT-1035 Floor finish clash</t>
  </si>
  <si>
    <t>REH-MD01-MDU-AR-OC-Hil-1027-SCR-000001</t>
  </si>
  <si>
    <t>OC-SCR-000770</t>
  </si>
  <si>
    <t>REH-MDU- Wadi Yemm - Fortaleza (Plot 1027) – Technical Clarification – Accessories Material for Internal Blockwork</t>
  </si>
  <si>
    <t>1027</t>
  </si>
  <si>
    <t>REH-MD01-MDU-AR-OC-Hil-1022-SCR-000001</t>
  </si>
  <si>
    <t>OC-SCR-000779</t>
  </si>
  <si>
    <t>REH-MDU- Wadi Yemm - SP06 – Q4 1045 – STAIRS ISSUES</t>
  </si>
  <si>
    <t>1022</t>
  </si>
  <si>
    <t>REH-MD01-MDU-AR-OC-Hil-1029-SCR-000005</t>
  </si>
  <si>
    <t>OC-SCR-000846</t>
  </si>
  <si>
    <t>REH-MDU- Wadi Yemm - PLOT-1030 Missing outdor finish level</t>
  </si>
  <si>
    <t>REH-MD01-MDU-AR-OC-Hil-1022-SCR-000002</t>
  </si>
  <si>
    <t>OC-SCR-000849</t>
  </si>
  <si>
    <t>REH-MDU- Wadi Yemm - SP06 – Q3 1046 – STAIR 09 clarifications</t>
  </si>
  <si>
    <t>REH-MD01-MDU-AR-OC-Hil-1036-SCR-000007</t>
  </si>
  <si>
    <t>OC-SCR-000874</t>
  </si>
  <si>
    <t>REH-MDU- Wadi Yemm -Plot-1036 Façade wall conflict</t>
  </si>
  <si>
    <t>REH-MD01-MDU-AR-OC-Hil-1029-SCR-000006</t>
  </si>
  <si>
    <t>OC-SCR-000907</t>
  </si>
  <si>
    <t>REH-MDU- Wadi Yemm - SP01 LANDSCAPE STAIRS CONFLICT</t>
  </si>
  <si>
    <t>REH-MD01-MDU-AR-OC-Hil-1027-SCR-000002</t>
  </si>
  <si>
    <t>OC-SCR-000929</t>
  </si>
  <si>
    <t>REH-MDU- Wadi Yemm - Fortaleza (Plot 1027) –Clarification of Masonry Accessories Material and Connection Requirements</t>
  </si>
  <si>
    <t>REH-MD01-MDU-AR-OC-Hil-1029-SCR-000007</t>
  </si>
  <si>
    <t>OC-SCR-000998</t>
  </si>
  <si>
    <t>REH-MDU- Wadi Yemm - SP01 EXPOSED SHAFT IN ARCH DWG</t>
  </si>
  <si>
    <t>REH-MD01-MDU-AR-OC-Hil-XXXX-SCR-000001</t>
  </si>
  <si>
    <t>OC-SCR-001062</t>
  </si>
  <si>
    <t>REH-MDU- Wadi Yemm - Clarification regarding the Master Bathroom for Residential Plots.</t>
  </si>
  <si>
    <t>REH-MD01-MDU-AR-OC-Hil-1025-SCR-000003</t>
  </si>
  <si>
    <t>OC-SCR-001066</t>
  </si>
  <si>
    <t>REH-MDU- Wadi Yemm - FLOORING FINISH DISCREPANCIES BETWEEN ARCHITECTURAL FLOORING PLAN AND FINISH SCHEDULE AT B2- Plot 1025</t>
  </si>
  <si>
    <t>REH-MD01-MDU-AR-OC-Hil-1025-SCR-000004</t>
  </si>
  <si>
    <t>OC-SCR-001067</t>
  </si>
  <si>
    <t>REH-MDU- Wadi Yemm - CEILING FINISH DISCREPANCIES BETWEEN ARCHITECTURAL CEILING PLAN AND FINISH SCHEDULE AT B2- Plot 1025</t>
  </si>
  <si>
    <t>REH-MD01-MDU-AR-OC-Hil-1025-SCR-000005</t>
  </si>
  <si>
    <t>OC-SCR-001079</t>
  </si>
  <si>
    <t>REH-MDU- Wadi Yemm - FLOORING FINISH DISCREPANCIES BETWEEN ARCHITECTURAL FLOORING PLAN AND FINISH SCHEDULE AT B1- Plot 1025</t>
  </si>
  <si>
    <t>REH-MD01-MDU-AR-OC-Hil-1025-SCR-000006</t>
  </si>
  <si>
    <t>OC-SCR-001080</t>
  </si>
  <si>
    <t>REH-MDU- Wadi Yemm - CEILING FINISH DISCREPANCIES BETWEEN ARCHITECTURAL CEILING PLAN AND FINISH SCHEDULE AT B1- Plot 1025</t>
  </si>
  <si>
    <t>REH-MD01-MDU-AR-OC-Hil-1027-SCR-000003</t>
  </si>
  <si>
    <t>OC-SCR-001090</t>
  </si>
  <si>
    <t>REH-MDU- Wadi Yemm - Fortaleza (Plot 1027) – Clarification of Masonry Insulation Details</t>
  </si>
  <si>
    <t>REH-MD01-MDU-AR-OC-Hil-1027-SCR-000004</t>
  </si>
  <si>
    <t>OC-SCR-001091</t>
  </si>
  <si>
    <t>REH-MDU- Wadi Yemm - Fortaleza (Plot 1027) –Acoustic and Fire Rating Clarification</t>
  </si>
  <si>
    <t>REH-MD01-MDU-AR-OC-Hil-1022-SCR-000003</t>
  </si>
  <si>
    <t>OC-SCR-001124</t>
  </si>
  <si>
    <t>REH-MDU- Wadi Yemm - SP06 – Q3 1046 – Planters sizes and locations around the family pool</t>
  </si>
  <si>
    <t>REH-MD01-MDU-AR-OC-Hil-1031-SCR-000004</t>
  </si>
  <si>
    <t>OC-SCR-001135</t>
  </si>
  <si>
    <t>REH-MDU- Wadi Yemm - Architectural Files Discrepancies -1031 lower ground plan- SP02</t>
  </si>
  <si>
    <t>REH-MD01-MDU-AR-OC-Hil-1022-SCR-000004</t>
  </si>
  <si>
    <t>OC-SCR-001185</t>
  </si>
  <si>
    <t>REH-MDU- Wadi Yemm - SP06 - PLOT 1045&amp;1046 - PLANTER WALLS CLARIFICATIONS</t>
  </si>
  <si>
    <t>REH-MD01-MDU-AR-OC-Hil-XXXX-SCR-000002</t>
  </si>
  <si>
    <t>OC-SCR-001191</t>
  </si>
  <si>
    <t>REH-MDU- Wadi Yemm - Cement hollow blocks in basement floors</t>
  </si>
  <si>
    <t>REH-MD01-MDU-ID-OC-Hil-XXXX-SCR-000001</t>
  </si>
  <si>
    <t>OC-SCR-001206</t>
  </si>
  <si>
    <t>REH-MDU- Wadi Yemm - DISCREPANCIES BETWEEN ID PLAN AND ID FINISH SCHEDULE AT RESIDENTIAL PLOTS TYPE (Q2)</t>
  </si>
  <si>
    <t>REH-MD01-MDU-AR-OC-Hil-1022-SCR-000005</t>
  </si>
  <si>
    <t>OC-SCR-001228</t>
  </si>
  <si>
    <t>REH-MDU- Wadi Yemm - SP06 - PLOT 1045 - Part 16 Planter walls clarifications</t>
  </si>
  <si>
    <t>REH-MD01-MDU-AR-OC-Hil-1022-SCR-000006</t>
  </si>
  <si>
    <t>OC-SCR-001249</t>
  </si>
  <si>
    <t>REH-MDU- Wadi Yemm - SP06 - Plot 1018 - Stairs Clarifications</t>
  </si>
  <si>
    <t>REH-MD01-MDU-AR-OC-Hil-1031-SCR-000005</t>
  </si>
  <si>
    <t>OC-SCR-001256</t>
  </si>
  <si>
    <t>REH-MDU- Wadi Yemm - Clarification Required for Stair No. 6 door opening -1032 - SP02</t>
  </si>
  <si>
    <t>REH-MD01-MDU-AR-OC-Hil-1022-SCR-000007</t>
  </si>
  <si>
    <t>OC-SCR-001267</t>
  </si>
  <si>
    <t>REH-MDU- Wadi Yemm - Clarifications at SP6-plot 1018</t>
  </si>
  <si>
    <t>REH-MD01-MDU-AR-OC-Hil-1025-SCR-000007</t>
  </si>
  <si>
    <t>OC-SCR-001293</t>
  </si>
  <si>
    <t>REH-MDU- Wadi Yemm - Fourth Floor Structural &amp; Architectural Coordination Clarifications</t>
  </si>
  <si>
    <t>REH-MD01-MDU-ID-OC-Hil-XXXX-SCR-000002</t>
  </si>
  <si>
    <t>OC-SCR-001297</t>
  </si>
  <si>
    <t>REH-MDU- Wadi Yemm - DISCREPANCIES BETWEEN ID PLAN AND ID FINISH SCHEDULE AT RESIDENTIAL PLOTS TYPE (Q3)</t>
  </si>
  <si>
    <t>REH-MD01-MDU-ID-OC-Hil-XXXX-SCR-000003</t>
  </si>
  <si>
    <t>OC-SCR-001296</t>
  </si>
  <si>
    <t>REH-MDU- Wadi Yemm - DISCREPANCIES BETWEEN ID PLAN AND ID FINISH SCHEDULE AT RESIDENTIAL PLOTS TYPE (Q4)</t>
  </si>
  <si>
    <t>REH-MD01-MDU-AR-OC-Hil-1024-SCR-000006</t>
  </si>
  <si>
    <t>OC-SCR-001340</t>
  </si>
  <si>
    <t>REH-MDU- Wadi Yemm - Clarification on internal stairs Naming - Plot 1024</t>
  </si>
  <si>
    <t>REH-MD01-MDU-AR-OC-Hil-1024-SCR-000007</t>
  </si>
  <si>
    <t>OC-SCR-001360</t>
  </si>
  <si>
    <t>REH-MDU- Wadi Yemm - Clarification on Stair 07 missing data -plot 1024</t>
  </si>
  <si>
    <t>REH-MD01-MDU-AR-OC-Hil-XXXX-SCR-000003</t>
  </si>
  <si>
    <t>OC-SCR-001370</t>
  </si>
  <si>
    <t>REH-MDU- Wadi Yemm - Block work details (100 mm, 150 mm &amp; 400 mm)</t>
  </si>
  <si>
    <t>REH-MD01-MDU-AR-OC-Hil-XXXX-SCR-000004</t>
  </si>
  <si>
    <t>OC-SCR-001374</t>
  </si>
  <si>
    <t>REH-MD01-MDU-AR-OC-Hil-XXXX-SCR-000004 - Clarification of Door Structural Opening Dimensions</t>
  </si>
  <si>
    <t>REH-MD01-MDU-AR-OC-Hil-1022-SCR-000008</t>
  </si>
  <si>
    <t>OC-SCR-001423</t>
  </si>
  <si>
    <t>REH-MD01-MDU-AR-OC-Hil-1022-SCR-000008- Discrepancies Between Arch. IFC and the Wall Types, Acoustic &amp; Life Safety Requirements – First Floor</t>
  </si>
  <si>
    <t>REH-MD01-MDU-AR-OC-Hil-1047-SCR-000001</t>
  </si>
  <si>
    <t>OC-SCR-001417</t>
  </si>
  <si>
    <t>REH-MD01-MDU-AR-OC-Hil-1047-SCR-000001 - Missing Door - Basement 01 &amp; Wall Extension Typical Floors</t>
  </si>
  <si>
    <t>REH-MD01-MDU-AR-OC-Hil-XXXX-SCR-000005</t>
  </si>
  <si>
    <t>OC-SCR-001438</t>
  </si>
  <si>
    <t>REH-MD01-MDU-AR-OC-Hil-XXXX-SCR-000005 - Plaster Thickness</t>
  </si>
  <si>
    <t>Site Clarification Request ( Electrical )</t>
  </si>
  <si>
    <t>P0155-RA04-SCR-EL-OC-DAR-000001</t>
  </si>
  <si>
    <t>Darr-GNC-000383</t>
  </si>
  <si>
    <t>P0155 - K00146 – REH Wadi Yemm - Sea Town Center - Missing Data for Earthing System at plot 1025</t>
  </si>
  <si>
    <t>P0155-RA06-SCR-EL-OC-DAR-000001</t>
  </si>
  <si>
    <t>Darr-GNC-000384</t>
  </si>
  <si>
    <t>P0155 - K00146 – REH Wadi Yemm - Sea Town Center - Missing Data for Earthing System at plot 1024</t>
  </si>
  <si>
    <t>P0155-RA06-SCR-MV-OC-DAR-000001</t>
  </si>
  <si>
    <t>Darr-GNC-000393</t>
  </si>
  <si>
    <t>P0155 - K00146 – REH Wadi Yemm - Sea Town Center - MV Routing at plot 1024</t>
  </si>
  <si>
    <t>P0155-RA06-SCR-EL-OC-DAR-000002</t>
  </si>
  <si>
    <t>P0155-RA00-SCR-EL-OC-DAR-000001</t>
  </si>
  <si>
    <t>Darr-GNC-000364</t>
  </si>
  <si>
    <t>P0155 - K00146 – REH Wadi Yemm - Sea Town Center - Embedded MEP works at Wadi Yemm</t>
  </si>
  <si>
    <t>P0155-RA00-SCR-EL-OC-DAR-000002</t>
  </si>
  <si>
    <t>P0155 - K00146 – REH Wadi Yemm - Sea Town Center - Lightning down conductor general details at Wadi Yemm</t>
  </si>
  <si>
    <t>REH-MD01-MDU-EL-OC-DAR-XXXX-SCR-000001</t>
  </si>
  <si>
    <t>REH-MD01-MDU -Wadi Yemm - Sea Town Center - Lightning down conductor general details at Wadi Yemm</t>
  </si>
  <si>
    <t>REH-MD01-MDU-EL-OC-DAR-1024-SCR-000001</t>
  </si>
  <si>
    <t>REH-MD01-MDU -Wadi Yemm - Sea Town Center - Request for Cable Cellar Details at RA06 - Plot 1024</t>
  </si>
  <si>
    <t>REH-MD01-MDU-EL-OC-DAR-1024-SCR-000002</t>
  </si>
  <si>
    <t>REH-MD01-MDU -Wadi Yemm - Sea Town Center -  Conflict in Power Shaft Location &amp; Request for Cable Data for Slab Openings at RA06 - Plot 1024</t>
  </si>
  <si>
    <t>REH-MD01-MDU-EL-OC-DAR-1026-SCR-000001</t>
  </si>
  <si>
    <t>REH-MD01-MDU -Wadi Yemm - Sea Town Center - Telecome Shaft opening of Basement slap at RA05 - Plot 1026</t>
  </si>
  <si>
    <t>1026</t>
  </si>
  <si>
    <t>REH-MD01-MDU-EL-OC-DAR-1024-SCR-000003</t>
  </si>
  <si>
    <t>REH-MD01-MDU -Wadi Yemm - Sea Town Center - Clarification of Electrical Riser Size (LV &amp; ELV) - RA06-1024</t>
  </si>
  <si>
    <t>REH-MD01-MDU-EL-OC-DAR-1025-SCR-000001</t>
  </si>
  <si>
    <t>REH-MD01-MDU -Wadi Yemm - Sea Town Center - Clarification of Electrical Riser Size (LV &amp; ELV) - RA04-1025</t>
  </si>
  <si>
    <t>REH-MD01-MDU-EL-OC-DAR-1024-SCR-000004</t>
  </si>
  <si>
    <t>REH-MD01-EL-OC-DAR-1024-SCR-04</t>
  </si>
  <si>
    <t>REH-MD01-MDU -Wadi Yemm - Sea Town Center - Clarify the Routing For Low Voltage cables between grid 519, 523 at basement- RA06 - Plot 1024</t>
  </si>
  <si>
    <t>REH-MD01-MDU-EL-OC-DAR-1024-SCR-000005</t>
  </si>
  <si>
    <t>REH-MD01-EL-OC-DAR-1024-SCR-05</t>
  </si>
  <si>
    <t>REH-MD01-MDU -Wadi Yemm - Sea Town Center - Shaft Opening for Low Current Cables at Entrance Facility room at basement- RA06 - Plot 1024</t>
  </si>
  <si>
    <t>REH-MD01-MDU-EL-OC-Hil-1024-SCR-000001</t>
  </si>
  <si>
    <t>REH-MD01-MDU -Wadi Yemm - Sea Town Center - Clarification of Shaft for Retails in RA06</t>
  </si>
  <si>
    <t>REH-MD01-MDU-EL-OC-Hil-1024-SCR-000002</t>
  </si>
  <si>
    <t>REH-MD01-EL-OC-Hil-1024-SCR-02</t>
  </si>
  <si>
    <t>REH-MD01-MDU -Wadi Yemm - Sea Town Center - Clash between Electrical Trench and Mechanical Shaft in RMU Room Plot 1024</t>
  </si>
  <si>
    <t>REH-MD01-MDU-EL-OC-Hil-1028-SCR-000001</t>
  </si>
  <si>
    <t>REH-MD01-EL-OC-Hil-1028-SCR-01</t>
  </si>
  <si>
    <t>REH-MD01-MDU -Wadi Yemm - Sea Town Center - LV SLD vs Cable Routing Drawings Conflict at (RA02 - Plot 1028).</t>
  </si>
  <si>
    <t>1028</t>
  </si>
  <si>
    <t>REH-MD01-MDU-EL-OC-Hil-1028-SCR-000002</t>
  </si>
  <si>
    <t>REH-MD01-EL-OC-Hil-1028-SCR-02</t>
  </si>
  <si>
    <t>REH-MD01-MDU -Wadi Yemm - Sea Town Center - Conflict between the Electrical down conductor Ground Floor - Plot 1028</t>
  </si>
  <si>
    <t>REH-MD01-MDU-EL-OC-Hil-1036-SCR-000001</t>
  </si>
  <si>
    <t>REH-MD01-EL-OC-Hil-1036-SCR-01</t>
  </si>
  <si>
    <t>REH-MD01-MDU -Wadi Yemm - Sea Town Center - LV SLD vs Cable Routing Drawings Conflict at (RA01 - Plot 1036).</t>
  </si>
  <si>
    <t>REH-MD01-MDU-EL-OC-Hil-1030-SCR-000001</t>
  </si>
  <si>
    <t>REH-MD01-EL-OC-Hil-1030-SCR-01</t>
  </si>
  <si>
    <t>REH-MD01-MDU -Wadi Yemm - Sea Town Center - RMU Room Location at (RA07 - Plot 1030).</t>
  </si>
  <si>
    <t>REH-MD01-MDU-EL-OC-Hil-1036-SCR-000002</t>
  </si>
  <si>
    <t>REH-MD01-EL-OC-Hil-1036-SCR-02</t>
  </si>
  <si>
    <t>REH-MD01-MDU -Wadi Yemm - Sea Town Center -Location of panel boards at business lounge and kids room at Building (RA01 - Plot 1036).</t>
  </si>
  <si>
    <t>REH-MD01-MDU-EL-OC-Hil-XXXX-SCR-000001</t>
  </si>
  <si>
    <t>REH-MD01-EL-OC-Hil-XXXX-SCR-01</t>
  </si>
  <si>
    <t xml:space="preserve">REH-MD01-MDU -Wadi Yemm -  Lighting Control System Conflict (Shaker) </t>
  </si>
  <si>
    <t>REH-MD01-MDU-EL-OC-Hil-XXXX-SCR-000002</t>
  </si>
  <si>
    <t>REH-MD01-EL-OC-Hil-XXXX-SCR-02</t>
  </si>
  <si>
    <t xml:space="preserve">REH-MD01-MDU -Wadi Yemm -  Clarification for Electrical Legend and Lighting Control System (ECG) </t>
  </si>
  <si>
    <t>REH-MD01-MDU-EL-OC-Hil-1047-SCR-000001</t>
  </si>
  <si>
    <t>OC-SCR-000058</t>
  </si>
  <si>
    <t>REH-MD01-MDU -Wadi Yemm -  Conflict between SLD and plans and missing feeding power for retail   (RA03 - Plot 1047).</t>
  </si>
  <si>
    <t>1047</t>
  </si>
  <si>
    <t>REH-MD01-MDU-EL-OC-Hil-1025-SCR-000001</t>
  </si>
  <si>
    <t>OC-SCR-000068</t>
  </si>
  <si>
    <t xml:space="preserve">REH-MD01-MDU -Wadi Yemm - VIA Occupancy Sensor Connection Clarification- Plot 1025- Ground Floor </t>
  </si>
  <si>
    <t>REH-MD01-MDU-EL-OC-Hil-1025-SCR-000002</t>
  </si>
  <si>
    <t>OC-SCR-000069</t>
  </si>
  <si>
    <t>REH-MD01-MDU -Wadi Yemm - Wall Mounted Lighting Fixture Host Issue - Plot 1025 -Ground Floor.</t>
  </si>
  <si>
    <t>REH-MD01-MDU-EL-OC-Hil-1025-SCR-000003</t>
  </si>
  <si>
    <t>OC-SCR-000070</t>
  </si>
  <si>
    <t>REH-MD01-MDU - Wadi Yemm - Ceiling Speaker Wiring and Riser Diagram Clarification- Plot 1025-Ground Floor</t>
  </si>
  <si>
    <t>REH-MD01-MDU-EL-OC-Hil-1028-SCR-000003</t>
  </si>
  <si>
    <t>OC-SCR-000104</t>
  </si>
  <si>
    <t>REH-MD01-MDU - Wadi Yemm - Down Conductors. At RA02 – Plot 1028</t>
  </si>
  <si>
    <t>REH-MD01-MDU-EL-OC-Hil-XXXX-SCR-000003</t>
  </si>
  <si>
    <t>OC-SCR-000114</t>
  </si>
  <si>
    <t xml:space="preserve">REH-MD01-MDU -Wadi Yemm - Relocation of Socket Outlet </t>
  </si>
  <si>
    <t>REH-MD01-MDU-EL-OC-Hil-XXXX-SCR-000004</t>
  </si>
  <si>
    <t>OC-SCR-000115</t>
  </si>
  <si>
    <t xml:space="preserve">REH-MD01-MDU -Wadi Yemm - Data and TV points on Concrete column - Ground Floor </t>
  </si>
  <si>
    <t>REH-MD01-MDU-EL-OC-Hil-XXXX-SCR-000005</t>
  </si>
  <si>
    <t>OC-SCR-000117</t>
  </si>
  <si>
    <t xml:space="preserve">REH-MD01-MDU -Wadi Yemm - Clarification Lighting Control System for Apartments (ECG) </t>
  </si>
  <si>
    <t>REH-MD01-MDU-EL-OC-Hil-1025-SCR-000004</t>
  </si>
  <si>
    <t>OC-SCR-000116</t>
  </si>
  <si>
    <t xml:space="preserve">REH-MD01-MDU -Wadi Yemm - Data outlets on Concrete column - Ground Floor </t>
  </si>
  <si>
    <t>REH-MD01-MDU-EL-OC-Hil-1047-SCR-000002</t>
  </si>
  <si>
    <t>REH-MD01-MDU -Wadi Yemm - RMU Room Location of RA03 - Plot 1047 at Basement Level</t>
  </si>
  <si>
    <t>REH-MD01-MDU-EL-OC-Hil-XXXX-SCR-000006</t>
  </si>
  <si>
    <t>OC-SCR-000184</t>
  </si>
  <si>
    <t xml:space="preserve">REH-MD01-MDU -Wadi Yemm -  Clarification Regarding CS (Conventional Smoke Detector) scope </t>
  </si>
  <si>
    <t>REH-MD01-MDU-EL-OC-Hil-XXXX-SCR-000007</t>
  </si>
  <si>
    <t>OC-SCR-000207</t>
  </si>
  <si>
    <t>REH-MD01-MDU -Wadi Yemm -  Required for Fire Alarm Detection Concept at Apartments</t>
  </si>
  <si>
    <t>REH-MD01-MDU-EL-OC-Hil-1032-SCR-000001</t>
  </si>
  <si>
    <t>OC-SCR-000212</t>
  </si>
  <si>
    <t>REH-MD01-MDU -Wadi Yemm -  RMU Room Location of SP02 - Plot 1032 - Conflict between the columns and trench.</t>
  </si>
  <si>
    <t>1032</t>
  </si>
  <si>
    <t>REH-MD01-MDU-EL-OC-Hil-XXXX-SCR-000008</t>
  </si>
  <si>
    <t>OC-SCR-000220</t>
  </si>
  <si>
    <t>REH-MD01-MDU -Wadi Yemm - Discrepancies in Earthing Cable Sizes between Layout and Riser Drawings (Shaker Package)</t>
  </si>
  <si>
    <t>REH-MD01-MDU-EL-OC-Hil-XXXX-SCR-000009</t>
  </si>
  <si>
    <t>OC-SCR-000225</t>
  </si>
  <si>
    <t xml:space="preserve">REH-MD01-MDU -Wadi Yemm -Power System Clashes Between Electrical and Interior Design (ELEC &amp; ID) – 100% (DD) Shaker Package – Apartment Layouts – (Q2). </t>
  </si>
  <si>
    <t>REH-MD01-MDU-EL-OC-Hil-XXXX-SCR-000010</t>
  </si>
  <si>
    <t>OC-SCR-000226</t>
  </si>
  <si>
    <t>REH-MD01-MDU -Wadi Yemm -Power System Clashes Between Electrical and Interior Design (ELEC &amp; ID) – 100% (DD) Shaker Package – Apartment Layouts – (Q3).</t>
  </si>
  <si>
    <t>REH-MD01-MDU-EL-OC-Hil-XXXX-SCR-000011</t>
  </si>
  <si>
    <t>OC-SCR-000227</t>
  </si>
  <si>
    <t>REH-MD01-MDU -Wadi Yemm -Power System Clashes Between Electrical and Interior Design (ELEC &amp; ID) – 100% (DD) Shaker Package – Apartment Layouts – (Q4).</t>
  </si>
  <si>
    <t>REH-MD01-MDU-EL-OC-Hil-XXXX-SCR-000012</t>
  </si>
  <si>
    <t>OC-SCR-000232</t>
  </si>
  <si>
    <t>REH-MD01-MDU -Wadi Yemm -Discrepancy Lighting control scenario at Drawings  (Shaker Package)</t>
  </si>
  <si>
    <t>REH-MD01-MDU-EL-OC-Hil-XXXX-SCR-000013</t>
  </si>
  <si>
    <t>OC-SCR-000233</t>
  </si>
  <si>
    <t>REH-MD01-MDU -Wadi Yemm -Conflict in conventional switch locations &amp; types  between Shaker 100% DD &amp; Shaker 100% ID  (Shaker Package)</t>
  </si>
  <si>
    <t>REH-MD01-MDU-EL-OC-Hil-1024-SCR-000003</t>
  </si>
  <si>
    <t>OC-SCR-000240</t>
  </si>
  <si>
    <t xml:space="preserve">REH-MD01-MDU -Wadi Yemm - Conflict Between Retail Disconnect Switch Location and Architectural Layout Ground Floor ( RA06-1024) </t>
  </si>
  <si>
    <t>REH-MD01-MDU-EL-OC-Hil-XXXX-SCR-000014</t>
  </si>
  <si>
    <t>OC-SCR-000250</t>
  </si>
  <si>
    <t>REH-MD01-MDU -Wadi Yemm -Discrepancy between Design Concept and Drawings   (Shaker Package)</t>
  </si>
  <si>
    <t>REH-MD01-MDU-EL-OC-Hil-1025-SCR-000005</t>
  </si>
  <si>
    <t>OC-SCR-000259</t>
  </si>
  <si>
    <t>REH-MD01-MDU -Wadi Yemm -Landscape Lighting Clarification – RA04, Plot 1025</t>
  </si>
  <si>
    <t>REH-MD01-MDU-EL-OC-Hil-1047-SCR-000003</t>
  </si>
  <si>
    <t>OC-SCR-000290</t>
  </si>
  <si>
    <t xml:space="preserve">REH-MD01-MDU -Wadi Yemm - Proposed Devices In Fire Alarm System - Plot 1047 - Ground Floor </t>
  </si>
  <si>
    <t>REH-MD01-MDU-EL-OC-Hil-1047-SCR-000004</t>
  </si>
  <si>
    <t>OC-SCR-000291</t>
  </si>
  <si>
    <t xml:space="preserve">REH-MD01-MDU -Wadi Yemm - Lighting design clarification - Plot 1047 - Ground Floor </t>
  </si>
  <si>
    <t>REH-MD01-MDU-EL-OC-Hil-1047-SCR-000005</t>
  </si>
  <si>
    <t>OC-SCR-000292</t>
  </si>
  <si>
    <t xml:space="preserve">REH-MD01-MDU -Wadi Yemm - Conflict at Panels Locations and Lighting fixture - Plot 1047 - Ground Floor </t>
  </si>
  <si>
    <t>REH-MD01-MDU-EL-OC-Hil-1047-SCR-000006</t>
  </si>
  <si>
    <t>OC-SCR-000293</t>
  </si>
  <si>
    <t xml:space="preserve">REH-MD01-MDU -Wadi Yemm - Differences in Lighting Design &amp; missing data for circuits - Plot 1047 - Ground Floor </t>
  </si>
  <si>
    <t>REH-MD01-MDU-EL-OC-Hil-1047-SCR-000007</t>
  </si>
  <si>
    <t>OC-SCR-000303</t>
  </si>
  <si>
    <t>REH-MD01-MDU -Wadi Yemm - FAÇADE Lighting - Ground Floor of RA03 - Plot 1047</t>
  </si>
  <si>
    <t>REH-MD01-MDU-EL-OC-Hil-1047-SCR-000008</t>
  </si>
  <si>
    <t>OC-SCR-000305</t>
  </si>
  <si>
    <t>REH-MD01-MDU-EL-OC-Hil-1047-SCR-000009</t>
  </si>
  <si>
    <t>OC-SCR-000306</t>
  </si>
  <si>
    <t>REH-MD01-MDU -Wadi Yemm - Power System - Ground Floor of RA03 - Plot 1047</t>
  </si>
  <si>
    <t>REH-MD01-MDU-EL-OC-Hil-1047-SCR-000010</t>
  </si>
  <si>
    <t>OC-SCR-000307</t>
  </si>
  <si>
    <t>REH-MD01-MDU-EL-OC-Hil-1047-SCR-000011</t>
  </si>
  <si>
    <t>OC-SCR-000308</t>
  </si>
  <si>
    <t>REH-MD01-MDU-EL-OC-Hil-1047-SCR-000012</t>
  </si>
  <si>
    <t>OC-SCR-000310</t>
  </si>
  <si>
    <t>REH-MD01-MDU -Wadi Yemm - Clash between lighting fixture and structure column</t>
  </si>
  <si>
    <t>REH-MD01-MDU-EL-OC-Hil-1024-SCR-000004</t>
  </si>
  <si>
    <t>OC-SCR-000320</t>
  </si>
  <si>
    <t>REH-MD01-MDU -Wadi Yemm - SCR -Clarification Regarding unhosted lighting fixture &amp; occupancy sensor-  Ground floor- Plot-1024</t>
  </si>
  <si>
    <t>REH-MD01-MDU-EL-OC-Hil-XXXX-SCR-000015</t>
  </si>
  <si>
    <t>OC-SCR-000321</t>
  </si>
  <si>
    <t>REH-MD01-MDU -Wadi Yemm - Clarification Regarding Electrical Services Located Within Reinforced Concrete Columns in Apartment Unit Drawings.Shaker Package</t>
  </si>
  <si>
    <t>REH-MD01-MDU-EL-OC-Hil-1031-SCR-000001</t>
  </si>
  <si>
    <t>OC-SCR-000322</t>
  </si>
  <si>
    <t>REH-MD01-MDU -Wadi Yemm - Conflict and Missing Data Identified Between Earthing &amp; Lightning Layout Drawings and Riser Diagrams for SP02 (Plots 1031, 1032 &amp; 1033)</t>
  </si>
  <si>
    <t>REH-MD01-MDU-EL-OC-Hil-1024-SCR-000005</t>
  </si>
  <si>
    <t>OC-SCR-000323</t>
  </si>
  <si>
    <t xml:space="preserve">REH-MD01-MDU -Wadi Yemm - Missing lighting fixtures in ground floor in plot 1024 </t>
  </si>
  <si>
    <t>REH-MD01-MDU-EL-OC-Hil-1024-SCR-000006</t>
  </si>
  <si>
    <t>OC-SCR-000324</t>
  </si>
  <si>
    <t>REH-MD01-MDU -Wadi Yemm - linear led design review -plot 1024</t>
  </si>
  <si>
    <t>REH-MD01-MDU-EL-OC-Hil-1047-SCR-000013</t>
  </si>
  <si>
    <t>OC-SCR-000338</t>
  </si>
  <si>
    <t>REH-MD01-MDU -Wadi Yemm - Missing Power Outlets for Telecom and Mechanical Equipment.</t>
  </si>
  <si>
    <t>REH-MD01-MDU-EL-OC-Hil-1024-SCR-000007</t>
  </si>
  <si>
    <t>OC-SCR-000352</t>
  </si>
  <si>
    <t>REH-MD01-MDU -Wadi Yemm - ELECTRICAL-LIFE SAFETY AND EMERGENCY LIGHTING GROUND FLOOR- PLOT-1024</t>
  </si>
  <si>
    <t>REH-MD01-MDU-EL-OC-Hil-1028-SCR-000004</t>
  </si>
  <si>
    <t>OC-SCR-000360</t>
  </si>
  <si>
    <t>REH-MD01-MDU -Wadi Yemm - Missing lighting fixtures in ground floor in plot 1028</t>
  </si>
  <si>
    <t>REH-MD01-MDU-EL-OC-Hil-1028-SCR-000005</t>
  </si>
  <si>
    <t>OC-SCR-000366</t>
  </si>
  <si>
    <t xml:space="preserve">REH-MD01-MDU -Wadi Yemm - Lift Lobby Lighting – Circuit Tag Identification – RA02 – Plot 1028 </t>
  </si>
  <si>
    <t>REH-MD01-MDU-EL-OC-Hil-1028-SCR-000006</t>
  </si>
  <si>
    <t>OC-SCR-000367</t>
  </si>
  <si>
    <t>REH-MD01-MDU -Wadi Yemm - Exit Sign Clarification – Ground Floor of RA02 – Plot 1028</t>
  </si>
  <si>
    <t>REH-MD01-MDU-EL-OC-Hil-1060-SCR-000001</t>
  </si>
  <si>
    <t>OC-SCR-000357</t>
  </si>
  <si>
    <t>REH-MD01-MDU - Wadi Yemm  - Conflict between Slab Openings in (100% DD ARCHITECTURAL &amp; 100% DD ELECTRICAL &amp; IFC STRUCTURAL ) PACKAGES SP2 - PLOT (1060)</t>
  </si>
  <si>
    <t>1060</t>
  </si>
  <si>
    <t>REH-MD01-MDU-EL-OC-Hil-1044-SCR-000001</t>
  </si>
  <si>
    <t>OC-SCR-000376</t>
  </si>
  <si>
    <t>REH-MD01-MDU - Wadi Yemm  - ONU Dedicated Power Supply Arrangement –SP03 – Plot 1044</t>
  </si>
  <si>
    <t>REH-MD01-MDU-EL-OC-Hil-1028-SCR-000007</t>
  </si>
  <si>
    <t>OC-SCR-000392</t>
  </si>
  <si>
    <t>REH-MD01-MDU - Wadi Yemm  - IEB Location Clarification – Ground Floor of RA02 – Plot 1028</t>
  </si>
  <si>
    <t>REH-MD01-MDU-EL-OC-Hil-1024-SCR-000008</t>
  </si>
  <si>
    <t>OC-SCR-000399</t>
  </si>
  <si>
    <t>REH-MD01-MDU - Wadi Yemm  - SCR – Clarification Regarding FTR Room Lighting Arrangement in the Ground Floor</t>
  </si>
  <si>
    <t>REH-MD01-MDU-EL-OC-Hil-1024-SCR-000009</t>
  </si>
  <si>
    <t>OC-SCR-000400</t>
  </si>
  <si>
    <t>REH-MD01-MDU - Wadi Yemm  - SCR – Clarification Regarding  CCTV/Telephone Points in the Ground Floor Elevator plot 1024</t>
  </si>
  <si>
    <t>REH-MD01-MDU-EL-OC-Hil-1024-SCR-000010</t>
  </si>
  <si>
    <t>OC-SCR-000401</t>
  </si>
  <si>
    <t>REH-MD01-MDU - Wadi Yemm  - SCR – Clarification Regarding Façade Lighting Fixtures Coordination at Ground Floor – Plot 1024</t>
  </si>
  <si>
    <t>REH-MD01-MDU-EL-OC-Hil-1024-SCR-000011</t>
  </si>
  <si>
    <t>OC-SCR-000414</t>
  </si>
  <si>
    <t>REH-MD01-MDU - Wadi Yemm  - SCR – Clarification Regarding FCU Power Outlets &amp; Power Circuits in the Ground Floor Elevator-Plot 1024.</t>
  </si>
  <si>
    <t>REH-MD01-MDU-EL-OC-Hil-1024-SCR-000012</t>
  </si>
  <si>
    <t>OC-SCR-000415</t>
  </si>
  <si>
    <t>REH-MD01-MDU - Wadi Yemm  - SCR – Clarification Regarding Fire Alarm Device Arrangement in Electrical Utility Rooms</t>
  </si>
  <si>
    <t>REH-MD01-MDU-EL-OC-Hil-1024-SCR-000013</t>
  </si>
  <si>
    <t>OC-SCR-000418</t>
  </si>
  <si>
    <t>REH-MD01-MDU - Wadi Yemm  - SCR – Clarification Regarding Lighting Circuit Distribution at Ground Floor – Plot 1024</t>
  </si>
  <si>
    <t>REH-MD01-MDU-EL-OC-Hil-1028-SCR-000008</t>
  </si>
  <si>
    <t>OC-SCR-000420</t>
  </si>
  <si>
    <t>REH-MD01-MDU - Wadi Yemm  - Lighting fixture without ceiling support – Ground Floor of RA02 – Plot 1028</t>
  </si>
  <si>
    <t>REH-MD01-MDU-EL-OC-Hil-1028-SCR-000009</t>
  </si>
  <si>
    <t>OC-SCR-000422</t>
  </si>
  <si>
    <t>REH-MD01-MDU - Wadi Yemm  - A/C Disconnect Switch (DCS) Location</t>
  </si>
  <si>
    <t>REH-MD01-MDU-EL-OC-Hil-XXXX-SCR-000016</t>
  </si>
  <si>
    <t>OC-SCR-000423</t>
  </si>
  <si>
    <t>REH-MD01-MDU -Wadi Yemm - Clarification Required for Gas Shut-Off, CCU Switch Connection</t>
  </si>
  <si>
    <t>REH-MD01-MDU-EL-OC-Hil-1025-SCR-000006</t>
  </si>
  <si>
    <t>OC-SCR-000429</t>
  </si>
  <si>
    <t>REH-MD01-MDU -Wadi Yemm - MISSING LCP PANELS  AT GROUND FLOOR – RA04, Plot 1025.</t>
  </si>
  <si>
    <t>REH-MD01-MDU-EL-OC-Hil-1024-SCR-000014</t>
  </si>
  <si>
    <t>OC-SCR-000431</t>
  </si>
  <si>
    <t>REH-MD01-MDU -Wadi Yemm - SCR – Clarification Regarding All Power Outlets Distribution Across Floors plot 1024</t>
  </si>
  <si>
    <t>REH-MD01-MDU-EL-OC-Hil-1028-SCR-000010</t>
  </si>
  <si>
    <t>OC-SCR-000435</t>
  </si>
  <si>
    <t>REH-MD01-MDU -Wadi Yemm - Lighting Fixture Switching And Panel Issue At Plot 1028</t>
  </si>
  <si>
    <t>REH-MD01-MDU-EL-OC-Hil-1047-SCR-000014</t>
  </si>
  <si>
    <t>OC-SCR-000439</t>
  </si>
  <si>
    <t>REH-MD01-MDU -Wadi Yemm - Security System Camera Location Clarification – Ground Floor of RA03 – Plot 1047</t>
  </si>
  <si>
    <t>REH-MD01-MDU-EL-OC-Hil-1022-SCR-000001</t>
  </si>
  <si>
    <t>OC-SCR-000447</t>
  </si>
  <si>
    <t>REH-MD01-MDU -Wadi Yemm - Clarification for Down Conductor Routing   - Sp06</t>
  </si>
  <si>
    <t>REH-MD01-MDU-EL-OC-Hil-1024-SCR-000015</t>
  </si>
  <si>
    <t>OC-SCR-000449</t>
  </si>
  <si>
    <t>REH-MD01-MDU -Wadi Yemm - SCR – Clarification Regarding FTR Room Shaft Dimensions at Ground Floor – Plot 1024</t>
  </si>
  <si>
    <t>REH-MD01-MDU-EL-OC-Hil-1024-SCR-000016</t>
  </si>
  <si>
    <t>OC-SCR-000450</t>
  </si>
  <si>
    <t>REH-MD01-MDU -Wadi Yemm - SCR – Clarification Regarding Missing Lighting Fixtures in Gym Area- plot 1024</t>
  </si>
  <si>
    <t>REH-MD01-MDU-EL-OC-Hil-1032-SCR-000002</t>
  </si>
  <si>
    <t>OC-SCR-000463</t>
  </si>
  <si>
    <t>REH-MD01-MDU -Wadi Yemm - SCR – Clarification Regarding conflict Distribution Board locations/naming at SP02-Plot 1032</t>
  </si>
  <si>
    <t>REH-MD01-MDU-EL-OC-Hil-1047-SCR-000015</t>
  </si>
  <si>
    <t>OC-SCR-000464</t>
  </si>
  <si>
    <t>REH-MD01-MDU -Wadi Yemm - Low Current System - Plot 1047 - Ground Floor Plan</t>
  </si>
  <si>
    <t>REH-MD01-MDU-EL-OC-Hil-1024-SCR-000017</t>
  </si>
  <si>
    <t>OC-SCR-000466</t>
  </si>
  <si>
    <t>REH-MD01-MDU -Wadi Yemm - Clarification Regarding Missing Data Outlet for CCTV Camera at the staircase– Basement 01 PLOT 1024</t>
  </si>
  <si>
    <t>REH-MD01-MDU-EL-OC-Hil-1047-SCR-000016</t>
  </si>
  <si>
    <t>OC-SCR-000472</t>
  </si>
  <si>
    <t>REH-MD01-MDU -Wadi Yemm - Lighting System - Ground Floor of RA03 - Plot 1047</t>
  </si>
  <si>
    <t>REH-MD01-MDU-EL-OC-Hil-1024-SCR-000018</t>
  </si>
  <si>
    <t>OC-SCR-000473</t>
  </si>
  <si>
    <t>REH-MD01-MDU -Wadi Yemm - Security Arm Barrier Location and its power outlet - Plot 1024-GF</t>
  </si>
  <si>
    <t>REH-MD01-MDU-EL-OC-Hil-1036-SCR-000003</t>
  </si>
  <si>
    <t>OC-SCR-000475</t>
  </si>
  <si>
    <t>REH-MD01-MDU -Wadi Yemm - Sea Town Center -Clarification on Lighting Fixture Symbol FAÇADE Lighting - Ground Floor of RA01 - Plot 1036</t>
  </si>
  <si>
    <t>REH-MD01-MDU-EL-OC-Hil-1036-SCR-000004</t>
  </si>
  <si>
    <t>OC-SCR-000476</t>
  </si>
  <si>
    <t>REH-MD01-MDU -Wadi Yemm - Sea Town Center -Clarification on Landscape Lighting Fixture Type and Mounting Location - Ground Floor of RA01 - Plot 1036</t>
  </si>
  <si>
    <t>REH-MD01-MDU-EL-OC-Hil-1036-SCR-000005</t>
  </si>
  <si>
    <t>OC-SCR-000477</t>
  </si>
  <si>
    <t>REH-MD01-MDU -Wadi Yemm - Sea Town Center -Conflict in arm barrier location - Ground Floor of RA01 - Plot 1036</t>
  </si>
  <si>
    <t>REH-MD01-MDU-EL-OC-Hil-1036-SCR-000006</t>
  </si>
  <si>
    <t>OC-SCR-000478</t>
  </si>
  <si>
    <t>REH-MD01-MDU -Wadi Yemm - Sea Town Center -STRUCTURED CABLING SYSTEM floor boxes are not implemented in  model- Ground Floor of RA01 - Plot 1036</t>
  </si>
  <si>
    <t>REH-MD01-MDU-EL-OC-Hil-1025-SCR-000007</t>
  </si>
  <si>
    <t>OC-SCR-000484</t>
  </si>
  <si>
    <t xml:space="preserve">REH-MD01-MDU -Wadi Yemm - Sea Town Center - Clarification for Down Lights - Plot 1025 </t>
  </si>
  <si>
    <t>REH-MD01-MDU-EL-OC-Hil-1044-SCR-000002</t>
  </si>
  <si>
    <t>OC-SCR-000497</t>
  </si>
  <si>
    <t>REH-MD01-MDU -Wadi Yemm - Elevator Emergency Telephone Point and CCTV Location Clarification –SP03 – Plot 1044</t>
  </si>
  <si>
    <t>REH-MD01-MDU-EL-OC-Hil-1028-SCR-000011</t>
  </si>
  <si>
    <t>OC-SCR-000500</t>
  </si>
  <si>
    <t>REH-MD01-MDU -Wadi Yemm - Clarification of Elevator CCTV Camera and Telephone Outlet Locations At Plot 1028</t>
  </si>
  <si>
    <t>REH-MD01-MDU-EL-OC-Hil-1036-SCR-000007</t>
  </si>
  <si>
    <t>OC-SCR-000501</t>
  </si>
  <si>
    <t>REH-MD01-MDU -Wadi Yemm - Sea Town Center -Clarification on Ceiling-Mounted Exit Sign Missing from 100% DD Submission</t>
  </si>
  <si>
    <t>REH-MD01-MDU-EL-OC-Hil-1033-SCR-000001</t>
  </si>
  <si>
    <t>OC-SCR-000508</t>
  </si>
  <si>
    <t>REH-MD01-MDU -Wadi Yemm - Sea Town Center - Structural Beam Interference with Electrical &amp; Low Current Shafts - SP02 - PLOT 1033.</t>
  </si>
  <si>
    <t>1033</t>
  </si>
  <si>
    <t>REH-MD01-MDU-EL-OC-Hil-1044-SCR-000003</t>
  </si>
  <si>
    <t>OC-SCR-000513</t>
  </si>
  <si>
    <t>REH-MD01-MDU -Wadi Yemm - Mssing cable type ,size and cable routing for BMS - Plot 1044</t>
  </si>
  <si>
    <t>REH-MD01-MDU-EL-OC-Hil-1036-SCR-000008</t>
  </si>
  <si>
    <t>OC-SCR-000517</t>
  </si>
  <si>
    <t>REH-MD01-MDU -Wadi Yemm - Sea Town Center -Plot 1036- Conflict between Arch. topology and Telecommunication for Apartment Types</t>
  </si>
  <si>
    <t>REH-MD01-MDU-EL-OC-Hil-1036-SCR-000009</t>
  </si>
  <si>
    <t>OC-SCR-000526</t>
  </si>
  <si>
    <t>REH-MD01-MDU -Wadi Yemm - Sea Town Center -Plot -1036,IEB Location conflict between TE Drawing &amp; Appartment layout</t>
  </si>
  <si>
    <t>REH-MD01-MDU-EL-OC-Hil-1024-SCR-000019</t>
  </si>
  <si>
    <t>OC-SCR-000544</t>
  </si>
  <si>
    <t>REH-MD01-MDU -Wadi Yemm - SCR - Clarification Regarding Multi Detector Inside Elevator at Ground Floor Plot 1024</t>
  </si>
  <si>
    <t>REH-MD01-MDU-EL-OC-Hil-1026-SCR-000001</t>
  </si>
  <si>
    <t>OC-SCR-000548</t>
  </si>
  <si>
    <t>REH-MD01-MDU -Wadi Yemm - SCR - FTR Lighting Circuit unclear , occupancy sensor &amp; Lighting Switch is missing Ground floor - Plot1026</t>
  </si>
  <si>
    <t>REH-MD01-MDU-EL-OC-Hil-1047-SCR-000017</t>
  </si>
  <si>
    <t>OC-SCR-000553</t>
  </si>
  <si>
    <t>REH-MD01-MDU -Wadi Yemm - Lighting Fixture Location Clarification – Plot 1047 – First Floor</t>
  </si>
  <si>
    <t>REH-MD01-MDU-EL-OC-Hil-XXXX-SCR-000017</t>
  </si>
  <si>
    <t>OC-SCR-000554</t>
  </si>
  <si>
    <t>REH-MD01-MDU -Wadi Yemm - Confirmation of Fire Alarm Detectors Inside Apartments</t>
  </si>
  <si>
    <t>REH-MD01-MDU-EL-OC-Hil-1026-SCR-000002</t>
  </si>
  <si>
    <t>OC-SCR-000558</t>
  </si>
  <si>
    <t xml:space="preserve">REH-MD01-MDU -Wadi Yemm - Lighting Fixture Switch Missing - ground floor-plot 1026 </t>
  </si>
  <si>
    <t>REH-MD01-MDU-EL-OC-Hil-1026-SCR-000003</t>
  </si>
  <si>
    <t>OC-SCR-000559</t>
  </si>
  <si>
    <t>REH-MD01-MDU -Wadi Yemm - the lighting circuits arrangement - plot 1026</t>
  </si>
  <si>
    <t>REH-MD01-MDU-EL-OC-Hil-1024-SCR-000020</t>
  </si>
  <si>
    <t>OC-SCR-000562</t>
  </si>
  <si>
    <t xml:space="preserve">REH-MD01-MDU -Wadi Yemm - SCR - Clarification Regarding Outlet Mounting Level Discrepancy Between Legend and Section Details at Ground Floor Plot 1024  </t>
  </si>
  <si>
    <t>REH-MD01-MDU-EL-OC-Hil-1036-SCR-000010</t>
  </si>
  <si>
    <t>OC-SCR-000574</t>
  </si>
  <si>
    <t>REH-MD01-MDU -Wadi Yemm - Plot 1036 Missing Camera Outlet In Parking System Ground Floor</t>
  </si>
  <si>
    <t>REH-MD01-MDU-EL-OC-Hil-XXXX-SCR-000018</t>
  </si>
  <si>
    <t>OC-SCR-000598</t>
  </si>
  <si>
    <t>REH-MD01-MDU -Wadi Yemm - POWER - CONFLICT IN ELECTRICAL OUTLETS LOCATION AT APPARTMENTS</t>
  </si>
  <si>
    <t>REH-MD01-MDU-EL-OC-Hil-1033-SCR-000002</t>
  </si>
  <si>
    <t>OC-SCR-000599</t>
  </si>
  <si>
    <t>REH-MD01-MDU -Wadi Yemm - Request for Approval of Proposed Shaft for Cable Trunk Routing - SP02 - PLOT 1033</t>
  </si>
  <si>
    <t>REH-MD01-MDU-EL-OC-Hil-1047-SCR-000018</t>
  </si>
  <si>
    <t>OC-SCR-000600</t>
  </si>
  <si>
    <t>REH-MD01-MDU -Wadi Yemm - Clarification of Exit Sign Location - Emergency System - First Floor of RA03 - Plot 1047</t>
  </si>
  <si>
    <t>REH-MD01-MDU-EL-OC-Hil-XXXX-SCR-000019</t>
  </si>
  <si>
    <t>OC-SCR-000601</t>
  </si>
  <si>
    <t>REH-MD01-MDU -Wadi Yemm - Clarification on Enclosure Rating for High-Rating ATS Units (1600A to 4000A)</t>
  </si>
  <si>
    <t>REH-MD01-MDU-EL-OC-Hil-XXXX-SCR-000020</t>
  </si>
  <si>
    <t>OC-SCR-000604</t>
  </si>
  <si>
    <t>REH-MD01-MDU -Wadi Yemm - Q2-2BHK Standard Apartment Dish Washer Location.</t>
  </si>
  <si>
    <t>REH-MD01-MDU-EL-OC-Hil-1047-SCR-000019</t>
  </si>
  <si>
    <t>OC-SCR-000608</t>
  </si>
  <si>
    <t>REH-MD01-MDU -Wadi Yemm - Missing Smoke Detector Above False Ceiling -First Floor- Plot 1047</t>
  </si>
  <si>
    <t>REH-MD01-MDU-EL-OC-Hil-1036-SCR-000011</t>
  </si>
  <si>
    <t>OC-SCR-000596</t>
  </si>
  <si>
    <t>REH-MD01-MDU -Wadi Yemm - Clarification Required for Exit Sign Circuits and Emergency Lighting Arrangement</t>
  </si>
  <si>
    <t>REH-MD01-MDU-EL-OC-Hil-1036-SCR-000012</t>
  </si>
  <si>
    <t>OC-SCR-000619</t>
  </si>
  <si>
    <t>REH-MD01-MDU -Wadi Yemm - Lighting Fixture Switch Missing - ground floor-plot 1036</t>
  </si>
  <si>
    <t>REH-MD01-MDU-EL-OC-Hil-1036-SCR-000013</t>
  </si>
  <si>
    <t>OC-SCR-000620</t>
  </si>
  <si>
    <t>REH-MD01-MDU -Wadi Yemm - the lighting circuits arrangement - plot 1036</t>
  </si>
  <si>
    <t>REH-MD01-MDU-EL-OC-Hil-1036-SCR-000014</t>
  </si>
  <si>
    <t>OC-SCR-000621</t>
  </si>
  <si>
    <t>REH-MD01-MDU -Wadi Yemm -Missing Circuits-ground floor-plot 1036</t>
  </si>
  <si>
    <t>REH-MD01-MDU-EL-OC-Hil-XXXX-SCR-000021</t>
  </si>
  <si>
    <t>OC-SCR-000622</t>
  </si>
  <si>
    <t>REH-MD01-MDU -Wadi Yemm - Lighting Fixture Switch Missing - ground floor-APARTMENT (Q2 4BHK-CORNER)</t>
  </si>
  <si>
    <t>REH-MD01-MDU-EL-OC-Hil-XXXX-SCR-000022</t>
  </si>
  <si>
    <t>OC-SCR-000625</t>
  </si>
  <si>
    <t xml:space="preserve">REH-MD01-MDU -Wadi Yemm - SCR - conflict  between the project specifications and the General details FOR down conductors </t>
  </si>
  <si>
    <t>REH-MD01-MDU-EL-OC-Hil-1028-SCR-000012</t>
  </si>
  <si>
    <t>OC-SCR-000627</t>
  </si>
  <si>
    <t>REH-MD01-MDU -Wadi Yemm - Floor Box Power Outlet Discrepancy at Entrance Lobby – Plot 1028</t>
  </si>
  <si>
    <t>REH-MD01-MDU-EL-OC-Hil-1036-SCR-000015</t>
  </si>
  <si>
    <t>OC-SCR-000628</t>
  </si>
  <si>
    <t>REH-MD01-MDU -Wadi Yemm - Missing lighting fixtures in ground floor in plot 1036</t>
  </si>
  <si>
    <t>REH-MD01-MDU-EL-OC-Hil-1036-SCR-000016</t>
  </si>
  <si>
    <t>OC-SCR-000630</t>
  </si>
  <si>
    <t>REH-MD01-MDU -Wadi Yemm -Missing Balcony Lighting Fixtures in Apartment Design Drawings-Ground Floor-Plot 1036</t>
  </si>
  <si>
    <t>REH-MD01-MDU-EL-OC-Hil-1026-SCR-000004</t>
  </si>
  <si>
    <t>OC-SCR-000636</t>
  </si>
  <si>
    <t>REH-MD01-MDU -Wadi Yemm - Lighting Fixture Clash &amp;unclear lighting distributionAt Plot (1026)</t>
  </si>
  <si>
    <t>REH-MD01-MDU-EL-OC-Hil-1026-SCR-000005</t>
  </si>
  <si>
    <t>OC-SCR-000641</t>
  </si>
  <si>
    <t>REH-MD01-MDU -Wadi Yemm - manual call points arrangement at ground floor - plot (1026)</t>
  </si>
  <si>
    <t>REH-MD01-MDU-EL-OC-Hil-1021-SCR-000001</t>
  </si>
  <si>
    <t>OC-SCR-000638</t>
  </si>
  <si>
    <t>REH-MD01-MDU -Wadi Yemm - Discrepancy Between Electrical Design Drawings and Latest Architectural Drawings - SP04 - PLOT 1021</t>
  </si>
  <si>
    <t>REH-MD01-MDU-EL-OC-Hil-1021-SCR-000002</t>
  </si>
  <si>
    <t>OC-SCR-000639</t>
  </si>
  <si>
    <t>REH-MD01-MDU -Wadi Yemm - Clarification Required Regarding Lighting Control System for SPA &amp; GYM Rooms - SP04 - PLOT 1021</t>
  </si>
  <si>
    <t>REH-MD01-MDU-EL-OC-Hil-1021-SCR-000003</t>
  </si>
  <si>
    <t>OC-SCR-000640</t>
  </si>
  <si>
    <t>REH-MD01-MDU -Wadi Yemm - Clarification Required Regarding Electrical Panel Identification and Location - SP04 - PLOT 1021</t>
  </si>
  <si>
    <t>REH-MD01-MDU-EL-OC-Hil-1036-SCR-000017</t>
  </si>
  <si>
    <t>OC-SCR-000654</t>
  </si>
  <si>
    <t>REH-MD01-MDU -Wadi Yemm -CONFLICT BETWEEN DESIGN AND REVIT MODEL IN LOW CURRENT PLOT 1036 GROUND FLOOR</t>
  </si>
  <si>
    <t>REH-MD01-MDU-EL-OC-Hil-XXXX-SCR-000023</t>
  </si>
  <si>
    <t>OC-SCR-000655</t>
  </si>
  <si>
    <t>REH-MD01-MDU -Wadi Yemm - Confirmation of Fire Alarm Detectors Inside Apartments - 100% ECG DD package</t>
  </si>
  <si>
    <t>REH-MD01-MDU-EL-OC-Hil-XXXX-SCR-000024</t>
  </si>
  <si>
    <t>OC-SCR-000656</t>
  </si>
  <si>
    <t>REH-MD01-MDU -Wadi Yemm - IEB Panel Location Clarification</t>
  </si>
  <si>
    <t>REH-MD01-MDU-EL-OC-Hil-XXXX-SCR-000025</t>
  </si>
  <si>
    <t>OC-SCR-000661</t>
  </si>
  <si>
    <t>REH-MD01-MDU -Wadi Yemm -Clarification Regarding Drawing Inconsistencies between type Q2 &amp;Q3</t>
  </si>
  <si>
    <t>REH-MD01-MDU-EL-OC-Hil-XXXX-SCR-000026</t>
  </si>
  <si>
    <t>OC-SCR-000662</t>
  </si>
  <si>
    <t>REH-MD01-MDU -Wadi Yemm -Clarification Required Regarding Home Automation type for Q3</t>
  </si>
  <si>
    <t>REH-MD01-MDU-EL-OC-Hil-1026-SCR-000006</t>
  </si>
  <si>
    <t>OC-SCR-000663</t>
  </si>
  <si>
    <t>REH-MD01-MDU -Wadi Yemm - missing fire alarm detectors in staircases at ground floor - plot (1026)</t>
  </si>
  <si>
    <t>REH-MD01-MDU-EL-OC-Hil-XXXX-SCR-000027</t>
  </si>
  <si>
    <t>OC-SCR-000677</t>
  </si>
  <si>
    <t>REH-MD01-MDU -Wadi Yemm -Fire Alarm System Design Discrepancy Between 100% DD Shaker and 100% DD ECG Packages</t>
  </si>
  <si>
    <t>REH-MD01-MDU-EL-OC-Hil-1022-SCR-000002</t>
  </si>
  <si>
    <t>OC-SCR-000685</t>
  </si>
  <si>
    <t>REH-MD01-MDU -Wadi Yemm - EXTERIOR Lighting – Lighting Fixture Level Coordination-Plot 1022</t>
  </si>
  <si>
    <t>REH-MD01-MDU-EL-OC-Hil-XXXX-SCR-000028</t>
  </si>
  <si>
    <t>OC-SCR-000686</t>
  </si>
  <si>
    <t>REH-MD01-MDU -Wadi Yemm - Clarification Regarding the Acceptability of Local Panel Builders</t>
  </si>
  <si>
    <t>REH-MD01-MDU-EL-OC-Hil-1022-SCR-000003</t>
  </si>
  <si>
    <t>OC-SCR-000687</t>
  </si>
  <si>
    <t>REH-MD01-MDU -Wadi Yemm - EXTERIOR Lighting don't match with Architectural Drawing -Plot 1022</t>
  </si>
  <si>
    <t>REH-MD01-MDU-EL-OC-Hil-1047-SCR-000020</t>
  </si>
  <si>
    <t>OC-SCR-000689</t>
  </si>
  <si>
    <t>REH-MD01-MDU -Wadi Yemm - POWER System - Second Floor of RA03 - Plot 1047</t>
  </si>
  <si>
    <t>REH-MD01-MDU-EL-OC-Hil-XXXX-SCR-000029</t>
  </si>
  <si>
    <t>OC-SCR-000697</t>
  </si>
  <si>
    <t>REH-MD01-MDU -Wadi Yemm - Missing Apartment Model for the lighting , power and low Current systems .</t>
  </si>
  <si>
    <t>REH-MD01-MDU-EL-OC-Hil-XXXX-SCR-000030</t>
  </si>
  <si>
    <t>OC-SCR-000698</t>
  </si>
  <si>
    <t xml:space="preserve">REH-MD01-MDU -Wadi Yemm - Installation Heights / levels for all wall-Mounted devices at Apartments </t>
  </si>
  <si>
    <t>REH-MD01-MDU-EL-OC-Hil-1060-SCR-000002</t>
  </si>
  <si>
    <t>OC-SCR-000699</t>
  </si>
  <si>
    <t>REH-MD01-MDU -Wadi Yemm - Conflict between riser diagram, design drawing and Earth Bar Connections in Mechanical Rooms at Sports Club - plot (1060)</t>
  </si>
  <si>
    <t>REH-MD01-MDU-EL-OC-Hil-1060-SCR-000003</t>
  </si>
  <si>
    <t>OC-SCR-000700</t>
  </si>
  <si>
    <t>REH-MD01-MDU -Wadi Yemm - Conflict between Design Drawings, Riser Diagram and Missing Earthing System for some rooms AT Sports Club - plot (1060)</t>
  </si>
  <si>
    <t>REH-MD01-MDU-EL-OC-Hil-1028-SCR-000013</t>
  </si>
  <si>
    <t>OC-SCR-000723</t>
  </si>
  <si>
    <t>REH-MD01-MDU -Wadi Yemm - FAÇADE LIGHTING DISCREPANCY – FIRST FLOOR – PLOT 1028</t>
  </si>
  <si>
    <t>REH-MD01-MDU-EL-OC-Hil-1028-SCR-000014</t>
  </si>
  <si>
    <t>OC-SCR-000724</t>
  </si>
  <si>
    <t>REH-MD01-MDU -Wadi Yemm - LIGHTING DISCREPANCY – FIRST FLOOR – PLOT 1028</t>
  </si>
  <si>
    <t>REH-MD01-MDU-EL-OC-Hil-1037-SCR-000001</t>
  </si>
  <si>
    <t>OC-SCR-000742</t>
  </si>
  <si>
    <t>REH-MD01-MDU -Wadi Yemm - Missing Shafts in Structural Drawings - PLOT 1037</t>
  </si>
  <si>
    <t>1037</t>
  </si>
  <si>
    <t>REH-MD01-MDU-EL-OC-Hil-1037-SCR-000002</t>
  </si>
  <si>
    <t>OC-SCR-000743</t>
  </si>
  <si>
    <t>REH-MD01-MDU-EL-OC-Hil-1034-SCR-000001</t>
  </si>
  <si>
    <t>OC-SCR-000745</t>
  </si>
  <si>
    <t>REH-MD01-MDU -Wadi Yemm - Missing Shafts in Structural Drawings - PLOT 1034</t>
  </si>
  <si>
    <t>REH-MD01-MDU-EL-OC-Hil-1034-SCR-000002</t>
  </si>
  <si>
    <t>OC-SCR-000746</t>
  </si>
  <si>
    <t>REH-MD01-MDU-EL-OC-Hil-1024-SCR-000021</t>
  </si>
  <si>
    <t>OC-SCR-000765</t>
  </si>
  <si>
    <t>REH-MD01-MDU -Wadi Yemm - SCR – Clarification Regarding Missing Fire Alarm Siren – First Floor – Plot 1024</t>
  </si>
  <si>
    <t>REH-MD01-MDU-EL-OC-Hil-1045-SCR-000001</t>
  </si>
  <si>
    <t>OC-SCR-000769</t>
  </si>
  <si>
    <t>REH-MD01-MDU -Wadi Yemm - Lighting Circuit Wiring Clarification</t>
  </si>
  <si>
    <t>1045</t>
  </si>
  <si>
    <t>REH-MD01-MDU-LI-OC-Hil-XXXX-SCR-000031</t>
  </si>
  <si>
    <t>OC-SCR-000775</t>
  </si>
  <si>
    <t>REH-MD01-MDU -Wadi Yemm - SCR – Clarification Regarding Conflict Between Two Apartment Types – First Floor – Plot 1024</t>
  </si>
  <si>
    <t>REH-MD01-MDU-EL-OC-Hil-1026-SCR-000007</t>
  </si>
  <si>
    <t>OC-SCR-000783</t>
  </si>
  <si>
    <t>REH-MD01-MDU -Wadi Yemm - Conflict between (low current, structured cablling, power drawings) and BOQ - ground floor - Plot (1026)</t>
  </si>
  <si>
    <t>REH-MD01-MDU-LI-OC-Hil-1045-SCR-000002</t>
  </si>
  <si>
    <t>OC-SCR-000794</t>
  </si>
  <si>
    <t>REH-MD01-MDU -Wadi Yemm - Switch Type Clarification</t>
  </si>
  <si>
    <t>REH-MD01-MDU-LI-OC-Hil-1045-SCR-000003</t>
  </si>
  <si>
    <t>OC-SCR-000799</t>
  </si>
  <si>
    <t>REH-MD01-MDU -Wadi Yemm - Lighting Circuit Source Clarification</t>
  </si>
  <si>
    <t>REH-MD01-MDU-SS-OC-Hil-1044-SCR-000004</t>
  </si>
  <si>
    <t>OC-SCR-000802</t>
  </si>
  <si>
    <t>REH-MD01-MDU -Wadi Yemm - Door Contact Clarification – SP03 – Plot 1044</t>
  </si>
  <si>
    <t>REH-MD01-MDU-EL-OC-Hil-XXXX-SCR-000035</t>
  </si>
  <si>
    <t>OC-SCR-000811</t>
  </si>
  <si>
    <t>REH-MD01-MDU -Wadi Yemm - Clarification Required – Lighting Home Automation for Q3 Apartments</t>
  </si>
  <si>
    <t>REH-MD01-MDU-FA-OC-Hil-1026-SCR-000008</t>
  </si>
  <si>
    <t>OC-SCR-000828</t>
  </si>
  <si>
    <t>REH-MD01-MDU -Wadi Yemm - Conflict between (overall drawing &amp; parts drawings) Fire Alarm system - ground floor - Plot (1026)</t>
  </si>
  <si>
    <t>REH-MD01-MDU-FA-OC-Hil-1045-SCR-000004</t>
  </si>
  <si>
    <t>OC-SCR-000829</t>
  </si>
  <si>
    <t>REH-MD01-MDU -Wadi Yemm - Ground Floor of Plot 1045 - Fire Alarm System - Missing Smoke Detector.</t>
  </si>
  <si>
    <t>REH-MD01-MDU-EL-OC-Hil-XXXX-SCR-000036</t>
  </si>
  <si>
    <t>OC-SCR-000821</t>
  </si>
  <si>
    <t>REH-MD01-MDU -Wadi Yemm -Discrepancy Between Interior Design Drawings and Electrical Design Drawings(IFC) - Q2 (SHAKER package)</t>
  </si>
  <si>
    <t>REH-MD01-MDU-LI-OC-Hil-XXXX-SCR-000037</t>
  </si>
  <si>
    <t>OC-SCR-000830</t>
  </si>
  <si>
    <t>REH-MD01-MDU -Wadi Yemm - Dressing Room Lighting Switch</t>
  </si>
  <si>
    <t>REH-MD01-MDU-LI-OC-Hil-1026-SCR-000009</t>
  </si>
  <si>
    <t>OC-SCR-000835</t>
  </si>
  <si>
    <t>REH-MD01-MDU -Wadi Yemm -Clarification Regarding Electrical Design and ID Coordination &amp; Device Mounting for Life Safety &amp; Emergency System – Ground Floor – Plot 1026</t>
  </si>
  <si>
    <t>REH-MD01-MDU-LI-OC-Hil-1018-SCR-000003</t>
  </si>
  <si>
    <t>OC-SCR-000840</t>
  </si>
  <si>
    <t>REH-MD01-MDU -Wadi Yemm - Lighting Circuit – Normal &amp; Emergency Panel Coordination</t>
  </si>
  <si>
    <t>1018</t>
  </si>
  <si>
    <t>REH-MD01-MDU-EL-OC-Hil-1021-SCR-000004</t>
  </si>
  <si>
    <t>OC-SCR-000841</t>
  </si>
  <si>
    <t>REH-MD01-MDU -Wadi Yemm - SCR – Missing Details in External Lighting and Façade Lighting Drawings (IFC) - PLOT 1021</t>
  </si>
  <si>
    <t>REH-MD01-MDU-LI-OC-Hil-1018-SCR-000004</t>
  </si>
  <si>
    <t>OC-SCR-000844</t>
  </si>
  <si>
    <t>REH-MD01-MDU -Wadi Yemm - Lighting Circuit – Panel Connection Coordination</t>
  </si>
  <si>
    <t>REH-MD01-MDU-EL-OC-Hil-XXXX-SCR-000039</t>
  </si>
  <si>
    <t>REH-MD01-MDU -Wadi Yemm - Heat Detectors in Kitchen Areas – IFC vs. Previous SCR Response</t>
  </si>
  <si>
    <t>REH-MD01-MDU-EL-OC-Hil-1045-SCR-000005</t>
  </si>
  <si>
    <t>OC-SCR-000845</t>
  </si>
  <si>
    <t>REH-MD01-MDU -Wadi Yemm - Power circuits arrangement - plot 1045</t>
  </si>
  <si>
    <t>REH-MD01-MDU-SS-OC-Hil-1018-SCR-000006</t>
  </si>
  <si>
    <t>OC-SCR-000848</t>
  </si>
  <si>
    <t xml:space="preserve">REH-MD01-MDU -Wadi Yemm - Access Control Data Point Requirement _ plot 1018_ Ground Floor </t>
  </si>
  <si>
    <t>REH-MD01-MDU-EL-OC-Hil-1026-SCR-000010</t>
  </si>
  <si>
    <t>OC-SCR-000851</t>
  </si>
  <si>
    <t>REH-MD01-MDU -Wadi Yemm -Adding 2 Smoke Detectors Above False Ceiling At Plot 1026</t>
  </si>
  <si>
    <t>REH-MD01-MDU-EL-OC-Hil-1044-SCR-000006</t>
  </si>
  <si>
    <t>OC-SCR-000852</t>
  </si>
  <si>
    <t>REH-MD01-MDU -Wadi Yemm - Clarification Request Regarding Control of Facade and Landscape Lighting - GROUND FLOOR - 1044</t>
  </si>
  <si>
    <t>REH-MD01-MDU-LI-OC-Hil-1045-SCR-000006</t>
  </si>
  <si>
    <t>OC-SCR-000855</t>
  </si>
  <si>
    <t>REH-MD01-MDU -Wadi Yemm - Emergency Lighting Fixture and Circuit Clarification</t>
  </si>
  <si>
    <t>REH-MD01-MDU-LI-OC-Hil-1018-SCR-000007</t>
  </si>
  <si>
    <t>OC-SCR-000856</t>
  </si>
  <si>
    <t>REH-MD01-MDU -Wadi Yemm - Clarification of Lighting Control Arrangement - Plot 1018 - Ground Floor</t>
  </si>
  <si>
    <t>REH-MD01-MDU-FA-OC-Hil-1046-SCR-000001</t>
  </si>
  <si>
    <t>OC-SCR-000857</t>
  </si>
  <si>
    <t>REH-MD01-MDU -Wadi Yemm - DISCREPANCY BETWEEN FIRE ALARM DEVICES ON AV RACK &amp; EVACUATION SPEAKERS - PLOT#1046 - GROUND FLOOR</t>
  </si>
  <si>
    <t>1046</t>
  </si>
  <si>
    <t>REH-MD01-MDU-LI-OC-Hil-1018-SCR-000008</t>
  </si>
  <si>
    <t>OC-SCR-000858</t>
  </si>
  <si>
    <t>REH-MD01-MDU -Wadi Yemm - Clarification of Life Safety Lighting Circuiting - Plot 1018 - Ground floor</t>
  </si>
  <si>
    <t>REH-MD01-MDU-EL-OC-Hil-1018-SCR-000009</t>
  </si>
  <si>
    <t>OC-SCR-000871</t>
  </si>
  <si>
    <t>REH-MD01-MDU -Wadi Yemm - DAP Socket – Power Supply Source-PLOT 1018 - GROUND FLOOR</t>
  </si>
  <si>
    <t>REH-MD01-MDU-EL-OC-Hil-XXXX-SCR-000040</t>
  </si>
  <si>
    <t>OC-SCR-000860</t>
  </si>
  <si>
    <t>REH-MD01-MDU -Wadi Yemm - SCR – Clarification Regarding Discrepancy Between Two Apartment Types (Power Design) – First Floor – Plot 1024</t>
  </si>
  <si>
    <t>REH-MD01-MDU-SS-OC-Hil-1045-SCR-000007</t>
  </si>
  <si>
    <t>OC-SCR-000872</t>
  </si>
  <si>
    <t>REH-MD01-MDU -Wadi Yemm -Access Control Devices Installation at Entrance Gate - Plot 1045</t>
  </si>
  <si>
    <t>REH-MD01-MDU-FA-OC-Hil-1018-SCR-000010</t>
  </si>
  <si>
    <t>OC-SCR-000873</t>
  </si>
  <si>
    <t>REH-MD01-MDU -Wadi Yemm - Clarifying the smoke detector at Plot 1018 - Ground Floor</t>
  </si>
  <si>
    <t>REH-MD01-MDU-SS-OC-Hil-1045-SCR-000009</t>
  </si>
  <si>
    <t>OC-SCR-000876</t>
  </si>
  <si>
    <t>REH-MD01-MDU -Wadi Yemm -Access Control Device Located More Than 100 m from Associated Access Control Panel - Plot 1045</t>
  </si>
  <si>
    <t>REH-MD01-MDU-LI-OC-Hil-1018-SCR-000011</t>
  </si>
  <si>
    <t>OC-SCR-000882</t>
  </si>
  <si>
    <t>REH-MD01-MDU -Wadi Yemm - Lighting Fixtures Missing and Control configuration - Plot -1018</t>
  </si>
  <si>
    <t>REH-MD01-MDU-SS-OC-Hil-1045-SCR-000010</t>
  </si>
  <si>
    <t>OC-SCR-000886</t>
  </si>
  <si>
    <t>REH-MD01-MDU -Wadi Yemm - Conduit Routing at Staircase – Installation Difficulty - Plot 1045</t>
  </si>
  <si>
    <t>REH-MD01-MDU-SS-OC-Hil-1018-SCR-000012</t>
  </si>
  <si>
    <t>OC-SCR-000889</t>
  </si>
  <si>
    <t>REH-MD01-MDU -Wadi Yemm - Door Contact and Access Control Requirements - Plot 1018 - Ground Floor</t>
  </si>
  <si>
    <t>REH-MD01-MDU-EL-OC-Hil-1037-SCR-000003</t>
  </si>
  <si>
    <t>OC-SCR-000892</t>
  </si>
  <si>
    <t>REH-MD01-MDU -Wadi Yemm - Architectural Wall Conflict with Electrical Shaft</t>
  </si>
  <si>
    <t>REH-MD01-MDU-EL-OC-Hil-XXXX-SCR-000042</t>
  </si>
  <si>
    <t>OC-SCR-000894</t>
  </si>
  <si>
    <t>REH-MD01-MDU -Wadi Yemm - Coordination Query Regarding Shutter and Curtain Switches in Apartments</t>
  </si>
  <si>
    <t>REH-MD01-MDU-LI-OC-Hil-XXXX-SCR-000043</t>
  </si>
  <si>
    <t>OC-SCR-000895</t>
  </si>
  <si>
    <t>REH-MD01-MDU -Wadi Yemm - Technical Query Regarding Lighting Control Switches Layout and Circuiting - APARTMENT</t>
  </si>
  <si>
    <t>REH-MD01-MDU-LI-OC-Hil-XXXX-SCR-000044</t>
  </si>
  <si>
    <t>OC-SCR-000898</t>
  </si>
  <si>
    <t>REH-MD01-MDU -Wadi Yemm - Clarification on the Necessity of the Indicated Switch - APARTMENTS</t>
  </si>
  <si>
    <t>REH-MD01-MDU-LI-OC-Hil-XXXX-SCR-000045</t>
  </si>
  <si>
    <t>OC-SCR-000899</t>
  </si>
  <si>
    <t>REH-MD01-MDU -Wadi Yemm - Clarification Request Regarding Control of Facade and Landscape Lighting - Apartments</t>
  </si>
  <si>
    <t>REH-MD01-MDU-LI-OC-Hil-1018-SCR-000013</t>
  </si>
  <si>
    <t>OC-SCR-000902</t>
  </si>
  <si>
    <t>REH-MD01-MDU -Wadi Yemm - Lighting Fixtures Control Zones - Plot 1018 - Ground Floor</t>
  </si>
  <si>
    <t>REH-MD01-MDU-EL-OC-Hil-XXXX-SCR-000046</t>
  </si>
  <si>
    <t>OC-SCR-000904</t>
  </si>
  <si>
    <t>REH-MD01-MDU -Wadi Yemm - Clarification on Disconnect Switches, Industrial Sockets, and Outdoor/Life Safety Equipment Requirements</t>
  </si>
  <si>
    <t>REH-MD01-MDU-EL-OC-Hil-1025-SCR-000008</t>
  </si>
  <si>
    <t>OC-SCR-000905</t>
  </si>
  <si>
    <t>REH-MD01-MDU -Wadi Yemm - Missing IFC Drawings for Apartments - Plot 1025</t>
  </si>
  <si>
    <t>REH-MD01-MDU-EL-OC-Hil-1021-SCR-000005</t>
  </si>
  <si>
    <t>OC-SCR-000906</t>
  </si>
  <si>
    <t>REH-MD01-MDU -Wadi Yemm - SCR – IFC Drawing Review – Missing Electrical Power Supplies for Mechanical Fans - PLOT 1021</t>
  </si>
  <si>
    <t>REH-MD01-MDU-SS-OC-Hil-1018-SCR-000014</t>
  </si>
  <si>
    <t>OC-SCR-000908</t>
  </si>
  <si>
    <t>REH-MD01-MDU -Wadi Yemm - Entrance Access Control and Payment Machine Clarification - Plot 1018</t>
  </si>
  <si>
    <t>REH-MD01-MDU-SS-OC-Hil-1018-SCR-000015</t>
  </si>
  <si>
    <t>OC-SCR-000915</t>
  </si>
  <si>
    <t>REH-MD01-MDU -Wadi Yemm - Access Control Door Components Clarification - Plot 1018</t>
  </si>
  <si>
    <t>REH-MD01-MDU-LI-OC-Hil-1046-SCR-000002</t>
  </si>
  <si>
    <t>OC-SCR-000916</t>
  </si>
  <si>
    <t>REH-MD01-MDU -Wadi Yemm - Power Supply from Two Different Buildings (B &amp; D) - Plot 1046</t>
  </si>
  <si>
    <t>REH-MD01-MDU-LI-OC-Hil-1018-SCR-000016</t>
  </si>
  <si>
    <t>OC-SCR-000917</t>
  </si>
  <si>
    <t>REH-MD01-MDU -Wadi Yemm - Lighting Circuit – Building A / Building B Coordination</t>
  </si>
  <si>
    <t>REH-MD01-MDU-SS-OC-Hil-1018-SCR-000017</t>
  </si>
  <si>
    <t>OC-SCR-000919</t>
  </si>
  <si>
    <t>REH-MD01-MDU -Wadi Yemm - Access Control Panel Connection for Pool Entrance -Plot 1018</t>
  </si>
  <si>
    <t>REH-MD01-MDU-LI-OC-Hil-1018-SCR-000018</t>
  </si>
  <si>
    <t>OC-SCR-000924</t>
  </si>
  <si>
    <t>REH-MD01-MDU -Wadi Yemm - Clarification Required – Storage Cage Lighting and Switches</t>
  </si>
  <si>
    <t>REH-MD01-MDU-FA-OC-Hil-1018-SCR-000019</t>
  </si>
  <si>
    <t>OC-SCR-000931</t>
  </si>
  <si>
    <t>REH-MD01-MDU -Wadi Yemm - clarifying the monitor modules at fire alarm system at Plot 1018</t>
  </si>
  <si>
    <t>REH-MD01-MDU-LI-OC-Hil-1024-SCR-000022</t>
  </si>
  <si>
    <t>OC-SCR-000932</t>
  </si>
  <si>
    <t>REH-MD01-MDU -Wadi Yemm - SCR – Clarification Regarding Missing Lighting Fixtures &amp; Occupancy Sensors – First Floor – Plot 1024</t>
  </si>
  <si>
    <t>REH-MD01-MDU-LI-OC-Hil-1024-SCR-000023</t>
  </si>
  <si>
    <t>OC-SCR-000933</t>
  </si>
  <si>
    <t>REH-MD01-MDU -Wadi Yemm - SCR – Clarification Regarding Type of Storage Switch – First Floor – Plot 1024</t>
  </si>
  <si>
    <t>REH-MD01-MDU-LI-OC-Hil-1024-SCR-000024</t>
  </si>
  <si>
    <t>OC-SCR-000934</t>
  </si>
  <si>
    <t>REH-MD01-MDU -Wadi Yemm - SCR – Clarification Regarding Missing Lighting Fixture in WM Room – First Floor – Plot 1024</t>
  </si>
  <si>
    <t>REH-MD01-MDU-EL-OC-Hil-1026-SCR-000011</t>
  </si>
  <si>
    <t>OC-SCR-000937</t>
  </si>
  <si>
    <t>REH-MD01-MDU -Wadi Yemm - SCR – Life Safety lighting circuit at Stairs-07 At Plot 1026</t>
  </si>
  <si>
    <t>REH-MD01-MDU-LI-OC-Hil-XXXX-SCR-000047</t>
  </si>
  <si>
    <t>OC-SCR-000941</t>
  </si>
  <si>
    <t>REH-MD01-MDU -Wadi Yemm - Lighting Fixture Missing – Laundry Room</t>
  </si>
  <si>
    <t>REH-MD01-MDU-EL-OC-Hil-1026-SCR-000012</t>
  </si>
  <si>
    <t>OC-SCR-000946</t>
  </si>
  <si>
    <t>REH-MD01-MDU -Wadi Yemm - Life Safety lighting circuit At ground floor - Plot 1026(IFC)</t>
  </si>
  <si>
    <t>REH-MD01-MDU-LI-OC-Hil-1045-SCR-000011</t>
  </si>
  <si>
    <t>OC-SCR-000948</t>
  </si>
  <si>
    <t>REH-MD01-MDU -Wadi Yemm - Missing Information – Lighting Control Schematic Diagram – Plot 1045</t>
  </si>
  <si>
    <t>REH-MD01-MDU-LI-OC-Hil-XXXX-SCR-000048</t>
  </si>
  <si>
    <t>OC-SCR-000949</t>
  </si>
  <si>
    <t>REH-MD01-MDU -Wadi Yemm - Clarification Request for Lighting Switch for Q4-1BHK-STANDARD APARTMENT</t>
  </si>
  <si>
    <t>REH-MD01-MDU-EL-OC-Hil-XXXX-SCR-000049</t>
  </si>
  <si>
    <t>OC-SCR-000967</t>
  </si>
  <si>
    <t>REH-MD01-MDU -Wadi Yemm - Clarification about Home Automation System scope.</t>
  </si>
  <si>
    <t>REH-MD01-MDU-LI-OC-Hil-1024-SCR-000025</t>
  </si>
  <si>
    <t>OC-SCR-000968</t>
  </si>
  <si>
    <t>REH-MD01-MDU -Wadi Yemm - SCR – Clarification Regarding Lighting Fixture Conflicts – First Floor – Plot 1024</t>
  </si>
  <si>
    <t>REH-MD01-MDU-LI-OC-Hil-1024-SCR-000026</t>
  </si>
  <si>
    <t>OC-SCR-000969</t>
  </si>
  <si>
    <t>REH-MD01-MDU -Wadi Yemm - SCR – Clarification Regarding Apartment Q3-1BHK ( Standard&amp;Corner ) Issues – First Floor – Plot 1024</t>
  </si>
  <si>
    <t>REH-MD01-MDU-FA-OC-Hil-1028-SCR-000015</t>
  </si>
  <si>
    <t>OC-SCR-000970</t>
  </si>
  <si>
    <t>REH-MD01-MDU -Wadi Yemm - Fire Alarm Devices Coordination and Missing Information - First Floor - Plot 1028</t>
  </si>
  <si>
    <t>REH-MD01-MDU-LI-OC-Hil-1028-SCR-000016</t>
  </si>
  <si>
    <t>OC-SCR-000977</t>
  </si>
  <si>
    <t>REH-MD01-MDU -Wadi Yemm - Missing Balcony Lighting Fixtures in First Floor IFC Façade Lighting Drawings</t>
  </si>
  <si>
    <t>REH-MD01-MDU-LI-OC-Hil-1046-SCR-000003</t>
  </si>
  <si>
    <t>OC-SCR-000980</t>
  </si>
  <si>
    <t>REH-MD01-MDU -Wadi Yemm - Lighting Fixture Location - PLOT 1046-GROUND FLOOR</t>
  </si>
  <si>
    <t>REH-MD01-MDU-LI-OC-Hil-1046-SCR-000004</t>
  </si>
  <si>
    <t>OC-SCR-000984</t>
  </si>
  <si>
    <t>REH-MD01-MDU -Wadi Yemm - Control of Lighting FIXTURE  - PLOT 1046-GROUND FLOOR - 1046</t>
  </si>
  <si>
    <t>REH-MD01-MDU-LI-OC-Hil-1018-SCR-000020</t>
  </si>
  <si>
    <t>OC-SCR-000985</t>
  </si>
  <si>
    <t>REH-MD01-MDU -Wadi Yemm - Lighting Supply and Control Configuration at Main Entrances - Plot 1018</t>
  </si>
  <si>
    <t>REH-MD01-MDU-LI-OC-Hil-1026-SCR-000013</t>
  </si>
  <si>
    <t>OC-SCR-000988</t>
  </si>
  <si>
    <t>REH-MD01-MDU -Wadi Yemm - MISSING UPLIGHT FIXTURES FROM IFC DRAWINGS-Ground floor Plot-1026</t>
  </si>
  <si>
    <t>REH-MD01-MDU-LI-OC-Hil-1045-SCR-000012</t>
  </si>
  <si>
    <t>OC-SCR-000989</t>
  </si>
  <si>
    <t>REH-MD01-MDU -Wadi Yemm - Exterior Lighting Electrical Circuit Discrepancy – EX.U1b Lighting Fixtures – plot 1045</t>
  </si>
  <si>
    <t>REH-MD01-MDU-LI-OC-Hil-1026-SCR-000015</t>
  </si>
  <si>
    <t>OC-SCR-000991</t>
  </si>
  <si>
    <t>REH-MD01-MDU -Wadi Yemm - Missing lighting fixture arrangement in IFC drawings - ground floor plot (1026)</t>
  </si>
  <si>
    <t>REH-MD01-MDU-LI-OC-Hil-1044-SCR-000007</t>
  </si>
  <si>
    <t>OC-SCR-001005</t>
  </si>
  <si>
    <t>REH-MD01-MDU -Wadi Yemm - LIGHTING CONTROL - GROUND FLOOR - 1044</t>
  </si>
  <si>
    <t>REH-MD01-MDU-EL-OC-Hil-XXXX-SCR-000050</t>
  </si>
  <si>
    <t>OC-SCR-000997</t>
  </si>
  <si>
    <t>REH-MD01-MDU -Wadi Yemm - Incomplete IFC Documentation for BMS IFC Shaker Package</t>
  </si>
  <si>
    <t>REH-MD01-MDU-LI-OC-Hil-1045-SCR-000013</t>
  </si>
  <si>
    <t>OC-SCR-001008</t>
  </si>
  <si>
    <t xml:space="preserve">REH-MD01-MDU -Wadi Yemm -  Lighting Control - Ground Floor - Plot 1045 </t>
  </si>
  <si>
    <t>REH-MD01-MDU-SS-OC-Hil-1028-SCR-000017</t>
  </si>
  <si>
    <t>OC-SCR-001007</t>
  </si>
  <si>
    <t xml:space="preserve">REH-MD01-MDU -Wadi Yemm -  Security System - Plot 1028 - Intercome telephone location </t>
  </si>
  <si>
    <t>REH-MD01-MDU-LI-OC-Hil-1028-SCR-000018</t>
  </si>
  <si>
    <t>OC-SCR-001014</t>
  </si>
  <si>
    <t>REH-MD01-MDU -Wadi Yemm -  Apartment Typologies - First Floor - Plot 1028</t>
  </si>
  <si>
    <t>REH-MD01-MDU-LI-OC-Hil-1044-SCR-000008</t>
  </si>
  <si>
    <t>OC-SCR-001020</t>
  </si>
  <si>
    <t>REH-MD01-MDU -Wadi Yemm -  Lighting System - Plot 1044 - Circuits Conflict</t>
  </si>
  <si>
    <t>REH-MD01-MDU-EL-OC-Hil-XXXX-SCR-000051</t>
  </si>
  <si>
    <t>OC-SCR-001035</t>
  </si>
  <si>
    <t>REH-MD01-MDU -Wadi Yemm - Lighting control configuration in 6 plots.</t>
  </si>
  <si>
    <t>REH-MD01-MDU-LI-OC-Hil-1026-SCR-000016</t>
  </si>
  <si>
    <t>OC-SCR-001046</t>
  </si>
  <si>
    <t>REH-MD01-MDU -Wadi Yemm - Missing Lighting Fixture - PLOT 1026-GROUND FLOOR</t>
  </si>
  <si>
    <t>REH-MD01-MDU-EL-OC-Hil-1026-SCR-000017</t>
  </si>
  <si>
    <t>OC-SCR-001048</t>
  </si>
  <si>
    <t>REH-MD01-MDU -Wadi Yemm - LIFE SAFETY Lighting does not match with Architectural ELEMENTS - GROUND FLOOR PLOT(1026)</t>
  </si>
  <si>
    <t>REH-MD01-MDU-EL-OC-Hil-XXXX-SCR-000052</t>
  </si>
  <si>
    <t>OC-SCR-001049</t>
  </si>
  <si>
    <t>REH-MD01-MDU -Wadi Yemm - Clarification on Disconnect Switches, Industrial Sockets, and Outdoor/Life Safety Equipment Requirements (Shaker)</t>
  </si>
  <si>
    <t>REH-MD01-MDU-LI-OC-Hil-1045-SCR-000014</t>
  </si>
  <si>
    <t>OC-SCR-001060</t>
  </si>
  <si>
    <t>REH-MD01-MDU -Wadi Yemm - Swimming Pool &amp; Water Fountain Lighting Power Supply - Plot 1045</t>
  </si>
  <si>
    <t>REH-MD01-MDU-FA-OC-Hil-1045-SCR-000015</t>
  </si>
  <si>
    <t>OC-SCR-001063</t>
  </si>
  <si>
    <t>REH-MD01-MDU -Wadi Yemm - Conflict Between Riser Diagram and IFC Drawings in Fire Alarm system of plot 1045</t>
  </si>
  <si>
    <t>REH-MD01-MDU-LI-OC-Hil-1028-SCR-000019</t>
  </si>
  <si>
    <t>OC-SCR-001064</t>
  </si>
  <si>
    <t>REH-MD01-MDU -Wadi Yemm - Exit Sign Clarification-Plot 1028</t>
  </si>
  <si>
    <t>REH-MD01-MDU-LI-OC-Hil-1018-SCR-000021</t>
  </si>
  <si>
    <t>OC-SCR-001071</t>
  </si>
  <si>
    <t>REH-MD01-MDU -Wadi Yemm - Conflict Between Lighting Package and Exterior Lighting (Electrical Package) Layouts - plot 1018</t>
  </si>
  <si>
    <t>REH-MD01-MDU-EL-OC-Hil-1046-SCR-000005</t>
  </si>
  <si>
    <t>OC-SCR-001072</t>
  </si>
  <si>
    <t>REH-MD01-MDU -Wadi Yemm - Plot 1046- Life Safety Feeding panels</t>
  </si>
  <si>
    <t>REH-MD01-MDU-EL-OC-Hil-1046-SCR-000006</t>
  </si>
  <si>
    <t>OC-SCR-001074</t>
  </si>
  <si>
    <t>REH-MD01-MDU -Wadi Yemm - Plot 1046- Life Safety missing fixtures and Feeding panels conflict</t>
  </si>
  <si>
    <t>REH-MD01-MDU-LI-OC-Hil-1046-SCR-000007</t>
  </si>
  <si>
    <t>OC-SCR-001083</t>
  </si>
  <si>
    <t>REH-MD01-MDU -Wadi Yemm - Lighting Fixture Circuit Clarification - PLOT 1046-GROUND FLOOR</t>
  </si>
  <si>
    <t>REH-MD01-MDU-LI-OC-Hil-1046-SCR-000008</t>
  </si>
  <si>
    <t>OC-SCR-001084</t>
  </si>
  <si>
    <t>REH-MD01-MDU -Wadi Yemm - Clarification on Lighting Fixture Circuit Connection – Ground Floor - PLOT 1046-GROUND FLOOR</t>
  </si>
  <si>
    <t>REH-MD01-MDU-EL-OC-Hil-1021-SCR-000006</t>
  </si>
  <si>
    <t>OC-SCR-001095</t>
  </si>
  <si>
    <t>REH-MD01-MDU -Wadi Yemm - Missing panel in plot 1021</t>
  </si>
  <si>
    <t>REH-MD01-MDU-EL-OC-Hil-1021-SCR-000007</t>
  </si>
  <si>
    <t>OC-SCR-001096</t>
  </si>
  <si>
    <t>REH-MD01-MDU-EL-OC-Hil-XXXX-SCR-000053</t>
  </si>
  <si>
    <t>OC-SCR-001097</t>
  </si>
  <si>
    <t>REH-MD01-MDU -Wadi Yemm - (HILL-ECG-SHAKER) Clarification about Home Automation System scope.</t>
  </si>
  <si>
    <t>REH-MD01-MDU-LI-OC-Hil-1046-SCR-000009</t>
  </si>
  <si>
    <t>OC-SCR-001098</t>
  </si>
  <si>
    <t>REH-MD01-MDU -Wadi Yemm - Request for Clarification – Lighting Circuit Connection - PLOT 1046 - GROUND FLOOR</t>
  </si>
  <si>
    <t>REH-MD01-MDU-EL-OC-Hil-1021-SCR-000008</t>
  </si>
  <si>
    <t>OC-SCR-001109</t>
  </si>
  <si>
    <t>REH-MD01-MDU-LI-OC-Hil-1046-SCR-000012</t>
  </si>
  <si>
    <t>OC-SCR-001110</t>
  </si>
  <si>
    <t>REH-MD01-MDU -Wadi Yemm - Lighting FIXTURE Location Confirmation- PLOT 1046-GROUND FLOOR</t>
  </si>
  <si>
    <t>REH-MD01-MDU-EL-OC-Hil-1060-SCR-000004</t>
  </si>
  <si>
    <t>OC-SCR-001113</t>
  </si>
  <si>
    <t>REH-MD01-MDU -Wadi Yemm - Earth Pits Location for super plot 02 (SP-02) and sports club (1060)</t>
  </si>
  <si>
    <t>REH-MD01-MDU-LI-OC-Hil-1028-SCR-000020</t>
  </si>
  <si>
    <t>OC-SCR-001133</t>
  </si>
  <si>
    <t>REH-MD01-MDU -Wadi Yemm - Regarding Apartment Typologies in Plot 1028 First Floor</t>
  </si>
  <si>
    <t>REH-MD01-MDU-EL-OC-Hil-1031-SCR-000002</t>
  </si>
  <si>
    <t>OC-SCR-001136</t>
  </si>
  <si>
    <t>REH-MD01-MDU -Wadi Yemm - Discrepancies Identified Between BOQ and SLD for SP02</t>
  </si>
  <si>
    <t>REH-MD01-MDU-EL-OC-Hil-1044-SCR-000009</t>
  </si>
  <si>
    <t>OC-SCR-001139</t>
  </si>
  <si>
    <t>REH-MD01-MDU -Wadi Yemm - Panel Discrepancy – Plot 1044</t>
  </si>
  <si>
    <t>REH-MD01-MDU-EL-OC-Hil-1028-SCR-000021</t>
  </si>
  <si>
    <t>OC-SCR-001141</t>
  </si>
  <si>
    <t>REH-MD01-MDU -Wadi Yemm - Clash Between Cable Trench and Structure Column at Plot 1028 RMU Room</t>
  </si>
  <si>
    <t>REH-MD01-MDU-EL-OC-Hil-XXXX-SCR-000054</t>
  </si>
  <si>
    <t>OC-SCR-001142</t>
  </si>
  <si>
    <t>REH-MD01-MDU -Wadi Yemm - Clarification on Lighting Control Philosophy for Common Areas – ECG vs. Shaker IFC Packages – (HILL) , (MODON)</t>
  </si>
  <si>
    <t>REH-MD01-MDU-EL-OC-Hil-XXXX-SCR-000055</t>
  </si>
  <si>
    <t>OC-SCR-001150</t>
  </si>
  <si>
    <t>REH-MD01-MDU -Wadi Yemm - Clarification Required – Medium Voltage Cable Type Between RMU and Transformer (HILL/MODON)</t>
  </si>
  <si>
    <t>REH-MD01-MDU-FA-OC-Hil-XXXX-SCR-000056</t>
  </si>
  <si>
    <t>OC-SCR-001151</t>
  </si>
  <si>
    <t>REH-MD01-MDU -Wadi Yemm - FACP Configuration (HILL/MODON)</t>
  </si>
  <si>
    <t>REH-MD01-MDU-EL-OC-Hil-XXXX-SCR-000057</t>
  </si>
  <si>
    <t>OC-SCR-001152</t>
  </si>
  <si>
    <t>REH-MD01-MDU -Wadi Yemm - BMS Workstation Configuration (HILL/MODON)</t>
  </si>
  <si>
    <t>REH-MD01-MDU-EL-OC-Hil-XXXX-SCR-000058</t>
  </si>
  <si>
    <t>OC-SCR-001153</t>
  </si>
  <si>
    <t>REH-MD01-MDU -Wadi Yemm - Clarification for EMDB Diversity Factor (HILL/MODON)</t>
  </si>
  <si>
    <t>REH-MD01-MDU-EL-OC-Hil-1026-SCR-000018</t>
  </si>
  <si>
    <t>OC-SCR-001166</t>
  </si>
  <si>
    <t>REH-MD01-MDU -Wadi Yemm - missing roof plans at IFC electrical package in plot (1026)</t>
  </si>
  <si>
    <t>REH-MD01-MDU-EL-OC-Hil-1026-SCR-000019</t>
  </si>
  <si>
    <t>OC-SCR-001167</t>
  </si>
  <si>
    <t>REH-MD01-MDU -Wadi Yemm - missing floor boxes in BOQ - plot (1026)</t>
  </si>
  <si>
    <t>REH-MD01-MDU-FA-OC-Hil-1025-SCR-000009</t>
  </si>
  <si>
    <t>OC-SCR-001168</t>
  </si>
  <si>
    <t>REH-MD01-MDU -Wadi Yemm - Difference between fire alarm third floor plan and riser diagram plot 1025.</t>
  </si>
  <si>
    <t>REH-MD01-MDU-FA-OC-Hil-1025-SCR-000010</t>
  </si>
  <si>
    <t>OC-SCR-001171</t>
  </si>
  <si>
    <t>REH-MD01-MDU -Wadi Yemm - conflict between fire fighting and fire alarm plot 1025 - Third Floor</t>
  </si>
  <si>
    <t>REH-MD01-MDU-LI-OC-Hil-1025-SCR-000011</t>
  </si>
  <si>
    <t>OC-SCR-001172</t>
  </si>
  <si>
    <t>REH-MD01-MDU -Wadi Yemm - Duplicated fixtures in life safety lighting plan plot 1025 - Third Floor</t>
  </si>
  <si>
    <t>REH-MD01-MDU-LI-OC-Hil-1025-SCR-000012</t>
  </si>
  <si>
    <t>OC-SCR-001179</t>
  </si>
  <si>
    <t>REH-MD01-MDU -Wadi Yemm - Missing fixtures in facade lighting plan plot 1025.</t>
  </si>
  <si>
    <t>REH-MD01-MDU-LI-OC-Hil-1025-SCR-000013</t>
  </si>
  <si>
    <t>OC-SCR-001184</t>
  </si>
  <si>
    <t>REH-MD01-MDU -Wadi Yemm - Interior lighting control in plot 1025</t>
  </si>
  <si>
    <t>REH-MD01-MDU-EL-OC-Hil-1022-SCR-000005</t>
  </si>
  <si>
    <t>OC-SCR-001187</t>
  </si>
  <si>
    <t>REH-MD01-MDU -Wadi Yemm - Missing panels in SP06 - plots (1018,1022,1045,1046)</t>
  </si>
  <si>
    <t>REH-MD01-MDU-EL-OC-Hil-1046-SCR-000013</t>
  </si>
  <si>
    <t>OC-SCR-001188</t>
  </si>
  <si>
    <t>REH-MD01-MDU -Wadi Yemm - Strucure cabling system Clarification - PLOT 1046-GROUND FLOOR</t>
  </si>
  <si>
    <t>REH-MD01-MDU-LI-OC-Hil-1028-SCR-000022</t>
  </si>
  <si>
    <t>OC-SCR-001189</t>
  </si>
  <si>
    <t>REH-MD01-MDU -Wadi Yemm - Life safety Circuit Coordination Discrepancy Between Second Floor, Staircase, and Basement - Plot 1028.</t>
  </si>
  <si>
    <t>REH-MD01-MDU-LI-OC-Hil-1028-SCR-000023</t>
  </si>
  <si>
    <t>OC-SCR-001194</t>
  </si>
  <si>
    <t>REH-MD01-MDU -Wadi Yemm - Life safety Circuit Discrepancy Between Second Floor, Staircase, and Basement - Plot 1028.</t>
  </si>
  <si>
    <t>REH-MD01-MDU-EL-OC-Hil-1021-SCR-000009</t>
  </si>
  <si>
    <t>OC-SCR-001201</t>
  </si>
  <si>
    <t>REH-MD01-MDU -Wadi Yemm - Missing panels in SP04 - plot (1021)</t>
  </si>
  <si>
    <t>REH-MD01-MDU-EL-OC-Hil-1022-SCR-000006</t>
  </si>
  <si>
    <t>OC-SCR-001203</t>
  </si>
  <si>
    <t>REH-MD01-MDU -Wadi Yemm - EARTHING Clarification - SP06- plots (1018,1022,1045,1046)-FIRST BASEMENT&amp;SECOND BASEMENT FLOOR</t>
  </si>
  <si>
    <t>REH-MD01-MDU-EL-OC-Hil-1031-SCR-000003</t>
  </si>
  <si>
    <t>OC-SCR-001204</t>
  </si>
  <si>
    <t>REH-MD01-MDU -Wadi Yemm - Panel Quantity Verification Against SLD – SP02</t>
  </si>
  <si>
    <t>REH-MD01-MDU-LI-OC-Hil-1028-SCR-000024</t>
  </si>
  <si>
    <t>OC-SCR-001205</t>
  </si>
  <si>
    <t>REH-MD01-MDU -Wadi Yemm - FAÇADE LIGHTING DISCREPANCY – Second FLOOR – PLOT 1028</t>
  </si>
  <si>
    <t>REH-MD01-MDU-EL-OC-Hil-1018-SCR-000023</t>
  </si>
  <si>
    <t>OC-SCR-001207</t>
  </si>
  <si>
    <t>REH-MD01-MDU -Wadi Yemm - There are redundant switches that do not control or serve any lighting fixtures</t>
  </si>
  <si>
    <t>REH-MD01-MDU-EL-OC-Hil-1018-SCR-000024</t>
  </si>
  <si>
    <t>OC-SCR-001208</t>
  </si>
  <si>
    <t>REH-MD01-MDU -Wadi Yemm - Conflict Between Lighting Package and Exterior Lighting (Electrical Package) Layouts</t>
  </si>
  <si>
    <t>REH-MD01-MDU-EL-OC-Hil-1025-SCR-000014</t>
  </si>
  <si>
    <t>OC-SCR-001209</t>
  </si>
  <si>
    <t>REH-MD01-MDU -Wadi Yemm - Missing power supply for racks in third floor plot 1025</t>
  </si>
  <si>
    <t>REH-MD01-MDU-EL-OC-Hil-1031-SCR-000004</t>
  </si>
  <si>
    <t>OC-SCR-001210</t>
  </si>
  <si>
    <t>REH-MD01-MDU -Wadi Yemm - Apartment Panel Type – SP02</t>
  </si>
  <si>
    <t>REH-MD01-MDU-EL-OC-Hil-1044-SCR-000010</t>
  </si>
  <si>
    <t>OC-SCR-001211</t>
  </si>
  <si>
    <t>REH-MD01-MDU -Wadi Yemm - Apartment Panel Type – Plot 1044</t>
  </si>
  <si>
    <t>REH-MD01-MDU-EL-OC-Hil-1036-SCR-000018</t>
  </si>
  <si>
    <t>OC-SCR-001213</t>
  </si>
  <si>
    <t>REH-MD01-MDU - Wadi Yemm - Clarification on Exit Signs Requirement at Staircase Corridor in FIRST FLOOR LIFE Safety PLAN PLOT#1036 (Life Safety)</t>
  </si>
  <si>
    <t>REH-MD01-MDU-EL-OC-Hil-1029-SCR-000001</t>
  </si>
  <si>
    <t>OC-SCR-001215</t>
  </si>
  <si>
    <t>REH-MD01-MDU - Wadi Yemm - Clarification Required on BOQ Panel Names – SP01</t>
  </si>
  <si>
    <t>REH-MD01-MDU-EL-OC-Hil-XXXX-SCR-000060</t>
  </si>
  <si>
    <t>OC-SCR-001221</t>
  </si>
  <si>
    <t>REH-MD01-MDU - Wadi Yemm - Missing Specification – Section 2625 00 (Low-Voltage Enclosed Bus Assemblies) in SHAKER IFC Package</t>
  </si>
  <si>
    <t>REH-MD01-MDU-EL-OC-Hil-XXXX-SCR-000061</t>
  </si>
  <si>
    <t>OC-SCR-001220</t>
  </si>
  <si>
    <t>REH-MD01-MDU - Wadi Yemm - Clarification on MCC and EMCC Panel names</t>
  </si>
  <si>
    <t>REH-MD01-MDU-EL-OC-Hil-1022-SCR-000007</t>
  </si>
  <si>
    <t>OC-SCR-001223</t>
  </si>
  <si>
    <t>REH-MD01-MDU - Wadi Yemm - Clarification on missing BMS Layouts</t>
  </si>
  <si>
    <t>REH-MD01-MDU-EL-OC-Hil-1046-SCR-000014</t>
  </si>
  <si>
    <t>OC-SCR-001222</t>
  </si>
  <si>
    <t>REH-MD01-MDU - Wadi Yemm - STRUCTURE CABLING Clarification -PLOT 1046 -GROUND FLOOR</t>
  </si>
  <si>
    <t>REH-MD01-MDU-EL-OC-Hil-1023-SCR-000002</t>
  </si>
  <si>
    <t>OC-SCR-001226</t>
  </si>
  <si>
    <t>REH-MD01-MDU - Wadi Yemm - Unclear single line diagram - SP05</t>
  </si>
  <si>
    <t>REH-MD01-MDU-EL-OC-Hil-1024-SCR-000027</t>
  </si>
  <si>
    <t>OC-SCR-001225</t>
  </si>
  <si>
    <t>REH-MD01-MDU - Wadi Yemm - SCR – Clarification Regarding Exit Sign Fixtures – Typical Floors – Plot 1024</t>
  </si>
  <si>
    <t>REH-MD01-MDU-EL-OC-Hil-1036-SCR-000019</t>
  </si>
  <si>
    <t>OC-SCR-001232</t>
  </si>
  <si>
    <t>REH-MD01-MDU - Wadi Yemm - SCR – Missing connection of lighting fixtures in first floor - plot 1036 (Lighting)</t>
  </si>
  <si>
    <t>REH-MD01-MDU-EL-OC-Hil-1036-SCR-000020</t>
  </si>
  <si>
    <t>OC-SCR-001233</t>
  </si>
  <si>
    <t>REH-MD01-MDU - Wadi Yemm - SCR – Missing lighting fixtures in first floor - plot 1036 (Lighting)</t>
  </si>
  <si>
    <t>REH-MD01-MDU-EL-OC-Hil-1036-SCR-000021</t>
  </si>
  <si>
    <t>OC-SCR-001234</t>
  </si>
  <si>
    <t>REH-MD01-MDU - Wadi Yemm - SCR – Lighting circuits arrangement in first floor - plot 1036 (Lighting)</t>
  </si>
  <si>
    <t>REH-MD01-MDU-EL-OC-Hil-1036-SCR-000022</t>
  </si>
  <si>
    <t>OC-SCR-001235</t>
  </si>
  <si>
    <t>REH-MD01-MDU - Wadi Yemm - SCR – Missing lighting fixtures in first floor - plot 1036 - (Lighting)</t>
  </si>
  <si>
    <t>REH-MD01-MDU-EL-OC-Hil-1029-SCR-000002</t>
  </si>
  <si>
    <t>OC-SCR-001237</t>
  </si>
  <si>
    <t>REH-MD01-MDU - Wadi Yemm - ONU BOX ENCLOSURE LOCATION IN LOBBY (TELECOMUNICATION)</t>
  </si>
  <si>
    <t>REH-MD01-MDU-EL-OC-Hil-XXXX-SCR-000062</t>
  </si>
  <si>
    <t>OC-SCR-001238</t>
  </si>
  <si>
    <t>REH-MD01-MDU - Wadi Yemm - Clarification for Aluminum conduit Anodizing for Electrical Systems</t>
  </si>
  <si>
    <t>REH-MD01-MDU-EL-OC-Hil-1036-SCR-000023</t>
  </si>
  <si>
    <t>OC-SCR-001242</t>
  </si>
  <si>
    <t>REH-MD01-MDU - Wadi Yemm - Missing Audio Visual Rack in Plot 1036</t>
  </si>
  <si>
    <t>REH-MD01-MDU-EL-OC-Hil-1025-SCR-000015</t>
  </si>
  <si>
    <t>OC-SCR-001246</t>
  </si>
  <si>
    <t>REH-MD01-MDU - Wadi Yemm - Missing FCU electrical circuit - PLOT 1025 - POWER</t>
  </si>
  <si>
    <t>REH-MD01-MDU-EL-OC-Hil-XXXX-SCR-000063</t>
  </si>
  <si>
    <t>OC-SCR-001247</t>
  </si>
  <si>
    <t>REH-MD01-MDU - Wadi Yemm - conflict between power and water supply in Q2_3 BHK-STANDARD_APARTMENT</t>
  </si>
  <si>
    <t>REH-MD01-MDU-EL-OC-Hil-XXXX-SCR-000064</t>
  </si>
  <si>
    <t>OC-SCR-001248</t>
  </si>
  <si>
    <t>REH-MD01-MDU - Wadi Yemm - Missing outlets and circuits in Q2 4BHK-CORNER_APARTMENT small power plan.</t>
  </si>
  <si>
    <t>REH-MD01-MDU-LI-OC-Hil-1028-SCR-000025</t>
  </si>
  <si>
    <t>OC-SCR-001250</t>
  </si>
  <si>
    <t>REH-MD01-MDU - Wadi Yemm - Lighting Fixture Circuit Clarification - PLOT 1028 - SECOND FLOOR</t>
  </si>
  <si>
    <t>REH-MD01-MDU-EL-OC-Hil-1036-SCR-000024</t>
  </si>
  <si>
    <t>OC-SCR-001251</t>
  </si>
  <si>
    <t>REH-MD01-MDU - Wadi Yemm - Conflict between Q2-3BHK APARTMENT STRUCTURED CABLING SYSTEM IFC Drawing and Overall Plan - PLOT-1036 (Telecom)</t>
  </si>
  <si>
    <t>REH-MD01-MDU-EL-OC-Hil-XXXX-SCR-000065</t>
  </si>
  <si>
    <t>OC-SCR-001260</t>
  </si>
  <si>
    <t>REH-MD01-MDU - Wadi Yemm - Conflict between power and water supply in Q2_4 BHK-STANDARD - OPTION 2_APARTMENT</t>
  </si>
  <si>
    <t>REH-MD01-MDU-EL-OC-Hil-1036-SCR-000025</t>
  </si>
  <si>
    <t>OC-SCR-001261</t>
  </si>
  <si>
    <t>REH-MD01-MDU - Wadi Yemm - Unclear Outdoor Camera Location</t>
  </si>
  <si>
    <t>REH-MD01-MDU-EL-OC-Hil-1025-SCR-000016</t>
  </si>
  <si>
    <t>OC-SCR-001285</t>
  </si>
  <si>
    <t>REH-MD01-MDU - Wadi Yemm - MCC Panel Naming Discrepancy -- BOQ vs. SLD -- Plot 1025</t>
  </si>
  <si>
    <t>REH-MD01-MDU-EL-OC-Hil-1028-SCR-000026</t>
  </si>
  <si>
    <t>OC-SCR-001286</t>
  </si>
  <si>
    <t>REH-MD01-MDU - Wadi Yemm - Missing MCC Panels in SLD -- RA02--Plot 1028</t>
  </si>
  <si>
    <t>REH-MD01-MDU-EL-OC-Hil-1036-SCR-000026</t>
  </si>
  <si>
    <t>OC-SCR-001287</t>
  </si>
  <si>
    <t>REH-MD01-MDU - Wadi Yemm - MCC Panel Missing from BOQ -- Plot 1036</t>
  </si>
  <si>
    <t>REH-MD01-MDU-EL-OC-Hil-1024-SCR-000028</t>
  </si>
  <si>
    <t>OC-SCR-001291</t>
  </si>
  <si>
    <t>REH-MD01-MDU - Wadi Yemm - MCC Panel Discrepancy Between BOQ and SLD -- RA06 -- Plot 1024</t>
  </si>
  <si>
    <t>REH-MD01-MDU-EL-OC-Hil-1026-SCR-000020</t>
  </si>
  <si>
    <t>OC-SCR-001288</t>
  </si>
  <si>
    <t>REH-MD01-MDU - Wadi Yemm - MCC Panel Discrepancy Between BOQ and SLD – Plot 1026</t>
  </si>
  <si>
    <t>REH-MD01-MDU-EL-OC-Hil-1029-SCR-000003</t>
  </si>
  <si>
    <t>OC-SCR-001290</t>
  </si>
  <si>
    <t xml:space="preserve">REH-MD01-MDU - Wadi Yemm - MCC Panel Discrepancy Between BOQ and SLD – SP01 (1029 - 1030 - 1034 - 1037 - 1035 </t>
  </si>
  <si>
    <t>REH-MD01-MDU-EL-OC-Hil-1031-SCR-000006</t>
  </si>
  <si>
    <t>OC-SCR-001289</t>
  </si>
  <si>
    <t>REH-MD01-MDU - Wadi Yemm - MCC Panel Discrepancy Between BOQ and SLD – SP02 (1031-1033 - 1032)</t>
  </si>
  <si>
    <t>REH-MD01-MDU-EL-OC-Hil-XXXX-SCR-000067</t>
  </si>
  <si>
    <t>OC-SCR-001295</t>
  </si>
  <si>
    <t>REH-MD01-MDU - Wadi Yemm - Car Parking – Single Line Diagram Clarification ( ECG Package )</t>
  </si>
  <si>
    <t>REH-MD01-MDU-EL-OC-Hil-1022-SCR-000008</t>
  </si>
  <si>
    <t>OC-SCR-001302</t>
  </si>
  <si>
    <t>REH-MD01-MDU - Wadi Yemm - Missing panel and devices in the lighting control system- Plot 1022- First floor</t>
  </si>
  <si>
    <t>REH-MD01-MDU-EL-OC-Hil-XXXX-SCR-000068</t>
  </si>
  <si>
    <t>OC-SCR-001306</t>
  </si>
  <si>
    <t>REH-MD01-MDU - Wadi Yemm - Conflict in IEB Rack Location between apartment &amp; overall</t>
  </si>
  <si>
    <t>REH-MD01-MDU-LI-OC-Hil-1028-SCR-000027</t>
  </si>
  <si>
    <t>OC-SCR-001308</t>
  </si>
  <si>
    <t>REH-MD01-MDU - Wadi Yemm - Interior lighting control in plot 1028</t>
  </si>
  <si>
    <t>REH-MD01-MDU-EL-OC-Hil-1022-SCR-000009</t>
  </si>
  <si>
    <t>OC-SCR-001309</t>
  </si>
  <si>
    <t>REH-MD01-MDU - Wadi Yemm - Circuits fed from another buildings -PLOT-1022- FIRST FLOOR</t>
  </si>
  <si>
    <t>REH-MD01-MDU-EL-OC-Hil-XXXX-SCR-000069</t>
  </si>
  <si>
    <t>OC-SCR-001310</t>
  </si>
  <si>
    <t>REH-MD01-MDU - Wadi Yemm - Missing outlet for water heater in Q2_3 BHK-SPECIAL UNIT_APARTMENT</t>
  </si>
  <si>
    <t>REH-MD01-MDU-EL-OC-Hil-XXXX-SCR-000070</t>
  </si>
  <si>
    <t>OC-SCR-001311</t>
  </si>
  <si>
    <t>REH-MD01-MDU - Wadi Yemm - Type of Electrical Fixture Serving the Dishwasher in APARTMENT (Q2 4BHK-CORNER)</t>
  </si>
  <si>
    <t>REH-MD01-MDU-EL-OC-Hil-1029-SCR-000004</t>
  </si>
  <si>
    <t>OC-SCR-001314</t>
  </si>
  <si>
    <t>REH-MD01-MDU - Wadi Yemm - Missing Components for ELV Systems – ONU, Volume Control &amp; Smart Rack</t>
  </si>
  <si>
    <t>REH-MD01-MDU-EL-OC-Hil-XXXX-SCR-000071</t>
  </si>
  <si>
    <t>OC-SCR-001315</t>
  </si>
  <si>
    <t>REH-MD01-MDU - Wadi Yemm - Clarification Request – Drafting Issues Light Current Package – SP1"1029</t>
  </si>
  <si>
    <t>REH-MD01-MDU-EL-OC-Hil-1022-SCR-000010</t>
  </si>
  <si>
    <t>OC-SCR-001327</t>
  </si>
  <si>
    <t>REH-MD01-MDU - Wadi Yemm - Conflicts Between IFC and Riser diagrams in the First Floor -Plot 1022</t>
  </si>
  <si>
    <t>REH-MD01-MDU-EL-OC-Hil-1029-SCR-000005</t>
  </si>
  <si>
    <t>OC-SCR-001336</t>
  </si>
  <si>
    <t>REH-MD01-MDU - Wadi Yemm - Discrepancy Between IFC Drawings and Riser Diagrams – ONU Feeding Points and HDMI Outlet "1035"</t>
  </si>
  <si>
    <t>REH-MD01-MDU-EL-OC-Hil-1022-SCR-000011</t>
  </si>
  <si>
    <t>OC-SCR-001342</t>
  </si>
  <si>
    <t>REH-MD01-MDU - Wadi Yemm - the power circuits arrangement - plot 1022</t>
  </si>
  <si>
    <t>REH-MD01-MDU-EL-OC-Hil-1045-SCR-000016</t>
  </si>
  <si>
    <t>OC-SCR-001343</t>
  </si>
  <si>
    <t>REH-MD01-MDU - Wadi Yemm - missing wall smoke detectors in first floor - plot 1045</t>
  </si>
  <si>
    <t>REH-MD01-MDU-EL-OC-Hil-1022-SCR-000012</t>
  </si>
  <si>
    <t>OC-SCR-001344</t>
  </si>
  <si>
    <t>REH-MD01-MDU - Wadi Yemm - Missing CCTV Coverage for Two Staircases - First Floor, Plot 1022</t>
  </si>
  <si>
    <t>REH-MD01-MDU-EL-OC-Hil-1036-SCR-000027</t>
  </si>
  <si>
    <t>OC-SCR-001346</t>
  </si>
  <si>
    <t>REH-MD01-MDU - Wadi Yemm - Missing lighting fixtures in first floor - plot 1036 (Lighting)</t>
  </si>
  <si>
    <t>REH-MD01-MDU-EL-OC-Hil-XXXX-SCR-000072</t>
  </si>
  <si>
    <t>OC-SCR-001351</t>
  </si>
  <si>
    <t>REH-MD01-MDU - Wadi Yemm - Clarification for Use of OKAIL Conduit EMT Accessories</t>
  </si>
  <si>
    <t>REH-MD01-MDU-EL-OC-Hil-1022-SCR-000013</t>
  </si>
  <si>
    <t>OC-SCR-001354</t>
  </si>
  <si>
    <t>REH-MD01-MDU - Wadi Yemm - Clarification of Building Levels for Exterior Lighting – Level 01 - PLOT 1022-FIRST FLOOR</t>
  </si>
  <si>
    <t>REH-MD01-MDU-EL-OC-Hil-XXXX-SCR-000073</t>
  </si>
  <si>
    <t>OC-SCR-001359</t>
  </si>
  <si>
    <t>REH-MD01-MDU - Wadi Yemm - conflict between IFC package and 3D model</t>
  </si>
  <si>
    <t>REH-MD01-MDU-EL-OC-Hil-1022-SCR-000014</t>
  </si>
  <si>
    <t>OC-SCR-001363</t>
  </si>
  <si>
    <t>REH-MD01-MDU - Wadi Yemm - Clarify adding and relocating monitor modules at fire alarm system - Plot 1022</t>
  </si>
  <si>
    <t>REH-MD01-MDU-EL-OC-Hil-1018-SCR-000025</t>
  </si>
  <si>
    <t>OC-SCR-001369</t>
  </si>
  <si>
    <t>REH-MD01-MDU - Wadi Yemm - MISSING MONITOR MODULE FOR TAMPER SWITCH FOR EACH APPARTMENT OF BUILDING C- FIRST FLOOR - plot 1018</t>
  </si>
  <si>
    <t>REH-MD01-MDU-EL-OC-Hil-1022-SCR-000015</t>
  </si>
  <si>
    <t>OC-SCR-001375</t>
  </si>
  <si>
    <t>REH-MD01-MDU - Wadi Yemm - Smoke Detector symbol not identified in Legend at fire alarm system at Plot 1022</t>
  </si>
  <si>
    <t>REH-MD01-MDU-EL-OC-Hil-1022-SCR-000016</t>
  </si>
  <si>
    <t>OC-SCR-001376</t>
  </si>
  <si>
    <t>REH-MD01-MDU - Wadi Yemm - Apartment Outlets Connection Clarification – SP06</t>
  </si>
  <si>
    <t>REH-MD01-MDU-EL-OC-Hil-1029-SCR-000010</t>
  </si>
  <si>
    <t>OC-SCR-001380</t>
  </si>
  <si>
    <t>REH-MD01-MDU - Wadi Yemm - Discrepancy in Balcony Lighting Circuiting _ Building 1035</t>
  </si>
  <si>
    <t>REH-MD01-MDU-EL-OC-Hil-1045-SCR-000017</t>
  </si>
  <si>
    <t>OC-SCR-001387</t>
  </si>
  <si>
    <t>REH-MD01-MDU - Wadi Yemm - Clarification of LCP Location- PLOT 1045-First Floor</t>
  </si>
  <si>
    <t>REH-MD01-MDU-EL-OC-Hil-1045-SCR-000018</t>
  </si>
  <si>
    <t>OC-SCR-001390</t>
  </si>
  <si>
    <t>REH-MD01-MDU-EL-OC-Hil-1045-SCR-000018- Clarification of Lighting Fixture Requirement- PLOT 1045-First Floor</t>
  </si>
  <si>
    <t>REH-MD01-MDU-EL-OC-Hil-1029-SCR-000008</t>
  </si>
  <si>
    <t>OC-SCR-001382</t>
  </si>
  <si>
    <t>Fwd: REH-MD01-MDU-EL-OC-Hil-1029-SCR-000008 - External Light Fixtures Fed from Apartment Panel_Building 1035</t>
  </si>
  <si>
    <t xml:space="preserve">REH-MD01-MDU-EL-OC-Hil-1029-SCR-000006 </t>
  </si>
  <si>
    <t>OC-SCR-001384</t>
  </si>
  <si>
    <t>REH-MD01-MDU-EL-OC-Hil-1029-SCR-000006 - Missing Car Parking System – Building 1035 Basement Entrance</t>
  </si>
  <si>
    <t>REH-MD01-MDU-EL-OC-Hil-1021-SCR-000011</t>
  </si>
  <si>
    <t>OC-SCR-001385</t>
  </si>
  <si>
    <t>REH-MD01-MDU-EL-OC-Hil-1021-SCR-000011 - Conflict Between Electrical IFC and PLUMBING IFC in Ground - SP04 - Plot1021 -Parts A,B,C</t>
  </si>
  <si>
    <t>REH-MD01-MDU-EL-OC-Hil-1029-SCR-000009</t>
  </si>
  <si>
    <t>OC-SCR-001381</t>
  </si>
  <si>
    <t>REH-MD01-MDU-EL-OC-Hil-1029-SCR-000009 - Missing lighting fixtures at Balconies – Building 1035.</t>
  </si>
  <si>
    <t>REH-MD01-MDU-EL-OC-Hil-1029-SCR-000007</t>
  </si>
  <si>
    <t>OC-SCR-001383</t>
  </si>
  <si>
    <t>REH-MD01-MDU-EL-OC-Hil-1029-SCR-000007 - Access Control – Magnetic Locks / RTE / BTE Devices – Building 1035</t>
  </si>
  <si>
    <t xml:space="preserve">REH-MD01-MDU-EL-OC-Hil-1021-SCR-000010 </t>
  </si>
  <si>
    <t>OC-SCR-001386</t>
  </si>
  <si>
    <t>REH-MD01-MDU-EL-OC-Hil-1021-SCR-000010 - Conflict Between Electrical IFC Package and HVAC IFC Package in Ground Floor - SP04 - Plot1021</t>
  </si>
  <si>
    <t>REH-MD01-MDU-EL-OC-Hil-1018-SCR-000026</t>
  </si>
  <si>
    <t>OC-SCR-001388</t>
  </si>
  <si>
    <t>REH-MD01-MDU-EL-OC-Hil-1018-SCR-000026-MISSING MONITOR MODULES FOR ZONE CONTROL VALVE AT STAIRCASE OF BUILDING D -LEVEL 1- plot 1018</t>
  </si>
  <si>
    <t>REH-MD01-MDU-LI-OC-Hil-1022-SCR-000017</t>
  </si>
  <si>
    <t>OC-SCR-001400</t>
  </si>
  <si>
    <t>REH-MD01-MDU-LI-OC-Hil-1022-SCR-000017-Clarification Required- SP06- plots (1018,1022,1045,1046)- for Life Safety Lighting Sensors at Stairs</t>
  </si>
  <si>
    <t>REH-MD01-MDU-ST-OC-Hil-1043-SCR-000034 - Light house - SP07 - Stairs Descrapincies.</t>
  </si>
  <si>
    <t xml:space="preserve">REH-MD01-MDU-EL-OC-Hil-1045-SCR-000019 </t>
  </si>
  <si>
    <t>OC-SCR-001409</t>
  </si>
  <si>
    <t>REH-MD01-MDU-EL-OC-Hil-1045-SCR-000019 - Clarification of Lighting Fixture Requirement- PLOT 1045-First Floor</t>
  </si>
  <si>
    <t>REH-MD01-MDU-EL-OC-Hil-1018-SCR-000028</t>
  </si>
  <si>
    <t>OC-SCR-001415</t>
  </si>
  <si>
    <t>REH-MD01-MDU-EL-OC-Hil-1018-SCR-000028-Missing Emergency Lighting at Lift Lobby C18-1133 - PLOT#1018 - FIRST FLOOR</t>
  </si>
  <si>
    <t>REH-MD01-MDU-EL-OC-Hil-1045-SCR-000020</t>
  </si>
  <si>
    <t>OC-SCR-001418</t>
  </si>
  <si>
    <t>REH-MD01-MDU-EL-OC-Hil-1045-SCR-000020 - Discrepancy in Panel Locations – Plot 1045, Building B</t>
  </si>
  <si>
    <t xml:space="preserve">REH-MD01-MDU-EL-OC-Hil-XXXX-SCR-000074 </t>
  </si>
  <si>
    <t>OC-SCR-001432</t>
  </si>
  <si>
    <t>REH-MD01-MDU-EL-OC-Hil-XXXX-SCR-000074 - missing connection of lighting fixtures of (Q2-3BHK-SPECIAL UNIT)</t>
  </si>
  <si>
    <t>REH-MD01-RUS-EL-OC-Hil-XXXX-SCR-000002</t>
  </si>
  <si>
    <t>OC-SCR-001436</t>
  </si>
  <si>
    <t>REH-MD01-RUS-EL-OC-Hil-XXXX-SCR-000002 - Section 260533 – Conduits and Boxes is missed</t>
  </si>
  <si>
    <t>REH-MD01-MDU-EL-OC-Hil-1029-SCR-000013</t>
  </si>
  <si>
    <t>OC-SCR-001453</t>
  </si>
  <si>
    <t>REH-MD01-MDU-EL-OC-Hil-1029-SCR-000013-00 - Discrepancy in the Quantity of ONU Units at Ground Floor – Plot 1029</t>
  </si>
  <si>
    <t>Site Clarification Request ( Mechanical )</t>
  </si>
  <si>
    <t>P0155-RA06-SCR-ME-OC-DAR-000001</t>
  </si>
  <si>
    <t>P0155 - K00146 – REH Wadi Yemm - Sea Town Center - MEP Elevators Builder work at plot 1024</t>
  </si>
  <si>
    <t>P0155-RA06-SCR-ME-OC-DAR-000002</t>
  </si>
  <si>
    <t>P0155 - K00146 – REH Wadi Yemm - Sea Town Center - MEP SUMP PIT Builder work at plot 1024</t>
  </si>
  <si>
    <t>P0155-RA06-SCR-ME-OC-DAR-000003</t>
  </si>
  <si>
    <t>P0155 - K00146 – REH Wadi Yemm - Sea Town Center - MEP TANKS Builder work  at plot 1024</t>
  </si>
  <si>
    <t>P0155-RA06-SCR-ME-OC-DAR-000004</t>
  </si>
  <si>
    <t>P0155 - K00146 – REH Wadi Yemm - Sea Town Center - MEP Grease Interceptors Builder work  at plot 1024</t>
  </si>
  <si>
    <t>P0155-RA04-SCR-ME-OC-DAR-000001</t>
  </si>
  <si>
    <t>P0155 - K00146 – REH Wadi Yemm - Sea Town Center - MEP Elevators Builder work at plot 1025</t>
  </si>
  <si>
    <t>P0155-RA04-SCR-ME-OC-DAR-000002</t>
  </si>
  <si>
    <t>P0155 - K00146 – REH Wadi Yemm - Sea Town Center - MEP SUMP PIT Builder work at plot 1025</t>
  </si>
  <si>
    <t>P0155-RA04-SCR-ME-OC-DAR-000003</t>
  </si>
  <si>
    <t>P0155 - K00146 – REH Wadi Yemm - Sea Town Center - MEP TANKS Builder work  at plot 1025</t>
  </si>
  <si>
    <t>P0155-RA04-SCR-ME-OC-DAR-000004</t>
  </si>
  <si>
    <t>P0155 - K00146 – REH Wadi Yemm - Sea Town Center - MEP Grease Interceptors Builder work  at plot 1025</t>
  </si>
  <si>
    <t>P0155-RA06-SCR-ME-OC-DAR-000005</t>
  </si>
  <si>
    <t>P0155 - K00146 – REH Wadi Yemm - Sea Town Center - Waste Pipes Slope and Invert Level at Plot 1024</t>
  </si>
  <si>
    <t>P0155-RA06-SCR-ME-OC-DAR-000006</t>
  </si>
  <si>
    <t>P0155 - K00146 – REH Wadi Yemm - Sea Town Center - Mechanical works retaining wall opening  at Plot 1024</t>
  </si>
  <si>
    <t>P0155-RA07-SCR-ME-OC-DAR-000001</t>
  </si>
  <si>
    <t>P0155 - K00146 – REH Wadi Yemm - Sea Town Center - Sump Pits conflict at SP1</t>
  </si>
  <si>
    <t>P0155-RA04-SCR-AC-OC-DAR-000001</t>
  </si>
  <si>
    <t>P0155 - K00146 – REH Wadi Yemm - Sea Town Center - AC duct conflict with ramp retaining wall at plot 1025</t>
  </si>
  <si>
    <t>P0155-RA00-SCR-AC-OC-DAR-000001</t>
  </si>
  <si>
    <t>P0155 - K00146 – REH Wadi Yemm - Sea Town Center - Sump Pits conflict at SP1, SP3 and SP4</t>
  </si>
  <si>
    <t>P0155-RA04-SCR-ME-OC-DAR-000005</t>
  </si>
  <si>
    <t>P0155 - K00146 – REH Wadi Yemm - Sea Town Center -PARKING DRAIN ABOVEGROUND and Trench Drain at plote 1025</t>
  </si>
  <si>
    <t>REH-MD01-MDU-ME-OC-DAR-XXXX-SCR-000001</t>
  </si>
  <si>
    <t xml:space="preserve">REH-MD01-MDU - Wadi Yemm - Sea Town Center - Tanks and pump rooms mechanical works </t>
  </si>
  <si>
    <t>REH-MD01-MDU-ME-OC-DAR-1025-SCR-000001</t>
  </si>
  <si>
    <t>REH-MD01-MDU - Wadi Yemm  Combined fire and water tank at plot 1025</t>
  </si>
  <si>
    <t>REH-MD01-MDU-ME-OC-DAR-XXXX-SCR-000002</t>
  </si>
  <si>
    <t>REH-MD01-MDU - Wadi Yemm Tanks and pump rooms mechanical works at SP1, SP2, SP3, SP4 &amp; SP6</t>
  </si>
  <si>
    <t>REH-MD01-MDU-ME-OC-DAR-XXXX-SCR-000003</t>
  </si>
  <si>
    <t>REH-MD01-MDU - Wadi Yemm  H/L piping slopes and invert levels at ECG (RA01 : RA06) Plots</t>
  </si>
  <si>
    <t>REH-MD01-MDU-ME-OC-DAR-XXXX-SCR-000004</t>
  </si>
  <si>
    <t>REH-MD01-MDU - Wadi Yemm  H/L piping slopes and invert levels at SP1, SP2, SP3, SP4 &amp; SP6</t>
  </si>
  <si>
    <t>REH-MD01-MDU-ME-OC-DAR-1047-SCR-000001</t>
  </si>
  <si>
    <t>REH-MD01-MDU - Wadi Yemm  Plot 1047 - Arch &amp; Drainage conflict</t>
  </si>
  <si>
    <t>REH-MD01-MDU-ME-OC-DAR-XXXX-SCR-000005</t>
  </si>
  <si>
    <t>REH-MD01-MDU - Wadi Yemm -Bathrooms waste drainage at basement 01(proposal)</t>
  </si>
  <si>
    <t>REH-MD01-MDU-ME-OC-DAR-XXXX-SCR-000006</t>
  </si>
  <si>
    <t>REH-MD01-MDU - Wadi Yemm -Bathrooms waste drainage at basement 02(proposal)</t>
  </si>
  <si>
    <t>REH-MD01-MDU-ME-OC-DAR-XXXX-SCR-000007</t>
  </si>
  <si>
    <t xml:space="preserve">REH-MD01-MDU - Wadi Yemm - Tanks and pump rooms mechanical works </t>
  </si>
  <si>
    <t>REH-MD01-MDU-AC-OC-DAR-1025-SCR-000001</t>
  </si>
  <si>
    <t>REH-MD01-MDU - Wadi Yemm - Clarification on Duct Material (Black Steel vs. Galvanized Steel)</t>
  </si>
  <si>
    <t>REH-MD01-MDU-ME-OC-DAR-1024-SCR-000001</t>
  </si>
  <si>
    <t>REH-MD01-MDU - Wadi Yemm - Conflict between drainage pipes and structural caps at plot 1024</t>
  </si>
  <si>
    <t>REH-MD01-MDU-FS-OC-DAR-1036-SCR-000001</t>
  </si>
  <si>
    <t>REH-MD01-MDU - Wadi Yemm - Clarification Fire Hose Cabinet Location &amp; Dimension at Stair Core</t>
  </si>
  <si>
    <t>REH-MD01-MDU-ME-OC-DAR-1024-SCR-000002</t>
  </si>
  <si>
    <t>REH-MD01-MDU - Wadi Yemm - Insufficient space between HVAC system and structure at plot 1024</t>
  </si>
  <si>
    <t>REH-MD01-MDU-ME-OC-DAR-1024-SCR-000003</t>
  </si>
  <si>
    <t>REH-MD01-MDU - Wadi Yemm - Insufficient shaft opening for drainage pipes at plot 1024</t>
  </si>
  <si>
    <t>REH-MD01-MDU-ME-OC-DAR-1025-SCR-000002</t>
  </si>
  <si>
    <t>REH-MD01-ME-OC-DAR-1025-SCR-02</t>
  </si>
  <si>
    <t>REH-MD01-MDU - Wadi Yemm - Insufficient cavity space behind plumbing fixtures for soil pipes at plot 1025</t>
  </si>
  <si>
    <t>REH-MD01-MDU-FS-OC-DAR-1028-SCR-000001</t>
  </si>
  <si>
    <t>REH-MD01-FS-OC-DAR-1028-SCR-01</t>
  </si>
  <si>
    <t>REH-MD01-MDU - Wadi Yemm - Clarification on Domestic Pump Arrangement for plot 1028 (RA02)</t>
  </si>
  <si>
    <t>REH-MD01-MDU-ME-OC-Hil-1036-SCR-000001</t>
  </si>
  <si>
    <t>REH-MD01-ME-OC-Hil-1036-SCR-01</t>
  </si>
  <si>
    <t>REH-MD01-MDU - Wadi Yemm - Remark on Suction Line Arrangement, Tank Internal Walls, and Missing Drain – Fire Tank, Plot 1036</t>
  </si>
  <si>
    <t>REH-MD01-MDU-ME-OC-Hil-1024-SCR-000001</t>
  </si>
  <si>
    <t>REH-MD01-ME-OC-Hil-1024-SCR-01</t>
  </si>
  <si>
    <t>REH-MD01-MDU - Wadi Yemm - Openings in Column Caps</t>
  </si>
  <si>
    <t>REH-MD01-MDU-ME-OC-Hil-1024-SCR-000002</t>
  </si>
  <si>
    <t>REH-MD01-ME-OC-Hil-1024-SCR-02</t>
  </si>
  <si>
    <t>REH-MD01-MDU - Wadi Yemm - Clarification of Shaft for Retails in RA06</t>
  </si>
  <si>
    <t>REH-MD01-MDU-ME-OC-Hil-1025-SCR-000001</t>
  </si>
  <si>
    <t>REH-MD01-ME-OC-Hil-1025-SCR-01</t>
  </si>
  <si>
    <t>REH-MD01-MDU - Wadi Yemm -  Clarification on irrigation water pipe Routing at Hardscape and Swimming pool area  Plot RA04(1025) Ground Floor</t>
  </si>
  <si>
    <t>REH-MD01-MDU-ME-OC-Hil-1025-SCR-000002</t>
  </si>
  <si>
    <t>REH-MD01-ME-OC-Hil-1025-SCR-02</t>
  </si>
  <si>
    <t>REH-MD01-MDU - Wadi Yemm - Clarification on Trench Darin Pipe  Plot RA04(1025) Ground Floor</t>
  </si>
  <si>
    <t>REH-MD01-MDU-ME-OC-Hil-1028-SCR-000001</t>
  </si>
  <si>
    <t>REH-MD01-ME-OC-Hil-1028-SCR-01</t>
  </si>
  <si>
    <t>REH-MD01-MDU - Wadi Yemm - Architectural shafts, mechanical and drainage Works Clash</t>
  </si>
  <si>
    <t>REH-MD01-MDU-ME-OC-Hil-1025-SCR-000003</t>
  </si>
  <si>
    <t>REH-MD01-ME-OC-Hil-1025-SCR-03</t>
  </si>
  <si>
    <t>REH-MD01-MDU - Wadi Yemm - Changes in Openings Due to Coordination Conflicts</t>
  </si>
  <si>
    <t>REH-MD01-MDU-ME-OC-Hil-XXXX-SCR-000001</t>
  </si>
  <si>
    <t>REH-MD01-ME-OC-Hil-xxxx-SCR-01</t>
  </si>
  <si>
    <t>REH-MD01-MDU - Wadi Yemm - Floor Drain Openings</t>
  </si>
  <si>
    <t>REH-MD01-MDU-ME-OC-Hil-1030-SCR-000001</t>
  </si>
  <si>
    <t>REH-MD01-ME-OC-Hil-1030-SCR-01</t>
  </si>
  <si>
    <t>REH-MD01-MDU - Wadi Yemm  Request for Confirmation of Drainage Levels Relative to Road Level – Plot 1030</t>
  </si>
  <si>
    <t>REH-MD01-MDU-ME-OC-Hil-1025-SCR-000004</t>
  </si>
  <si>
    <t>REH-MD01-ME-OC-Hil-1025-SCR-04</t>
  </si>
  <si>
    <t>REH-MD01-MDU - Wadi Yemm   Request for Clarification – Missing Basement Groundwater &amp; Rainwater Drainage Details Referenced  in Structural Drawings</t>
  </si>
  <si>
    <t>REH-MD01-MDU-ME-OC-Hil-XXXX-SCR-000002</t>
  </si>
  <si>
    <t>OC-SCR-000025</t>
  </si>
  <si>
    <t>REH-MD01-MDU - Wadi Yemm  - Clarification Required for Gate Valve Provision Before Fire Hose Cabinet</t>
  </si>
  <si>
    <t>REH-MD01-MDU-ME-OC-Hil-XXXX-SCR-000003</t>
  </si>
  <si>
    <t>OC-SCR-000026</t>
  </si>
  <si>
    <t>REH-MD01-MDU - Wadi Yemm  -  Discrepancy Between Fire Fighting Revit Model and General Detail Drawing for Zone Control Valve Set</t>
  </si>
  <si>
    <t>REH-MD01-MDU-ME-OC-Hil-1047-SCR-000001</t>
  </si>
  <si>
    <t>OC-SCR-000022</t>
  </si>
  <si>
    <t>REH-MD01-MDU - Wadi Yemm  - Existing Openings In Structural Column Cap Openings (Plot -1047)</t>
  </si>
  <si>
    <t>REH-MD01-MDU-ME-OC-Hil-1047-SCR-000002</t>
  </si>
  <si>
    <t>OC-SCR-000023</t>
  </si>
  <si>
    <t>REH-MD01-MDU - Wadi Yemm  -  HVAC Duct Routing – Slab Openings Clarification - (Plot -1047)</t>
  </si>
  <si>
    <t>REH-MD01-MDU-ME-OC-Hil-1047-SCR-000003</t>
  </si>
  <si>
    <t>OC-SCR-000024</t>
  </si>
  <si>
    <t>REH-MD01-MDU - Wadi Yemm  -  Drainage Pipes at Ground Floor Passing Through Structural Column Cap. (Plot-1047)</t>
  </si>
  <si>
    <t>REH-MD01-MDU-ME-OC-Hil-1028-SCR-000002</t>
  </si>
  <si>
    <t>OC-SCR-000036</t>
  </si>
  <si>
    <t>REH-MD01-MDU - Wadi Yemm  -  Upper Floors Shaft Coordination Issue – Plot 1028</t>
  </si>
  <si>
    <t>REH-MD01-MDU-ME-OC-Hil-1029-SCR-000001</t>
  </si>
  <si>
    <t>OC-SCR-000037</t>
  </si>
  <si>
    <t>REH-MD01-MDU - Wadi Yemm  -  Clarification Required for Overflow Pipe Level at Irrigation Tank – Plot 1029</t>
  </si>
  <si>
    <t>REH-MD01-MDU-ME-OC-Hil-1029-SCR-000002</t>
  </si>
  <si>
    <t>OC-SCR-000038</t>
  </si>
  <si>
    <t>REH-MD01-MDU - Wadi Yemm  - Clarification Required for Overflow Pipe Level at Domestic Pump Room 1 – Plot 1029</t>
  </si>
  <si>
    <t>REH-MD01-MDU-ME-OC-Hil-1047-SCR-000004</t>
  </si>
  <si>
    <t>OC-SCR-000059</t>
  </si>
  <si>
    <t>REH-MD01-MDU - Wadi Yemm  - Architectural Wall Conflict Within MEP Shaft - Ground Floor Slab - (Plot -1047).</t>
  </si>
  <si>
    <t>REH-MD01-MDU-ME-OC-Hil-1047-SCR-000005</t>
  </si>
  <si>
    <t>OC-SCR-000060</t>
  </si>
  <si>
    <t>REH-MD01-MDU - Wadi Yemm  - Toilets Location above the column caps - Ground Floor Slab - (Plot -1047).</t>
  </si>
  <si>
    <t>REH-MD01-MDU-ME-OC-Hil-1047-SCR-000006</t>
  </si>
  <si>
    <t>OC-SCR-000061</t>
  </si>
  <si>
    <t>REH-MD01-MDU - Wadi Yemm  - WC Drain Pipe Routing Issue - Ground Floor Slab - (Plot -1047).</t>
  </si>
  <si>
    <t>REH-MD01-MDU-ME-OC-Hil-1027-SCR-000001</t>
  </si>
  <si>
    <t>OC-SCR-000079</t>
  </si>
  <si>
    <t>REH-MD01-MDU - Wadi Yemm  - Conflict Between MEP and Structural Drawings for Sump Pit, Grease Interceptor &amp; Sand Trap Locations at Plot 1027</t>
  </si>
  <si>
    <t>REH-MD01-MDU-ME-OC-Hil-1021-SCR-000001</t>
  </si>
  <si>
    <t>OC-SCR-000143</t>
  </si>
  <si>
    <t>REH-MD01-MDU - Wadi Yemm  - FLOOR DRAIN LOCATION CONFLICT BETWEEN DRAIN DRAWING &amp; ID DRAWING</t>
  </si>
  <si>
    <t>REH-MD01-MDU-ME-OC-Hil-1041-SCR-000001</t>
  </si>
  <si>
    <t>OC-SCR-000170</t>
  </si>
  <si>
    <t>REH-MD01-MDU - Wadi Yemm  - Conflict Between MEP and Structural Drawings for Sump Pit, oil trap &amp; Sand Trap Locations at Plot 1041</t>
  </si>
  <si>
    <t>1041</t>
  </si>
  <si>
    <t>REH-MD01-MDU-ME-OC-Hil-1018-SCR-000001</t>
  </si>
  <si>
    <t>OC-SCR-000174</t>
  </si>
  <si>
    <t>REH-MD01-MDU - Wadi Yemm  -  Clarification Required for Pressurization Shaft Locationl . (Plot-1018)</t>
  </si>
  <si>
    <t>REH-MD01-MDU-ME-OC-Hil-1022-SCR-000001</t>
  </si>
  <si>
    <t>OC-SCR-000193</t>
  </si>
  <si>
    <t>REH-MD01-MDU - Wadi Yemm  -  Clarification Required for Sanitary Drainage Tie-In Connection (Plot-1022)</t>
  </si>
  <si>
    <t>REH-MD01-MDU-ME-OC-Hil-1022-SCR-000002</t>
  </si>
  <si>
    <t>OC-SCR-000194</t>
  </si>
  <si>
    <t>REH-MD01-MDU - Wadi Yemm  -  Clarification Required for Drainage Shaft Locations (Plot-1018)</t>
  </si>
  <si>
    <t>REH-MD01-MDU-ME-OC-Hil-1022-SCR-000003</t>
  </si>
  <si>
    <t>OC-SCR-000195</t>
  </si>
  <si>
    <t>REH-MD01-MDU - Wadi Yemm  -  Clarification Required for HVAC Duct Conflict with Architectural/Structural Shaft (Building 1022)</t>
  </si>
  <si>
    <t>REH-MD01-MDU-ME-OC-Hil-1022-SCR-000004</t>
  </si>
  <si>
    <t>OC-SCR-000196</t>
  </si>
  <si>
    <t>REH-MD01-MDU - Wadi Yemm  -  Clarification Required for Pressurization Shaft Locationl  (Building 1022)</t>
  </si>
  <si>
    <t>REH-MD01-MDU-ME-OC-Hil-1028-SCR-000003</t>
  </si>
  <si>
    <t>OC-SCR-000192</t>
  </si>
  <si>
    <t>REH-MD01-MDU - Wadi Yemm  -  Grid Discrepancncy Between Mechanical models and strucure model . (Plot-1028)</t>
  </si>
  <si>
    <t>REH-MD01-MDU-ME-OC-Hil-1022-SCR-000005</t>
  </si>
  <si>
    <t>OC-SCR-000199</t>
  </si>
  <si>
    <t>REH-MD01-MDU - Wadi Yemm  -  Clarification Required for Screed Thickness Inside Tanks</t>
  </si>
  <si>
    <t>REH-MD01-MDU-ME-OC-Hil-XXXX-SCR-000004</t>
  </si>
  <si>
    <t>OC-SCR-000210</t>
  </si>
  <si>
    <t>REH-MD01-MDU - Wadi Yemm  - Request for Client’s Decision Regarding Installation of Os &amp; Y Gate Valve Provision Before Fire Hose Cabinets</t>
  </si>
  <si>
    <t>REH-MD01-MDU-ME-OC-Hil-XXXX-SCR-000005</t>
  </si>
  <si>
    <t>OC-SCR-000215</t>
  </si>
  <si>
    <t>REH-MD01-MDU - Wadi Yemm  - Missing Design Drawings and Data in Latest SUPER PLOTS 100% DD Package</t>
  </si>
  <si>
    <t>REH-MD01-MDU-ME-OC-Hil-1029-SCR-000003</t>
  </si>
  <si>
    <t>OC-SCR-000222</t>
  </si>
  <si>
    <t>REH-MD01-MDU - Wadi Yemm  - Request for Clarification Regarding Pump Rooms at Levels 04 &amp; 05 – Plot 1029 (SP-01)</t>
  </si>
  <si>
    <t>REH-MD01-MDU-ME-OC-Hil-XXXX-SCR-000006</t>
  </si>
  <si>
    <t>OC-SCR-000223</t>
  </si>
  <si>
    <t>REH-MD01-MDU - Wadi Yemm  - Missing Specifications for Tanks</t>
  </si>
  <si>
    <t>REH-MD01-MDU-ME-OC-Hil-XXXX-SCR-000007</t>
  </si>
  <si>
    <t>OC-SCR-000224</t>
  </si>
  <si>
    <t>REH-MD01-MDU - Wadi Yemm  - Clarification About Emergency Pump in Irrigation Pump Room in Plots RA01,RA02,RA03,RA04,RA05,RA06</t>
  </si>
  <si>
    <t>REH-MD01-MDU-ME-OC-Hil-1028-SCR-000004</t>
  </si>
  <si>
    <t>OC-SCR-000234</t>
  </si>
  <si>
    <t>REH-MD01-MDU - Wadi Yemm  - Remark on Suction Line Arrangement, Fire fighting Tank Internal Walls,Tank Drain Point Missing . Plot 1028</t>
  </si>
  <si>
    <t>REH-MD01-MDU-ME-OC-Hil-1026-SCR-000001</t>
  </si>
  <si>
    <t>OC-SCR-000256</t>
  </si>
  <si>
    <t>REH-MD01-MDU - Wadi Yemm  - Deleted shaft for mechacical works</t>
  </si>
  <si>
    <t>REH-MD01-MDU-ME-OC-Hil-XXXX-SCR-000008</t>
  </si>
  <si>
    <t>OC-SCR-000276</t>
  </si>
  <si>
    <t>REH-MD01-MDU - Wadi Yemm  - Clarification The Location of Floor Drain In all Building for Public Toilet</t>
  </si>
  <si>
    <t>REH-MD01-MDU-ME-OC-Hil-1022-SCR-000006</t>
  </si>
  <si>
    <t>OC-SCR-000311</t>
  </si>
  <si>
    <t>REH-MD01-MDU - Wadi Yemm  - Drainage Shaft Openings Conflict with Retaining Wall</t>
  </si>
  <si>
    <t>REH-MD01-MDU-ME-OC-Hil-1036-SCR-000002</t>
  </si>
  <si>
    <t>OC-SCR-000314</t>
  </si>
  <si>
    <t>REH-MD01-MDU - Wadi Yemm  - Clarification Required for Fire Hose Cabinet Opening at Staircase Vertical Wall</t>
  </si>
  <si>
    <t>REH-MD01-MDU-ME-OC-Hil-1029-SCR-000004</t>
  </si>
  <si>
    <t>OC-SCR-000325</t>
  </si>
  <si>
    <t>REH-MD01-MDU - Wadi Yemm  - Plot 1030 - Upper Ground - Openings .</t>
  </si>
  <si>
    <t>REH-MD01-MDU-ME-OC-Hil-1022-SCR-000007</t>
  </si>
  <si>
    <t>OC-SCR-000334</t>
  </si>
  <si>
    <t>REH-MD01-MDU - Wadi Yemm  - Missing Water Supply &amp; Drainage Provision for Toilets</t>
  </si>
  <si>
    <t>REH-MD01-MDU-ME-OC-Hil-1022-SCR-000008</t>
  </si>
  <si>
    <t>OC-SCR-000336</t>
  </si>
  <si>
    <t>REH-MD01-MDU - Wadi Yemm  - Discrepancies Between Structural, Architectural, and Mechanical Openings</t>
  </si>
  <si>
    <t>REH-MD01-MDU-ME-OC-Hil-1060-SCR-000001</t>
  </si>
  <si>
    <t>OC-SCR-000341</t>
  </si>
  <si>
    <t>REH-MD01-MDU - Wadi Yemm  - Fresh Air Fans Connection Clarification for Basements</t>
  </si>
  <si>
    <t>REH-MD01-MDU-ME-OC-Hil-1060-SCR-000002</t>
  </si>
  <si>
    <t>OC-SCR-000342</t>
  </si>
  <si>
    <t>REH-MD01-MDU - Wadi Yemm  - Confilation for Exhasut duct</t>
  </si>
  <si>
    <t>REH-MD01-MDU-ME-OC-Hil-1060-SCR-000003</t>
  </si>
  <si>
    <t>OC-SCR-000343</t>
  </si>
  <si>
    <t>REH-MD01-MDU - Wadi Yemm  - Exhaust/Smoke &amp; Fresh Air Duct Sizing</t>
  </si>
  <si>
    <t>REH-MD01-MDU-ME-OC-Hil-1029-SCR-000005</t>
  </si>
  <si>
    <t>OC-SCR-000356</t>
  </si>
  <si>
    <t>REH-MD01-MDU-ME-OC-Hil-1022-SCR-000009</t>
  </si>
  <si>
    <t>OC-SCR-000361</t>
  </si>
  <si>
    <t>REH-MD01-MDU - Wadi Yemm  - Conflict Between Drainage Shaft and Structural Beam</t>
  </si>
  <si>
    <t>REH-MD01-MDU-ME-OC-Hil-1021-SCR-000002</t>
  </si>
  <si>
    <t>OC-SCR-000365</t>
  </si>
  <si>
    <t>REH-MD01-MDU - Wadi Yemm  - Plot 1021 - Basement 01 - Openings .</t>
  </si>
  <si>
    <t>REH-MD01-MDU-ME-OC-Hil-1022-SCR-000010</t>
  </si>
  <si>
    <t>OC-SCR-000387</t>
  </si>
  <si>
    <t>REH-MD01-MDU - Wadi Yemm  - Drainage Shaft Openings Clarification – Retaining Wall (Follow-up)</t>
  </si>
  <si>
    <t>REH-MD01-MDU-ME-OC-Hil-1022-SCR-000011</t>
  </si>
  <si>
    <t>OC-SCR-000393</t>
  </si>
  <si>
    <t>REH-MD01-MDU - Wadi Yemm  - Conflicts Between Drainage System and Structural Elements</t>
  </si>
  <si>
    <t>REH-MD01-MDU-ME-OC-Hil-1029-SCR-000006</t>
  </si>
  <si>
    <t>OC-SCR-000396</t>
  </si>
  <si>
    <t>REH-MD01-MDU - Wadi Yemm  - Discrepancies Between Structural, Architectural, and Mechanical Openings - Plot 1035</t>
  </si>
  <si>
    <t>REH-MD01-MDU-ME-OC-Hil-1022-SCR-000012</t>
  </si>
  <si>
    <t>OC-SCR-000408</t>
  </si>
  <si>
    <t>REH-MD01-MDU - Wadi Yemm  - Clarification Regarding Drainage Shafts Routing.</t>
  </si>
  <si>
    <t>REH-MD01-MDU-ME-OC-Hil-1029-SCR-000007</t>
  </si>
  <si>
    <t>OC-SCR-000411</t>
  </si>
  <si>
    <t>REH-MD01-MDU-ME-OC-Hil-XXXX-SCR-000009</t>
  </si>
  <si>
    <t>OC-SCR-000421</t>
  </si>
  <si>
    <t>REH-MD01-MDU - Wadi Yemm  - Missing Irrigation Models From Package 1B &amp; 1C - 100% DD Submission Irrigation Package</t>
  </si>
  <si>
    <t>REH-MD01-MDU-ME-OC-Hil-1029-SCR-000008</t>
  </si>
  <si>
    <t>OC-SCR-000430</t>
  </si>
  <si>
    <t>REH-MD01-MDU - Wadi Yemm  -Clarification Regarding Fresh &amp; Exhaust Air Duct Shaft at Ground Floor - Plot 1029</t>
  </si>
  <si>
    <t>REH-MD01-MDU-ME-OC-Hil-1029-SCR-000009</t>
  </si>
  <si>
    <t>OC-SCR-000455</t>
  </si>
  <si>
    <t>REH-MD01-MDU - Wadi Yemm  - Architectural/MEP Shaft and Structural Drawings Coordination Conflict</t>
  </si>
  <si>
    <t>REH-MD01-MDU-ME-OC-Hil-1029-SCR-000010</t>
  </si>
  <si>
    <t>OC-SCR-000456</t>
  </si>
  <si>
    <t>REH-MD01-MDU-ME-OC-Hil-1029-SCR-000011</t>
  </si>
  <si>
    <t>OC-SCR-000458</t>
  </si>
  <si>
    <t>REH-MD01-MDU - Wadi Yemm  - The Contractor requests clarification regarding the coordination of the shaft with the structural beam</t>
  </si>
  <si>
    <t>REH-MD01-MDU-ME-OC-Hil-1024-SCR-000003</t>
  </si>
  <si>
    <t>OC-SCR-000467</t>
  </si>
  <si>
    <t>REH-MD01-MDU-ME-OC-Hil-1029-SCR-000012</t>
  </si>
  <si>
    <t>OC-SCR-000489</t>
  </si>
  <si>
    <t>REH-MD01-MDU - Wadi Yemm  - Missing Shafts in Structural Drawings - PLOT 1037</t>
  </si>
  <si>
    <t>REH-MD01-MDU-ME-OC-Hil-1022-SCR-000013</t>
  </si>
  <si>
    <t>OC-SCR-000493</t>
  </si>
  <si>
    <t>REH-MD01-MDU - Wadi Yemm  - Clarification Required for Screed Thickness Inside Tanks</t>
  </si>
  <si>
    <t>REH-MD01-MDU-ME-OC-Hil-1044-SCR-000001</t>
  </si>
  <si>
    <t>OC-SCR-000498</t>
  </si>
  <si>
    <t>REH-MD01-MDU - Wadi Yemm  - Structural Clash Between AC Shaft Duct/Pipes and Basement 01 Attic Slab - Plot 1044</t>
  </si>
  <si>
    <t>REH-MD01-MDU-ME-OC-Hil-XXXX-SCR-000010</t>
  </si>
  <si>
    <t>OC-SCR-000499</t>
  </si>
  <si>
    <t>REH-MD01-MDU - Wadi Yemm  - Clarification of Discrepancy Between BOQ Description and Specifications for Smoke Exhaust Duct Sheet Metal</t>
  </si>
  <si>
    <t>REH-MD01-MDU-ME-OC-Hil-1022-SCR-000014</t>
  </si>
  <si>
    <t>OC-SCR-000509</t>
  </si>
  <si>
    <t>REH-MD01-MDU - Wadi Yemm  - Clarification Regarding Insufficient Wall Cavity for MEP Sleeves Installation</t>
  </si>
  <si>
    <t>REH-MD01-MDU-ME-OC-Hil-1044-SCR-000002</t>
  </si>
  <si>
    <t>OC-SCR-000510</t>
  </si>
  <si>
    <t>REH-MD01-MDU - Wadi Yemm  - Conflict between drainge &amp; structure (concrete slab &amp; beam &amp; coulms)</t>
  </si>
  <si>
    <t>REH-MD01-MDU-ME-OC-Hil-1024-SCR-000004</t>
  </si>
  <si>
    <t>OC-SCR-000515</t>
  </si>
  <si>
    <t>REH-MD01-MDU - Wadi Yemm  - Clash Between Drainage Pipes and (FIRE &amp; DOMESTIC) Water TANK PLOT 1024</t>
  </si>
  <si>
    <t>REH-MD01-MDU-ME-OC-Hil-XXXX-SCR-000011</t>
  </si>
  <si>
    <t>OC-SCR-000528</t>
  </si>
  <si>
    <t>REH-MD01-MDU - Wadi Yemm  - Clarification Required for Fire Hose Cabinet Installation</t>
  </si>
  <si>
    <t>REH-MD01-MDU-ME-OC-Hil-1022-SCR-000015</t>
  </si>
  <si>
    <t>OC-SCR-000529</t>
  </si>
  <si>
    <t>REH-MD01-MDU - Wadi Yemm  - Missing Structural Opening and Architecture shaft opening for MEP services</t>
  </si>
  <si>
    <t>REH-MD01-MDU-ME-OC-Hil-1022-SCR-000016</t>
  </si>
  <si>
    <t>OC-SCR-000530</t>
  </si>
  <si>
    <t>REH-MD01-MDU - Wadi Yemm  - Missing Architecture Openings and for MEP Service</t>
  </si>
  <si>
    <t>REH-MD01-MDU-ME-OC-Hil-1022-SCR-000017</t>
  </si>
  <si>
    <t>OC-SCR-000531</t>
  </si>
  <si>
    <t>REH-MD01-MDU - Wadi Yemm  - Conflict between Structure and Architecture Shaft opening for MEP Service</t>
  </si>
  <si>
    <t>REH-MD01-MDU-ME-OC-Hil-1022-SCR-000018</t>
  </si>
  <si>
    <t>OC-SCR-000532</t>
  </si>
  <si>
    <t>REH-MD01-MDU - Wadi Yemm  - Missing Structural Openings and Beam Clashs with Architecture Shaft opening for MEP Service</t>
  </si>
  <si>
    <t>REH-MD01-MDU-ME-OC-Hil-1022-SCR-000019</t>
  </si>
  <si>
    <t>OC-SCR-000533</t>
  </si>
  <si>
    <t>REH-MD01-MDU-ME-OC-Hil-1022-SCR-000020</t>
  </si>
  <si>
    <t>OC-SCR-000534</t>
  </si>
  <si>
    <t>REH-MD01-MDU - Wadi Yemm  - Water Meter Opening – Confirmation of Meter Room Access, Sleeve Width, and DCW Pipe Coordination</t>
  </si>
  <si>
    <t>REH-MD01-MDU-ME-OC-Hil-1022-SCR-000021</t>
  </si>
  <si>
    <t>OC-SCR-000535</t>
  </si>
  <si>
    <t>REH-MD01-MDU - Wadi Yemm  - Water Meter Shaft Opening Clarification</t>
  </si>
  <si>
    <t>REH-MD01-MDU-ME-OC-Hil-1022-SCR-000022</t>
  </si>
  <si>
    <t>OC-SCR-000536</t>
  </si>
  <si>
    <t>REH-MD01-MDU - Wadi Yemm  - Drainage Pipe Clash with Structural Element</t>
  </si>
  <si>
    <t>REH-MD01-MDU-ME-OC-Hil-1021-SCR-000003</t>
  </si>
  <si>
    <t>OC-SCR-000538</t>
  </si>
  <si>
    <t>REH-MD01-MDU - Wadi Yemm  - Clarification for Adding Double Wall in Toilets to Accommodate Water Supply and Drainage Pipes SP04 - 1021</t>
  </si>
  <si>
    <t>REH-MD01-MDU-ME-OC-Hil-1021-SCR-000004</t>
  </si>
  <si>
    <t>OC-SCR-000539</t>
  </si>
  <si>
    <t>REH-MD01-MDU - Wadi Yemm  - Conflict in Planter Drain Locations Between Landscape and Drainage Drawings In Plot 1021</t>
  </si>
  <si>
    <t>REH-MD01-MDU-ME-OC-Hil-1029-SCR-000013</t>
  </si>
  <si>
    <t>OC-SCR-000561</t>
  </si>
  <si>
    <t>REH-MD01-MDU - Wadi Yemm  - Missing Shafts in Structural Drawings - PLOT 1029</t>
  </si>
  <si>
    <t>REH-MD01-MDU-ME-OC-Hil-1022-SCR-000023</t>
  </si>
  <si>
    <t>OC-SCR-000569</t>
  </si>
  <si>
    <t>REH-MD01-MDU - Wadi Yemm  - No Structural Shaft Openings for MEP Services</t>
  </si>
  <si>
    <t>REH-MD01-MDU-ME-OC-Hil-1022-SCR-000024</t>
  </si>
  <si>
    <t>OC-SCR-000570</t>
  </si>
  <si>
    <t>REH-MD01-MDU - Wadi Yemm  - Exposed Pipes Due to Misalignment Between Architectural Shaft Walls</t>
  </si>
  <si>
    <t>REH-MD01-MDU-ME-OC-Hil-1022-SCR-000025</t>
  </si>
  <si>
    <t>OC-SCR-000571</t>
  </si>
  <si>
    <t>REH-MD01-MDU - Wadi Yemm  - Planter Drain Sleeve Clash with Shear Wall</t>
  </si>
  <si>
    <t>REH-MD01-MDU-ME-OC-Hil-XXXX-SCR-000012</t>
  </si>
  <si>
    <t>OC-SCR-000572</t>
  </si>
  <si>
    <t>REH-MD01-MDU - Wadi Yemm  -  Clarification of Material Description for Smoke Exhaust Duct Sheet Metal /KITCHEN HOOD</t>
  </si>
  <si>
    <t>REH-MD01-MDU-ME-OC-Hil-XXXX-SCR-000013</t>
  </si>
  <si>
    <t>OC-SCR-000573</t>
  </si>
  <si>
    <t>REH-MD01-MDU - Wadi Yemm  -  CLARIFICATION REGARDING TO PUDDLE FLANGE’S MATERIAL FOR FIRE,WATER &amp; IRRIGATION TANKS</t>
  </si>
  <si>
    <t>REH-MD01-MDU-ME-OC-Hil-1021-SCR-000005</t>
  </si>
  <si>
    <t>OC-SCR-000581</t>
  </si>
  <si>
    <t>REH-MD01-MDU - Wadi Yemm  -  Conflict Between Drainage Pipes and  Beams at Attic Slab Above Basement 01- SP04 - 1021.</t>
  </si>
  <si>
    <t>REH-MD01-MDU-ME-OC-Hil-1022-SCR-000026</t>
  </si>
  <si>
    <t>OC-SCR-000584</t>
  </si>
  <si>
    <t>REH-MD01-MDU - Wadi Yemm  -  Conflicts Between Structural and MEP Services – Plot 1018</t>
  </si>
  <si>
    <t>REH-MD01-MDU-ME-OC-Hil-1022-SCR-000027</t>
  </si>
  <si>
    <t>OC-SCR-000585</t>
  </si>
  <si>
    <t>REH-MD01-MDU - Wadi Yemm  -  Multiple Floor Drain Locations Inside the Same Toilet</t>
  </si>
  <si>
    <t>REH-MD01-MDU-ME-OC-Hil-1022-SCR-000028</t>
  </si>
  <si>
    <t>OC-SCR-000586</t>
  </si>
  <si>
    <t>REH-MD01-MDU - Wadi Yemm  -  Missing Structural Openings for Drain Pipes - PLOT 1045</t>
  </si>
  <si>
    <t>REH-MD01-MDU-ME-OC-Hil-1022-SCR-000029</t>
  </si>
  <si>
    <t>OC-SCR-000587</t>
  </si>
  <si>
    <t>REH-MD01-MDU - Wadi Yemm  -  Coordination Issue Between Shaft Openings and Structural Beams - PLOT 1045</t>
  </si>
  <si>
    <t>REH-MD01-MDU-ME-OC-Hil-1022-SCR-000030</t>
  </si>
  <si>
    <t>OC-SCR-000590</t>
  </si>
  <si>
    <t>REH-MD01-MDU - Wadi Yemm  -  REH-MD01-MDU-ME-OC-Hil-1022-SCR-000031-00</t>
  </si>
  <si>
    <t>REH-MD01-MDU-ME-OC-Hil-1022-SCR-000031</t>
  </si>
  <si>
    <t>OC-SCR-000591</t>
  </si>
  <si>
    <t>REH-MD01-MDU - Wadi Yemm  -  Clarification on Opening Requirement for Drain Pipes within Architectural Wall_SP06-Plot-1022-RA12-Part-2B-Ground Floor</t>
  </si>
  <si>
    <t>REH-MD01-MDU-ME-OC-Hil-1022-SCR-000032</t>
  </si>
  <si>
    <t>OC-SCR-000592</t>
  </si>
  <si>
    <t>REH-MD01-MDU - Wadi Yemm  -  Missing Riser_SP06-Plot-1022-RA12-Part-2B-Ground Floor</t>
  </si>
  <si>
    <t>REH-MD01-MDU-ME-OC-Hil-1021-SCR-000006</t>
  </si>
  <si>
    <t>OC-SCR-000602</t>
  </si>
  <si>
    <t>REH-MD01-MDU - Wadi Yemm  - Clarification about Level of Tanks and Pump rooms in SP04 - 1021 in Basement 02 floor</t>
  </si>
  <si>
    <t>REH-MD01-MDU-ME-OC-Hil-1021-SCR-000007</t>
  </si>
  <si>
    <t>OC-SCR-000606</t>
  </si>
  <si>
    <t>REH-MD01-MDU - Wadi Yemm  - Clarification about Trench drain &amp; drain system for ramp - 1021 in Basement 02 floor</t>
  </si>
  <si>
    <t>REH-MD01-MDU-ME-OC-Hil-1021-SCR-000008</t>
  </si>
  <si>
    <t>OC-SCR-000607</t>
  </si>
  <si>
    <t>REH-MD01-MDU - Wadi Yemm  - Clarification about Minimum Duct Elevation and clear height - 1021 in Basement 02 floor</t>
  </si>
  <si>
    <t>REH-MD01-MDU-ME-OC-Hil-1022-SCR-000033</t>
  </si>
  <si>
    <t>OC-SCR-000618</t>
  </si>
  <si>
    <t>REH-MD01-MDU - Wadi Yemm  - Clarification Required on Domestic, Irrigation, and Fire Pump Tanks Details-SP06-PLOT 1045</t>
  </si>
  <si>
    <t>REH-MD01-MDU-ME-OC-Hil-1022-SCR-000034</t>
  </si>
  <si>
    <t>OC-SCR-000645</t>
  </si>
  <si>
    <t>REH-MD01-MDU - Wadi Yemm  -  Coordination Issue Between Architectural/MEP Shaft and Structural Shaft – PLOT 1046</t>
  </si>
  <si>
    <t>REH-MD01-MDU-ME-OC-Hil-1022-SCR-000035</t>
  </si>
  <si>
    <t>OC-SCR-000644</t>
  </si>
  <si>
    <t>REH-MD01-MDU - Wadi Yemm  - Missing Structural Shaft Openings for Drainage Services</t>
  </si>
  <si>
    <t>REH-MD01-MDU-ME-OC-Hil-1022-SCR-000036</t>
  </si>
  <si>
    <t>OC-SCR-000643</t>
  </si>
  <si>
    <t>REH-MD01-MDU - Wadi Yemm  - Clarification of Drainage Arrangement for Back-to-Back WCs</t>
  </si>
  <si>
    <t>REH-MD01-MDU-ME-OC-Hil-1029-SCR-000014</t>
  </si>
  <si>
    <t>OC-SCR-000673</t>
  </si>
  <si>
    <t>REH-MD01-MDU - Wadi Yemm  - Missing MEP Shafts on Structural Drawings - PLOT 1034</t>
  </si>
  <si>
    <t>REH-MD01-MDU-FF-OC-Hil-1047-SCR-000001</t>
  </si>
  <si>
    <t>OC-SCR-000688</t>
  </si>
  <si>
    <t>REH-MD01-MDU - Wadi Yemm  - Domestic Cold Water and fire Tank Capacity</t>
  </si>
  <si>
    <t>REH-MD01-MDU-ME-OC-Hil-1022-SCR-000037</t>
  </si>
  <si>
    <t>OC-SCR-000693</t>
  </si>
  <si>
    <t>REH-MD01-MDU - Wadi Yemm  - Structural Framing Clash with Trench Pipe Sleeves and Shaft Openings SP06-Plot-1045-Part-16</t>
  </si>
  <si>
    <t>REH-MD01-MDU-ME-OC-Hil-1022-SCR-000038</t>
  </si>
  <si>
    <t>OC-SCR-000694</t>
  </si>
  <si>
    <t>REH-MD01-MDU - Wadi Yemm  - Shaft Opening Required Within Architectural Walls SP06-Plot-1045-Part-16</t>
  </si>
  <si>
    <t>REH-MD01-MDU-ME-OC-Hil-1022-SCR-000039</t>
  </si>
  <si>
    <t>OC-SCR-000695</t>
  </si>
  <si>
    <t>REH-MD01-MDU - Wadi Yemm  - Conflict Between Architectural Fixtures and Drainage Routing SP06-Plot-1045-Part-16</t>
  </si>
  <si>
    <t>REH-MD01-MDU-ME-OC-Hil-1022-SCR-000040</t>
  </si>
  <si>
    <t>OC-SCR-000701</t>
  </si>
  <si>
    <t>REH-MD01-MDU - Wadi Yemm  - Conflict Between Structural Opening and Architectural Shaft</t>
  </si>
  <si>
    <t>REH-MD01-MDU-ME-OC-Hil-1036-SCR-000003</t>
  </si>
  <si>
    <t>OC-SCR-000702</t>
  </si>
  <si>
    <t>REH-MD01-MDU - Wadi Yemm  - Exposed Drainage Pipe - First Floor - (Plot -1036)</t>
  </si>
  <si>
    <t>REH-MD01-MDU-ME-OC-Hil-1036-SCR-000004</t>
  </si>
  <si>
    <t>OC-SCR-000703</t>
  </si>
  <si>
    <t>REH-MD01-MDU - Wadi Yemm  - the floor drain location conflicts with the architectural wall - First Floor - (Plot -1036).</t>
  </si>
  <si>
    <t>REH-MD01-MDU-ME-OC-Hil-1036-SCR-000005</t>
  </si>
  <si>
    <t>OC-SCR-000704</t>
  </si>
  <si>
    <t>REH-MD01-MDU - Wadi Yemm  - Conflict between Drain Pipes and Arch Blockwork wall - First Floor - (Plot -1036).</t>
  </si>
  <si>
    <t>REH-MD01-MDU-ME-OC-Hil-1036-SCR-000006</t>
  </si>
  <si>
    <t>OC-SCR-000705</t>
  </si>
  <si>
    <t>REH-MD01-MDU - Wadi Yemm  - Conflict Between Structure Opening for Mep Pipes and Architecture Wall. - First Floor - (Plot -1036).</t>
  </si>
  <si>
    <t>REH-MD01-MDU-ME-OC-Hil-1036-SCR-000007</t>
  </si>
  <si>
    <t>OC-SCR-000706</t>
  </si>
  <si>
    <t>REH-MD01-MDU - Wadi Yemm  - Firefighting pipes clash with the structural framing. - First Floor - (Plot -1036)</t>
  </si>
  <si>
    <t>REH-MD01-MDU-ME-OC-Hil-1022-SCR-000041</t>
  </si>
  <si>
    <t>OC-SCR-000707</t>
  </si>
  <si>
    <t>REH-MD01-MDU - Wadi Yemm  - Coordination Conflict Between the Architectural, Structural, and MEP disciplines at Plot 1022 Part 01 – Ground Floor</t>
  </si>
  <si>
    <t>REH-MD01-MDU-ME-OC-Hil-1022-SCR-000042</t>
  </si>
  <si>
    <t>OC-SCR-000708</t>
  </si>
  <si>
    <t>REH-MD01-MDU - Wadi Yemm  - Shaft Opening Missing for Drain stacks - SP06-Plot1022 - Part 01 - Ground Floor</t>
  </si>
  <si>
    <t>REH-MD01-MDU-ME-OC-Hil-1022-SCR-000043</t>
  </si>
  <si>
    <t>OC-SCR-000709</t>
  </si>
  <si>
    <t>REH-MD01-MDU - Wadi Yemm  - Shaft Location Confict Between Ground &amp; First Floor - SP06 - Plot 1022 - Part 01- Ground Floor</t>
  </si>
  <si>
    <t>REH-MD01-MDU-ME-OC-Hil-1022-SCR-000044</t>
  </si>
  <si>
    <t>OC-SCR-000710</t>
  </si>
  <si>
    <t>REH-MD01-MDU - Wadi Yemm  - Missing Cavity Wall for Water Closet - SP06- Plot 1022 - Part 01- Ground Floor</t>
  </si>
  <si>
    <t>REH-MD01-MDU-ME-OC-Hil-1022-SCR-000045</t>
  </si>
  <si>
    <t>OC-SCR-000734</t>
  </si>
  <si>
    <t>REH-MD01-MDU - Wadi Yemm  - Missing Structure or Architecture Openings for MEP Service SP06-1022-PART 3A</t>
  </si>
  <si>
    <t>REH-MD01-MDU-ME-OC-Hil-1022-SCR-000046</t>
  </si>
  <si>
    <t>OC-SCR-000735</t>
  </si>
  <si>
    <t>REH-MD01-MDU - Wadi Yemm  - Openings at Ground floor Clash with Architectural Walls and Structural Beams of basement floor Sp06-1022-PART 3A</t>
  </si>
  <si>
    <t>REH-MD01-MDU-ME-OC-Hil-1022-SCR-000047</t>
  </si>
  <si>
    <t>OC-SCR-000736</t>
  </si>
  <si>
    <t>REH-MD01-MDU - Wadi Yemm  - Plumbing Fixtures (Lavatory &amp; Water Closet) Clashing with Structural Column at Ground Floor SP06-1022-PART 3A</t>
  </si>
  <si>
    <t>REH-MD01-MDU-ME-OC-Hil-1022-SCR-000048</t>
  </si>
  <si>
    <t>OC-SCR-000737</t>
  </si>
  <si>
    <t>REH-MD01-MDU - Wadi Yemm  - ARCH Shaft are insufficient to accomodate duct work beside it clashes with STR Column SP06-1022-PART 3A</t>
  </si>
  <si>
    <t>REH-MD01-MDU-ME-OC-Hil-1022-SCR-000049</t>
  </si>
  <si>
    <t>OC-SCR-000738</t>
  </si>
  <si>
    <t>REH-MD01-MDU - Wadi Yemm  - Omission of Drainage Pipes in Plumbing Model SP06-1022-PART 3A</t>
  </si>
  <si>
    <t>REH-MD01-MDU-ME-OC-Hil-1022-SCR-000050</t>
  </si>
  <si>
    <t>OC-SCR-000739</t>
  </si>
  <si>
    <t>REH-MD01-MDU - Wadi Yemm  - Duct Size Discrepancy SP06-1022-PART 3A</t>
  </si>
  <si>
    <t>REH-MD01-MDU-ME-OC-Hil-1022-SCR-000051</t>
  </si>
  <si>
    <t>OC-SCR-000740</t>
  </si>
  <si>
    <t>REH-MD01-MDU - Wadi Yemm  - Architectural Shafts Size and Quantity Mismatch Between Basement and Ground Floor Levels for the same location at Sp06-1022-PART 3A</t>
  </si>
  <si>
    <t>REH-MD01-MDU-ME-OC-Hil-1044-SCR-000003</t>
  </si>
  <si>
    <t>OC-SCR-000747</t>
  </si>
  <si>
    <t>REH-MD01-MDU - Wadi Yemm  - Conflict between drainge &amp; structure ( coulms)</t>
  </si>
  <si>
    <t>REH-MD01-MDU-ME-OC-Hil-1029-SCR-000015</t>
  </si>
  <si>
    <t>OC-SCR-000755</t>
  </si>
  <si>
    <t>REH-MD01-MDU - Wadi Yemm  - SP01 (Q-1035) Issues for Ground Floor Builder Work</t>
  </si>
  <si>
    <t>REH-MD01-MDU-DR-OC-Hil-1026-SCR-000001</t>
  </si>
  <si>
    <t>OC-SCR-000767</t>
  </si>
  <si>
    <t>REH-MD01-MDU - Wadi Yemm  - Conflict between drainge &amp; structure ( beam)</t>
  </si>
  <si>
    <t>REH-MD01-MDU-AC-OC-Hil-1021-SCR-000001</t>
  </si>
  <si>
    <t>OC-SCR-000780</t>
  </si>
  <si>
    <t>REH-MD01-MDU - Wadi Yemm  - Clarification about HVAC Clash With STR Beams - 1021 in Basement 02 floor</t>
  </si>
  <si>
    <t>REH-MD01-MDU-DR-OC-Hil-1021-SCR-000001</t>
  </si>
  <si>
    <t>OC-SCR-000782</t>
  </si>
  <si>
    <t>REH-MD01-MDU - Wadi Yemm  - Clarification about Drainage Pipes Clash With STR Beams - 1021 in Ground floor</t>
  </si>
  <si>
    <t>REH-MD01-MDU-DR-OC-Hil-1022-SCR-000001</t>
  </si>
  <si>
    <t>OC-SCR-000784</t>
  </si>
  <si>
    <t>REH-MD01-MDU - Wadi Yemm  - Toilet Cavity Clash with Structural Beam Affecting MEP Coordination – Plot-1018</t>
  </si>
  <si>
    <t>REH-MD01-MDU-DR-OC-Hil-XXXX-SCR-000001</t>
  </si>
  <si>
    <t>OC-SCR-000781</t>
  </si>
  <si>
    <t>REH-MD01-MDU - Wadi Yemm  - Clarification Required for WC and Floor Drain Drainage Routing</t>
  </si>
  <si>
    <t>REH-MD01-MDU-DR-OC-Hil-1024-SCR-000001</t>
  </si>
  <si>
    <t>OC-SCR-000788</t>
  </si>
  <si>
    <t>REH-MD01-MDU - Wadi Yemm  - Clarification on Elevator &amp; Storage pit level and served systems - RA06 - plot 1024</t>
  </si>
  <si>
    <t>REH-MD01-MDU-DR-OC-Hil-1044-SCR-000001</t>
  </si>
  <si>
    <t>OC-SCR-000793</t>
  </si>
  <si>
    <t xml:space="preserve">REH-MD01-MDU-DR-OC-Hil-1044-SCR-000002 </t>
  </si>
  <si>
    <t>OC-SCR-000815</t>
  </si>
  <si>
    <t>REH-MD01-MDU - Wadi Yemm  - Missing (Oil Interceptor on Drawings) &amp; (Grease Interceptor Sump pit &amp; pipe connection</t>
  </si>
  <si>
    <t>REH-MD01-MDU-DR-OC-Hil-1022-SCR-000002</t>
  </si>
  <si>
    <t>OC-SCR-000837</t>
  </si>
  <si>
    <t>REH-MD01-MDU - Wadi Yemm  - Clarification Required for Missing Submersible Sewage Ejector Pump</t>
  </si>
  <si>
    <t>REH-MD01-MDU-AC-OC-Hil-XXXX-SCR-000001</t>
  </si>
  <si>
    <t>OC-SCR-000853</t>
  </si>
  <si>
    <t>REH-MD01-MDU - Wadi Yemm  - Clarification of Fabrication Description for Smoke Exhaust Duct Sheet Metal.</t>
  </si>
  <si>
    <t>REH-MD01-MDU-DR-OC-Hil-1022-SCR-000003</t>
  </si>
  <si>
    <t>OC-SCR-000861</t>
  </si>
  <si>
    <t>REH-MD01-MDU - Wadi Yemm  - Conflict Between Mechanical and Landscape IFC Models – Plot 1046</t>
  </si>
  <si>
    <t>REH-MD01-MDU-DR-OC-Hil-1022-SCR-000004</t>
  </si>
  <si>
    <t>OC-SCR-000862</t>
  </si>
  <si>
    <t>REH-MD01-MDU - Wadi Yemm  - Architectural Cavity Opening Clashing with Structural Framing – SP06 Plot 1045 Part 18</t>
  </si>
  <si>
    <t>REH-MD01-MDU-DR-OC-Hil-1022-SCR-000005</t>
  </si>
  <si>
    <t>OC-SCR-000875</t>
  </si>
  <si>
    <t>REH-MD01-MDU - Wadi Yemm  - Rectangular Openings in Column Cap at Ground Floor – SP06-1046 – Part 23</t>
  </si>
  <si>
    <t>REH-MD01-MDU-AC-OC-Hil-1021-SCR-000002</t>
  </si>
  <si>
    <t>OC-SCR-000896</t>
  </si>
  <si>
    <t xml:space="preserve">REH-MD01-MDU - Wadi Yemm  -Clarification about Minimum Duct Elevation and clear height in basement - 1021 in Basement 02 floor </t>
  </si>
  <si>
    <t>REH-MD01-MDU-AC-OC-Hil-1022-SCR-000001</t>
  </si>
  <si>
    <t>OC-SCR-000897</t>
  </si>
  <si>
    <t>REH-MD01-MDU - Wadi Yemm  -STRUCTURAL CLARIFICATIONS – Super Plot 06, Plot 1022</t>
  </si>
  <si>
    <t>REH-MD01-MDU-DR-OC-Hil-1022-SCR-000006</t>
  </si>
  <si>
    <t>OC-SCR-000901</t>
  </si>
  <si>
    <t>REH-MD01-MDU - Wadi Yemm  - Clarification of Storm Drain, AC Condensate and Planter Drain Lines Routing</t>
  </si>
  <si>
    <t>REH-MD01-MDU-ME-OC-Hil-1060-SCR-000004</t>
  </si>
  <si>
    <t>OC-SCR-000913</t>
  </si>
  <si>
    <t>REH-MD01-MDU - Wadi Yemm  - Missing Drain Valve for Chilled Water Network and Floor Drain for Drainage Plot-1060</t>
  </si>
  <si>
    <t>REH-MD01-MDU-ME-OC-Hil-1060-SCR-000005</t>
  </si>
  <si>
    <t>OC-SCR-000914</t>
  </si>
  <si>
    <t>REH-MD01-MDU - Wadi Yemm  - Access Door Requirement for Shaft Opening Within Solid Structural Walls Plot-1060</t>
  </si>
  <si>
    <t>REH-MD01-MDU-DR-OC-Hil-1029-SCR-000001</t>
  </si>
  <si>
    <t>OC-SCR-000927</t>
  </si>
  <si>
    <t>REH-MD01-MDU - Wadi Yemm  - Misalignment Between Architectural Shaft Opening and Structural Opening -SP01-Plot1029</t>
  </si>
  <si>
    <t>REH-MD01-MDU-DR-OC-Hil-1029-SCR-000002</t>
  </si>
  <si>
    <t>OC-SCR-000928</t>
  </si>
  <si>
    <t>REH-MD01-MDU - Wadi Yemm  - Architechure Cavity Opening clashing with Strucutre beam-SP01-Plot1029</t>
  </si>
  <si>
    <t>REH-MD01-MDU-AC-OC-Hil-1021-SCR-000003</t>
  </si>
  <si>
    <t>OC-SCR-000936</t>
  </si>
  <si>
    <t>REH-MD01-MDU - Wadi Yemm  - Clarification about Sound Attenuator (SAT) Of Ventilation Fans - 1021 in Basement 01 floor .</t>
  </si>
  <si>
    <t>REH-MD01-MDU-DR-OC-Hil-1022-SCR-000007</t>
  </si>
  <si>
    <t>OC-SCR-000957</t>
  </si>
  <si>
    <t>REH-MD01-MDU - Wadi Yemm  - Sump Pit Drainage and Submersible Pump Flow Rate – Irrigation &amp; Fire Pump Rooms</t>
  </si>
  <si>
    <t>REH-MD01-MDU-DR-OC-Hil-1029-SCR-000003</t>
  </si>
  <si>
    <t>OC-SCR-000959</t>
  </si>
  <si>
    <t>REH-MD01-MDU - Wadi Yemm  - Sump Pit Inlet Invert Level and Required Pit Depth</t>
  </si>
  <si>
    <t>REH-MD01-MDU-DR-OC-Hil-1029-SCR-000004</t>
  </si>
  <si>
    <t>OC-SCR-000960</t>
  </si>
  <si>
    <t>REH-MD01-MDU - Wadi Yemm  - SP01 (Q-1029) Missing Floor Drain in Plumbing System</t>
  </si>
  <si>
    <t>REH-MD01-MDU-DR-OC-Hil-1029-SCR-000005</t>
  </si>
  <si>
    <t>OC-SCR-000961</t>
  </si>
  <si>
    <t>REH-MD01-MDU - Wadi Yemm  - Floor Drain (FD) Locations Discrepancy</t>
  </si>
  <si>
    <t>REH-MD01-MDU-DR-OC-Hil-1029-SCR-000006</t>
  </si>
  <si>
    <t>OC-SCR-000962</t>
  </si>
  <si>
    <t>REH-MD01-MDU - Wadi Yemm  - SP01 (Q-1029) Sump Pits Locations Discrepancy</t>
  </si>
  <si>
    <t>REH-MD01-MDU-DR-OC-Hil-1029-SCR-000007</t>
  </si>
  <si>
    <t>OC-SCR-000963</t>
  </si>
  <si>
    <t>REH-MD01-MDU - Wadi Yemm  - SP01 (Q-1029) Clarification Required for Trench Drain Configuration at Ramp Ends (Arch. vs.Plumbing Drawings)</t>
  </si>
  <si>
    <t>REH-MD01-MDU-DR-OC-Hil-1029-SCR-000008</t>
  </si>
  <si>
    <t>OC-SCR-000964</t>
  </si>
  <si>
    <t>REH-MD01-MDU - Wadi Yemm  - SP01 - Clarification Required for Elevator Pit Drainage</t>
  </si>
  <si>
    <t>REH-MD01-MDU-DR-OC-Hil-1029-SCR-000009</t>
  </si>
  <si>
    <t>OC-SCR-000965</t>
  </si>
  <si>
    <t>REH-MD01-MDU - Wadi Yemm  - SP01 - Discrepancy in Number of Sump Pits</t>
  </si>
  <si>
    <t>REH-MD01-MDU-DR-OC-Hil-1031-SCR-000001</t>
  </si>
  <si>
    <t>OC-SCR-000971</t>
  </si>
  <si>
    <t>REH-MD01-MDU - Wadi Yemm  - Clarification about conflict Between Drainage pipe network and vertical stack Conection- SP02- 1031&amp;1032&amp;1033</t>
  </si>
  <si>
    <t>REH-MD01-MDU-DR-OC-Hil-1029-SCR-000010</t>
  </si>
  <si>
    <t>OC-SCR-000972</t>
  </si>
  <si>
    <t>REH-MD01-MDU - Wadi Yemm  - Floor Drain Locations Clashing with Column Caps -SP01-Plot 1035</t>
  </si>
  <si>
    <t>REH-MD01-MDU-DR-OC-Hil-1029-SCR-000011</t>
  </si>
  <si>
    <t>OC-SCR-000973</t>
  </si>
  <si>
    <t>REH-MD01-MDU - Wadi Yemm  - Conflict between arch wall of ground floor and arch wall of basement floor -SP01-Plot 1035</t>
  </si>
  <si>
    <t>REH-MD01-MDU-DR-OC-Hil-1029-SCR-000012</t>
  </si>
  <si>
    <t>OC-SCR-000974</t>
  </si>
  <si>
    <t>REH-MD01-MDU - Wadi Yemm  - Clash Between MEP service opening and structural beam -SP01-Plot 1035</t>
  </si>
  <si>
    <t>REH-MD01-MDU-DR-OC-Hil-1029-SCR-000013</t>
  </si>
  <si>
    <t>OC-SCR-000975</t>
  </si>
  <si>
    <t>REH-MD01-MDU - Wadi Yemm  - Missing Structural Opening for MEP Service -SP01-Plot 1035</t>
  </si>
  <si>
    <t>REH-MD01-MDU-DR-OC-Hil-1029-SCR-000014</t>
  </si>
  <si>
    <t>OC-SCR-000976</t>
  </si>
  <si>
    <t>REH-MD01-MDU - Wadi Yemm  - Conflict between ground Floor I.D shaft walls and structural opening -SP01-Plot 1035</t>
  </si>
  <si>
    <t>REH-MD01-MDU-DR-OC-Hil-1029-SCR-000015</t>
  </si>
  <si>
    <t>OC-SCR-000986</t>
  </si>
  <si>
    <t>REH-MD01-MDU - Wadi Yemm  - SP01(Q3-1035) Lower Ground Missing Architectural Cavity Openings for Draiange pipes</t>
  </si>
  <si>
    <t>REH-MD01-MDU-DR-OC-Hil-1029-SCR-000016</t>
  </si>
  <si>
    <t>OC-SCR-000987</t>
  </si>
  <si>
    <t>REH-MD01-MDU - Wadi Yemm  - SP01(Q3-1035) Lower Ground Architechure Cavity Opening clashing with Strucutre Beam</t>
  </si>
  <si>
    <t>REH-MD01-MDU-ME-OC-Hil-1022-SCR-000052</t>
  </si>
  <si>
    <t>OC-SCR-001002</t>
  </si>
  <si>
    <t>REH-MD01-MDU - Wadi Yemm  - Discrepancy in Tank Levels and Available Water Depth – Domestic, Irrigation &amp; Fire Water Tanks</t>
  </si>
  <si>
    <t>REH-MD01-MDU-ME-OC-Hil-1060-SCR-000006</t>
  </si>
  <si>
    <t>OC-SCR-000999</t>
  </si>
  <si>
    <t>REH-MD01-MDU - Wadi Yemm  - Clarification about suction Pit of Tanks (fire -domestic -irrigation )  in 1060 sport club B01.</t>
  </si>
  <si>
    <t>REH-MD01-MDU-DR-OC-Hil-1021-SCR-000002</t>
  </si>
  <si>
    <t>OC-SCR-001010</t>
  </si>
  <si>
    <t>REH-MD01-MDU - Wadi Yemm  - Low Flow Velocity in Forced Main Pipe(Discharge pipe)  SWP(11A&amp;11B) for Condensate Drain Line   - 1021 in B02  floor.</t>
  </si>
  <si>
    <t>REH-MD01-MDU-FF-OC-Hil-1024-SCR-000001</t>
  </si>
  <si>
    <t>OC-SCR-001012</t>
  </si>
  <si>
    <t>REH-MD01-MDU - Wadi Yemm  - Clarification about Suction Pit in Fire fighting &amp; Domestic tank   - 1024</t>
  </si>
  <si>
    <t>REH-MD01-MDU-AC-OC-Hil-1021-SCR-000004</t>
  </si>
  <si>
    <t>OC-SCR-001021</t>
  </si>
  <si>
    <t>REH-MD01-MDU - Wadi Yemm  - Architectural shaftand and Structural Opening is not sufficient for duct at ground floor SP04-1021</t>
  </si>
  <si>
    <t>REH-MD01-MDU-DR-OC-Hil-1021-SCR-000003</t>
  </si>
  <si>
    <t>OC-SCR-001022</t>
  </si>
  <si>
    <t>REH-MD01-MDU - Wadi Yemm  - Openings at Ground Floor Clash with Architectural Walls and Structural Framings - Misalignment between Architectural and Structural
Openings at ground floor SP04-1021</t>
  </si>
  <si>
    <t>REH-MD01-MDU-DR-OC-Hil-1021-SCR-000004</t>
  </si>
  <si>
    <t>OC-SCR-001023</t>
  </si>
  <si>
    <t>REH-MD01-MDU - Wadi Yemm  - Missing architectural cavities and structural openings required for MEP services at ground floor of SP04-1021</t>
  </si>
  <si>
    <t>REH-MD01-MDU-DR-OC-Hil-1021-SCR-000005</t>
  </si>
  <si>
    <t>OC-SCR-001024</t>
  </si>
  <si>
    <t>REH-MD01-MDU - Wadi Yemm  - Plumbing fixtures clashing with structural framing at ground floor SP04-1021</t>
  </si>
  <si>
    <t>REH-MD01-MDU-DR-OC-Hil-1021-SCR-000006</t>
  </si>
  <si>
    <t>OC-SCR-001025</t>
  </si>
  <si>
    <t>REH-MD01-MDU - Wadi Yemm  - Openings for MEP services are in column cap at ground floor SP04-1021</t>
  </si>
  <si>
    <t>REH-MD01-MDU-DR-OC-Hil-1021-SCR-000007</t>
  </si>
  <si>
    <t>OC-SCR-001026</t>
  </si>
  <si>
    <t>REH-MD01-MDU - Wadi Yemm  - Lavatory Drain Pipe Routing Conflict with Double Slab and Missing Cavity Wall at ground floor SP04-1021</t>
  </si>
  <si>
    <t>REH-MD01-MDU-DR-OC-Hil-1021-SCR-000008</t>
  </si>
  <si>
    <t>OC-SCR-001027</t>
  </si>
  <si>
    <t>REH-MD01-MDU - Wadi Yemm  -Missing Structural &amp; Architectural Opening for MEP Services -SP04-Plot 1021-Basement 01 floor</t>
  </si>
  <si>
    <t>REH-MD01-MDU-DR-OC-Hil-1021-SCR-000009</t>
  </si>
  <si>
    <t>OC-SCR-001028</t>
  </si>
  <si>
    <t>REH-MD01-MDU - Wadi Yemm  - Conflict between Arch. &amp; Str. &amp; Plumbing -SP04-Plot 1021-Basement 01 floor</t>
  </si>
  <si>
    <t>REH-MD01-MDU-DR-OC-Hil-1021-SCR-000010</t>
  </si>
  <si>
    <t>OC-SCR-001029</t>
  </si>
  <si>
    <t>REH-MD01-MDU - Wadi Yemm  - Missing Arch cavity for water closet-SP04-Plot 1021-Basement 01 floor</t>
  </si>
  <si>
    <t>REH-MD01-MDU-DR-OC-Hil-1029-SCR-000017</t>
  </si>
  <si>
    <t>OC-SCR-001019</t>
  </si>
  <si>
    <t>REH-MD01-MDU-DR-OC-Hil-1029-SCR-000018</t>
  </si>
  <si>
    <t>OC-SCR-001018</t>
  </si>
  <si>
    <t>REH-MD01-MDU-FF-OC-Hil-1024-SCR-000002</t>
  </si>
  <si>
    <t>OC-SCR-001017</t>
  </si>
  <si>
    <t>REH-MD01-MDU - Wadi Yemm  - Clarification About the Levels of the Tank rooms and pump rooms &amp; Missing drainage line- RA06 - 1024</t>
  </si>
  <si>
    <t>REH-MD01-MDU-FF-OC-Hil-1027-SCR-000001</t>
  </si>
  <si>
    <t>OC-SCR-001016</t>
  </si>
  <si>
    <t>REH-MD01-MDU - Wadi Yemm  - Clarification Required for Fire Hose Cabinet Installation – Basement</t>
  </si>
  <si>
    <t>REH-MD01-MDU-ME-OC-Hil-XXXX-SCR-000014</t>
  </si>
  <si>
    <t>OC-SCR-001013</t>
  </si>
  <si>
    <t>REH-MD01-MDU - Wadi Yemm  - IRRIGATION TANK EMERGENCY PUMP REQUIREMENT</t>
  </si>
  <si>
    <t>REH-MD01-MDU-ME-OC-Hil-1027-SCR-000002</t>
  </si>
  <si>
    <t>OC-SCR-001033</t>
  </si>
  <si>
    <t>REH-MD01-MDU - Wadi Yemm  - Misalignment Between Mechanical Models and Architectural Model – Fortaleza – Plot 1027</t>
  </si>
  <si>
    <t>REH-MD01-MDU-ME-OC-Hil-1027-SCR-000003</t>
  </si>
  <si>
    <t>REH-MD01-MDU - Wadi Yemm  - MEP Services Clashes with Structural &amp; Architectural Elements –  PLOT 1027</t>
  </si>
  <si>
    <t>REH-MD01-MDU-DR-OC-Hil-1021-SCR-000011</t>
  </si>
  <si>
    <t>OC-SCR-001045</t>
  </si>
  <si>
    <t>REH-MD01-MDU - Wadi Yemm  - Discrepancy in Inlet Invert Level  Clearance &amp; Sump Pit Height Calculation - 1021 in B02  floor .</t>
  </si>
  <si>
    <t>REH-MD01-MDU-DR-OC-Hil-1022-SCR-000008</t>
  </si>
  <si>
    <t>REH-MD01-MDU - Wadi Yemm  -Conflict Between Previous SCR Response and IFC Drawings – Drainage Shaft and Structural Beam</t>
  </si>
  <si>
    <t>REH-MD01-MDU-DR-OC-Hil-1022-SCR-000009</t>
  </si>
  <si>
    <t>OC-SCR-001065</t>
  </si>
  <si>
    <t>REH-MD01-MDU - Wadi Yemm  - Missing Structural Opening and Architecture shaft opening for Drainage services</t>
  </si>
  <si>
    <t>REH-MD01-MDU-DR-OC-Hil-1022-SCR-000010</t>
  </si>
  <si>
    <t>OC-SCR-001069</t>
  </si>
  <si>
    <t>REH-MD01-MDU - Wadi Yemm  - Opening Clash With Structural Framing – SP06 – Plot 1022 – Part 04</t>
  </si>
  <si>
    <t>REH-MD01-MDU-DR-OC-Hil-1022-SCR-000011</t>
  </si>
  <si>
    <t>OC-SCR-001068</t>
  </si>
  <si>
    <t>REH-MD01-MDU - Wadi Yemm  - Planter Drain Not Provided in Landscape Model – SP06 – Plot 1022 – Part 04</t>
  </si>
  <si>
    <t>REH-MD01-MDU-FS-OC-Hil-XXXX-SCR-000001</t>
  </si>
  <si>
    <t>OC-SCR-001081</t>
  </si>
  <si>
    <t>REH-MD01-MDU - Wadi Yemm  - Clarification Required for Fire Fighting Pipe Fittings Material</t>
  </si>
  <si>
    <t>REH-MD01-MDU-DR-OC-Hil-1028-SCR-000001</t>
  </si>
  <si>
    <t>OC-SCR-001085</t>
  </si>
  <si>
    <t>REH-MD01-MDU - Wadi Yemm  - Stracture shaft opening clashes with Architectural wall -RA-02-Plot1028-ground floor</t>
  </si>
  <si>
    <t>REH-MD01-MDU-DR-OC-Hil-1028-SCR-000002</t>
  </si>
  <si>
    <t>OC-SCR-001086</t>
  </si>
  <si>
    <t>REH-MD01-MDU - Wadi Yemm  - Structural shaft Opening in Column Cap RA-02-Plot1028-ground floor</t>
  </si>
  <si>
    <t>REH-MD01-MDU-DR-OC-Hil-1022-SCR-000012</t>
  </si>
  <si>
    <t>OC-SCR-001094</t>
  </si>
  <si>
    <t>REH-MD01-MDU - Wadi Yemm  - Architectural Cavity Opening Clashing with Structural Beam – SP06-Plot 1018-Part 10</t>
  </si>
  <si>
    <t>REH-MD01-MDU-FS-OC-Hil-1027-SCR-000002</t>
  </si>
  <si>
    <t>OC-SCR-001093</t>
  </si>
  <si>
    <t>REH-MD01-MDU - Wadi Yemm  - FHC Cavities and Shaft Coordination – Fortaleza – Plot 1027 Basement 02 &amp; 01</t>
  </si>
  <si>
    <t>REH-MD01-MDU-ME-OC-Hil-1022-SCR-000053</t>
  </si>
  <si>
    <t>OC-SCR-001092</t>
  </si>
  <si>
    <t>REH-MD01-MDU - Wadi Yemm  - Discrepancy Between IFC Landscape and IFC Swimming Pool Drawings – Pipes penetrating the Main Slab</t>
  </si>
  <si>
    <t>REH-MD01-MDU-ME-OC-Hil-1022-SCR-000054</t>
  </si>
  <si>
    <t>OC-SCR-001119</t>
  </si>
  <si>
    <t>REH-MD01-MDU - Wadi Yemm  - Missing vacuum line in main swimming pool in ifc package -SP06-Plot1045- Part 17</t>
  </si>
  <si>
    <t>REH-MD01-MDU-DR-OC-Hil-1022-SCR-000013</t>
  </si>
  <si>
    <t>OC-SCR-001118</t>
  </si>
  <si>
    <t>REH-MD01-MDU - Wadi Yemm  - Planter Drain Not Provided in Landscape Model -SP06-Plot1045-Part 17</t>
  </si>
  <si>
    <t>REH-MD01-MDU-DR-OC-Hil-1031-SCR-000002</t>
  </si>
  <si>
    <t>OC-SCR-001131</t>
  </si>
  <si>
    <t>REH-MD01-MDU - Wadi Yemm  - Conflict Between Drainage Pipes and Beams at Attic Slab below lower ground slab - SP02- 1031</t>
  </si>
  <si>
    <t>REH-MD01-MDU-FS-OC-Hil-1021-SCR-000001</t>
  </si>
  <si>
    <t>OC-SCR-001132</t>
  </si>
  <si>
    <t>REH-MD01-MDU - Wadi Yemm  - Clarification about FHC Class II&amp; FHC Class III in basement floors- 1021 in Basement 02 &amp;01</t>
  </si>
  <si>
    <t>REH-MD01-MDU-DR-OC-Hil-1022-SCR-000014</t>
  </si>
  <si>
    <t>OC-SCR-001144</t>
  </si>
  <si>
    <t>REH-MD01-MDU - Wadi Yemm  - Drainage Pipes Routing – Grid 46C-9 &amp; 46C-C</t>
  </si>
  <si>
    <t>REH-MD01-MDU-DR-OC-Hil-XXXX-SCR-000002</t>
  </si>
  <si>
    <t>OC-SCR-001145</t>
  </si>
  <si>
    <t>REH-MD01-MDU - Wadi Yemm  - Submersible Pump Capacity Discrepancy Between RA06 (1024) and RA01 to RA05 in Case of (fire scenario)</t>
  </si>
  <si>
    <t>REH-MD01-MDU-AC-OC-Hil-XXXX-SCR-000002</t>
  </si>
  <si>
    <t>OC-SCR-001155</t>
  </si>
  <si>
    <t>REH-MD01-MDU - Wadi Yemm  - FCU Return Duct (HILL/MODON)</t>
  </si>
  <si>
    <t>REH-MD01-MDU-DR-OC-Hil-XXXX-SCR-000003</t>
  </si>
  <si>
    <t>OC-SCR-001156</t>
  </si>
  <si>
    <t>REH-MD01-MDU - Wadi Yemm  - Clarification and Unification of Calculation Criteria for Submersible Sewage Pumps</t>
  </si>
  <si>
    <t>REH-MD01-MDU-FS-OC-Hil-XXXX-SCR-000002</t>
  </si>
  <si>
    <t>OC-SCR-001157</t>
  </si>
  <si>
    <t>REH-MD01-MDU - Wadi Yemm  - OS&amp;Y gate valve located at the fire tie in of the apartment (HILL/MODON)</t>
  </si>
  <si>
    <t>REH-MD01-MDU-ME-OC-Hil-XXXX-SCR-000015</t>
  </si>
  <si>
    <t>OC-SCR-001158</t>
  </si>
  <si>
    <t>REH-MD01-MDU - Wadi Yemm  - Water heater configuration concept for the apartments (HILL/MODON)</t>
  </si>
  <si>
    <t>REH-MD01-MDU-ME-OC-Hil-XXXX-SCR-000016</t>
  </si>
  <si>
    <t>OC-SCR-001159</t>
  </si>
  <si>
    <t>REH-MD01-MDU - Wadi Yemm  - Water hammer arrestor configuration concept for the apartments (HILL/MODON)</t>
  </si>
  <si>
    <t>REH-MD01-MDU-AC-OC-Hil-1027-SCR-000001</t>
  </si>
  <si>
    <t>OC-SCR-001160</t>
  </si>
  <si>
    <t>REH-MD01-MDU - Wadi Yemm  - HVAC Duct Clash with Structural Framing - Fortaleza - Plot1027</t>
  </si>
  <si>
    <t>REH-MD01-MDU-DR-OC-Hil-XXXX-SCR-000004</t>
  </si>
  <si>
    <t>OC-SCR-001161</t>
  </si>
  <si>
    <t>REH-MD01-MDU - Wadi Yemm  - Clarification Request for Routing Last Bathroom Drainage pipes to Drainage Network via Sleeves</t>
  </si>
  <si>
    <t>REH-MD01-MDU-DR-OC-Hil-1022-SCR-000015</t>
  </si>
  <si>
    <t>OC-SCR-001164</t>
  </si>
  <si>
    <t>REH-MD01-MDU - Wadi Yemm  - Architectural Cavity Conflict with Structural Framing – SP06-Plot 1046-Part 19</t>
  </si>
  <si>
    <t>REH-MD01-MDU-ME-OC-Hil-XXXX-SCR-000017</t>
  </si>
  <si>
    <t>OC-SCR-001165</t>
  </si>
  <si>
    <t>REH-MD01-MDU - Wadi Yemm  - IRRIGATION TANK EMERGENCY PUMP REQUIREMENT (Shaker).</t>
  </si>
  <si>
    <t>REH-MD01-MDU-DR-OC-Hil-1023-SCR-000001</t>
  </si>
  <si>
    <t>OC-SCR-001178</t>
  </si>
  <si>
    <t>REH-MD01-MDU - Wadi Yemm  - Trench Drain Location Above Water Supply Tank - 1st Basement Floor Slab - (Plot -1023).</t>
  </si>
  <si>
    <t>REH-MD01-MDU-DR-OC-Hil-1021-SCR-000012</t>
  </si>
  <si>
    <t>OC-SCR-001180</t>
  </si>
  <si>
    <t>REH-MD01-MDU - Wadi Yemm  - Clarification about Accessibility of Drainage Pipes within the Attic Slab - 1021 in Ground floor .</t>
  </si>
  <si>
    <t>REH-MD01-MDU-DR-OC-Hil-1022-SCR-000016</t>
  </si>
  <si>
    <t>OC-SCR-001181</t>
  </si>
  <si>
    <t>REH-MD01-MDU - Wadi Yemm - Mep Service Clash With Structure Framing and column caps -SP06-Plot1045-Part 17</t>
  </si>
  <si>
    <t>REH-MD01-MDU-DR-OC-Hil-1031-SCR-000003</t>
  </si>
  <si>
    <t>OC-SCR-001182</t>
  </si>
  <si>
    <t>REH-MD01-MDU - Wadi Yemm - Clarification for Adding Double Wall in handicap Toilets to Accommodate Water Supply and Drainage Pipes SP02 - 103</t>
  </si>
  <si>
    <t>REH-MD01-MDU-AC-OC-Hil-XXXX-SCR-000003</t>
  </si>
  <si>
    <t>OC-SCR-001190</t>
  </si>
  <si>
    <t>REH-MD01-MDU - Wadi Yemm - Missing Specification and HVAC Data (ECG Package)</t>
  </si>
  <si>
    <t>REH-MD01-MDU-DR-OC-Hil-1029-SCR-000019</t>
  </si>
  <si>
    <t>OC-SCR-001192</t>
  </si>
  <si>
    <t>REH-MD01-MDU - Wadi Yemm - SP01 (Q4-1037) 1st Floor Conflict between ARCH model with Pluming Opening</t>
  </si>
  <si>
    <t>REH-MD01-MDU-DR-OC-Hil-1029-SCR-000020</t>
  </si>
  <si>
    <t>OC-SCR-001193</t>
  </si>
  <si>
    <t>REH-MD01-MDU - Wadi Yemm - SP01 (Q4-1037) 1st Floor Missing Storm Floor Drain Piping</t>
  </si>
  <si>
    <t>REH-MD01-MDU-ME-OC-Hil-1029-SCR-000016</t>
  </si>
  <si>
    <t>OC-SCR-001195</t>
  </si>
  <si>
    <t>REH-MD01-MDU - Wadi Yemm - A Conflict Between ID and ST and ARCH Openings for Drainage and Gas Pipes in Kitchen Shafts – SP01-plot 1035</t>
  </si>
  <si>
    <t>REH-MD01-MDU-ME-OC-Hil-1029-SCR-000017</t>
  </si>
  <si>
    <t>OC-SCR-001196</t>
  </si>
  <si>
    <t>REH-MD01-MDU - Wadi Yemm - A Conflict Between Structure and Arch opening and structure framing below – SP01-plot 1035</t>
  </si>
  <si>
    <t>REH-MD01-MDU-ME-OC-Hil-XXXX-SCR-000018</t>
  </si>
  <si>
    <t>OC-SCR-001197</t>
  </si>
  <si>
    <t>REH-MD01-MDU - Wadi Yemm - Missing Tank Circulation Pump Schedule</t>
  </si>
  <si>
    <t>REH-MD01-MDU-SP-OC-Hil-1029-SCR-000001</t>
  </si>
  <si>
    <t>OC-SCR-001198</t>
  </si>
  <si>
    <t>REH-MD01-MDU - Wadi Yemm - SP01 (Q4-1037) Conflict between Heat Pump Piping and Pressurized HVAC Opening</t>
  </si>
  <si>
    <t>REH-MD01-MDU-AC-OC-Hil-1025-SCR-000002</t>
  </si>
  <si>
    <t>OC-SCR-001216</t>
  </si>
  <si>
    <t>REH-MD01-MDU - Wadi Yemm - Clarification on Supply and Exhaust Air Duct Dimensions – Plot 1025 – Fourth Floor</t>
  </si>
  <si>
    <t>REH-MD01-MDU-SP-OC-Hil-1022-SCR-000001</t>
  </si>
  <si>
    <t>OC-SCR-001218</t>
  </si>
  <si>
    <t>REH-MD01-MDU - Wadi Yemm - Discrepancy Between IFC Landscape and IFC Swimming Pool Drawings – Pipes penetrating the Main Slab</t>
  </si>
  <si>
    <t>REH-MD01-MDU-ME-OC-Hil-1025-SCR-000005</t>
  </si>
  <si>
    <t>OC-SCR-001236</t>
  </si>
  <si>
    <t>REH-MD01-MDU - Wadi Yemm - Missing Architecture and Strucutre Openings for MEP Service-RA-04-Plot1025-4th floor</t>
  </si>
  <si>
    <t>REH-MD01-MDU-DR-OC-Hil-XXXX-SCR-000005</t>
  </si>
  <si>
    <t>OC-SCR-001252</t>
  </si>
  <si>
    <t>REH-MD01-MDU - Wadi Yemm - Clarification Sand Interseptor Design Flow Rate (ECG Plots</t>
  </si>
  <si>
    <t>REH-MD01-MDU-DR-OC-Hil-1022-SCR-000017</t>
  </si>
  <si>
    <t>OC-SCR-001254</t>
  </si>
  <si>
    <t>REH-MD01-MDU - Wadi Yemm - Conflict Between Drain Pipes Within Cavity Walls and Structural Framing Plot-1046 Part-21</t>
  </si>
  <si>
    <t>REH-MD01-MDU-DR-OC-Hil-XXXX-SCR-000006</t>
  </si>
  <si>
    <t>OC-SCR-001258</t>
  </si>
  <si>
    <t>REH-MD01-MDU - Wadi Yemm - Clarification of Oil/Sand Interceptor Requirement</t>
  </si>
  <si>
    <t>REH-MD01-MDU-DR-OC-Hil-1031-SCR-000004</t>
  </si>
  <si>
    <t>OC-SCR-001268</t>
  </si>
  <si>
    <t>REH-MD01-MDU - Wadi Yemm - Clarification aboyt Conflict Between Architectural Cavity Opening and Structural Beam-SP02-Plot1031-Ground floor</t>
  </si>
  <si>
    <t>REH-MD01-MDU-ME-OC-Hil-1031-SCR-000001</t>
  </si>
  <si>
    <t>OC-SCR-001269</t>
  </si>
  <si>
    <t>REH-MD01-MDU - Wadi Yemm - Conflict Between Swimming Pool Mechanical Pipe and Structural Slab at Swimming Pool Area -SP02-Plot1031-GF</t>
  </si>
  <si>
    <t>REH-MD01-MDU-ME-OC-Hil-1031-SCR-000002</t>
  </si>
  <si>
    <t>OC-SCR-001270</t>
  </si>
  <si>
    <t>REH-MD01-MDU - Wadi Yemm - Conflict Between Swimming Pool Mechanical Pipe and Structural beam at Swimming Pool Area -SP02-Plot1031-GF</t>
  </si>
  <si>
    <t>REH-MD01-MDU-ME-OC-Hil-XXXX-SCR-000019</t>
  </si>
  <si>
    <t>OC-SCR-001271</t>
  </si>
  <si>
    <t>REH-MD01-MDU - Wadi Yemm - Clarification Required for Fire Hose Cabinet Installation</t>
  </si>
  <si>
    <t>REH-MD01-MDU-ME-OC-Hil-XXXX-SCR-000020</t>
  </si>
  <si>
    <t>OC-SCR-001273</t>
  </si>
  <si>
    <t>REH-MD01-MDU - Wadi Yemm - Clarification for Aboveground Water Supply Pipe Material for Diameters Exceeding 100 mm (4")</t>
  </si>
  <si>
    <t>REH-MD01-MDU-DR-OC-Hil-1027-SCR-000001</t>
  </si>
  <si>
    <t>OC-SCR-001274</t>
  </si>
  <si>
    <t>REH-MD01-MDU - Wadi Yemm - Discrepancy Between Architectural Bathroom Fixtures and Drainage Connections</t>
  </si>
  <si>
    <t>REH-MD01-MDU-ME-OC-Hil-1027-SCR-000004</t>
  </si>
  <si>
    <t>OC-SCR-001276</t>
  </si>
  <si>
    <t>REH-MD01-MDU - Wadi Yemm - Missing MEP Shaft for Water Supply Pipes – Plot 1027</t>
  </si>
  <si>
    <t>REH-MD01-MDU-DR-OC-Hil-1026-SCR-000002</t>
  </si>
  <si>
    <t>OC-SCR-001278</t>
  </si>
  <si>
    <t>REH-MD01-MDU - Wadi Yemm - Missing Balacony drain and Planter Drain -RA-04-Plot1026-First Floor Level</t>
  </si>
  <si>
    <t>REH-MD01-MDU-ME-OC-Hil-1025-SCR-000006</t>
  </si>
  <si>
    <t>OC-SCR-001279</t>
  </si>
  <si>
    <t>REH-MD01-MDU - Wadi Yemm - Basement Sprinkler Zone Control Valve Arrangement – Basement 02</t>
  </si>
  <si>
    <t>REH-MD01-MDU-ME-OC-Hil-1025-SCR-000007</t>
  </si>
  <si>
    <t>OC-SCR-001280</t>
  </si>
  <si>
    <t>REH-MD01-MDU - Wadi Yemm - Basement 02 Fire Protection Area Exceeding ZCV Limit</t>
  </si>
  <si>
    <t>REH-MD01-MDU-ME-OC-Hil-1028-SCR-000005</t>
  </si>
  <si>
    <t>OC-SCR-001292</t>
  </si>
  <si>
    <t>REH-MD01-MDU - Wadi Yemm - Clarification of Required CO₂ Capacity for Fire Suppression System – LV Room, Basement 01, Plot 1028</t>
  </si>
  <si>
    <t>REH-MD01-MDU-ME-OC-Hil-1021-SCR-000009</t>
  </si>
  <si>
    <t>OC-SCR-001298</t>
  </si>
  <si>
    <t xml:space="preserve">REH-MD01-MDU - Wadi Yemm - HVAC Ducts, Drain Pipes Clash with Structural Plans in Basement 02 - SP04 - Plot1021 </t>
  </si>
  <si>
    <t>REH-MD01-MDU-SP-OC-Hil-1043-SCR-000001</t>
  </si>
  <si>
    <t>OC-SCR-001299</t>
  </si>
  <si>
    <t>REH-MD01-MDU - Wadi Yemm - Clarification balancing tanks Dimensions of SP07-1043 swimming pools.</t>
  </si>
  <si>
    <t>REH-MD01-MDU-ME-OC-Hil-1023-SCR-000001</t>
  </si>
  <si>
    <t>OC-SCR-001304</t>
  </si>
  <si>
    <t>REH-MD01-MDU - Wadi Yemm - Irrigation Tank Compartment Configuration - Basement 02 – Plot 1023</t>
  </si>
  <si>
    <t>REH-MD01-MDU-DR-OC-Hil-1022-SCR-000018</t>
  </si>
  <si>
    <t>OC-SCR-001312</t>
  </si>
  <si>
    <t>REH-MD01-MDU - Wadi Yemm - Architectural and Structural Conflict Affecting MEP Pipe Routing – SP06 – Plot 1046</t>
  </si>
  <si>
    <t>REH-MD01-MDU-DR-OC-Hil-1022-SCR-000019</t>
  </si>
  <si>
    <t>OC-SCR-001313</t>
  </si>
  <si>
    <t>REH-MD01-MDU - Wadi Yemm - Shower Drain Not Provided in Drainage Drawings -SP06-Plot1046-Part 22-(T.O.C +19.60)</t>
  </si>
  <si>
    <t>REH-MD01-MDU-AC-OC-Hil-1025-SCR-000003</t>
  </si>
  <si>
    <t>OC-SCR-001322</t>
  </si>
  <si>
    <t>REH-MD01-MDU - Wadi Yemm - Sand Trap Louver Area and Design Face Velocity</t>
  </si>
  <si>
    <t>REH-MD01-MDU-DR-OC-Hil-1044-SCR-000003</t>
  </si>
  <si>
    <t>OC-SCR-001324</t>
  </si>
  <si>
    <t>REH-MD01-MDU - Wadi Yemm - Clarification Required for Grease Interceptor Connections and Drainage System Layout</t>
  </si>
  <si>
    <t>REH-MD01-MDU-DR-OC-Hil-1044-SCR-000004</t>
  </si>
  <si>
    <t>OC-SCR-001325</t>
  </si>
  <si>
    <t>REH-MD01-MDU - Wadi Yemm - Clarification of Irrigation Pump Flow Rate</t>
  </si>
  <si>
    <t>REH-MD01-MDU-DR-OC-Hil-1022-SCR-000020</t>
  </si>
  <si>
    <t>OC-SCR-001328</t>
  </si>
  <si>
    <t>REH-MD01-MDU - Wadi Yemm - Floor Drain Provision for Intake Courtyard and Fan Rooms</t>
  </si>
  <si>
    <t>REH-MD01-MDU-DR-OC-Hil-1022-SCR-000021</t>
  </si>
  <si>
    <t>OC-SCR-001329</t>
  </si>
  <si>
    <t>REH-MD01-MDU - Wadi Yemm - Basement 02 Sump Pit Drainage Connection</t>
  </si>
  <si>
    <t>REH-MD01-MDU-DR-OC-Hil-1022-SCR-000022</t>
  </si>
  <si>
    <t>OC-SCR-001330</t>
  </si>
  <si>
    <t>REH-MD01-MDU - Wadi Yemm - Ejector Pit Inlet Arrangement and Waste Line Connection Clarification</t>
  </si>
  <si>
    <t>REH-MD01-MDU-DR-OC-Hil-1022-SCR-000023</t>
  </si>
  <si>
    <t>OC-SCR-001331</t>
  </si>
  <si>
    <t>REH-MD01-MDU - Wadi Yemm - Ejector Pump Schedule Discrepancy</t>
  </si>
  <si>
    <t>REH-MD01-MDU-ME-OC-Hil-1036-SCR-000008</t>
  </si>
  <si>
    <t>OC-SCR-001332</t>
  </si>
  <si>
    <t>REH-MD01-MDU - Wadi Yemm - Conflict in Garbage choute shaft in third floor with the lower levels -Plot 1036 - Third floor</t>
  </si>
  <si>
    <t>REH-MD01-MDU-ME-OC-Hil-1036-SCR-000009</t>
  </si>
  <si>
    <t>OC-SCR-001333</t>
  </si>
  <si>
    <t>REH-MD01-MDU - Wadi Yemm - Exposed drain pipes &amp; opening clashes with Arch. Walls -Plot 1036 - Third floor</t>
  </si>
  <si>
    <t>REH-MD01-MDU-ME-OC-Hil-1036-SCR-000010</t>
  </si>
  <si>
    <t>OC-SCR-001334</t>
  </si>
  <si>
    <t>REH-MD01-MDU - Wadi Yemm - Openings for MEP services are in column cap -Plot 1036 - Third floor</t>
  </si>
  <si>
    <t>REH-MD01-MDU-DR-OC-Hil-1022-SCR-000024</t>
  </si>
  <si>
    <t>OC-SCR-001338</t>
  </si>
  <si>
    <t>REH-MD01-MDU - Wadi Yemm - Swimming Pool Room Drainage - SP06</t>
  </si>
  <si>
    <t>REH-MD01-MDU-DR-OC-Hil-XXXX-SCR-000007</t>
  </si>
  <si>
    <t>OC-SCR-001347</t>
  </si>
  <si>
    <t>REH-MD01-MDU - Wadi Yemm - Clarification of Oil/Sand Interceptor Requirement (To ECG, SHAKER, MODON &amp; HILL)</t>
  </si>
  <si>
    <t>REH-MD01-MDU-ME-OC-Hil-XXXX-SCR-000021</t>
  </si>
  <si>
    <t>OC-SCR-001358</t>
  </si>
  <si>
    <t>REH-MD01-MDU - Wadi Yemm - Clarification on Water Supply Pipe Diameter size</t>
  </si>
  <si>
    <t>REH-MD01-MDU-ME-OC-Hil-1031-SCR-000003</t>
  </si>
  <si>
    <t>OC-SCR-001365</t>
  </si>
  <si>
    <t>REH-MD01-MDU - Wadi Yemm - Clarification about conflict Between Fire fighting pipe and vertical Beam - SP02 - 1032 basement 01 floor .</t>
  </si>
  <si>
    <t xml:space="preserve">REH-MD01-MDU-ME-OC-Hil-1031-SCR-000002 </t>
  </si>
  <si>
    <t>OC-SCR-001399</t>
  </si>
  <si>
    <t>REH-MD01-MDU-ME-OC-Hil-1031-SCR-000002 - Conflict Between Swimming Pool Mechanical Pipe and Structural beam at Swimming Pool Area -SP02-Plot1031-GF</t>
  </si>
  <si>
    <t>REH-MD01-MDU-DR-OC-Hil-1029-SCR-000021</t>
  </si>
  <si>
    <t>OC-SCR-001395</t>
  </si>
  <si>
    <t>REH-MD01-MDU-DR-OC-Hil-1029-SCR-000021 - Conflict Between Structure and Arch opening and structure framing below - Plot 1035</t>
  </si>
  <si>
    <t>REH-MD01-MDU-ME-OC-Hil-1029-SCR-000018</t>
  </si>
  <si>
    <t>OC-SCR-001396</t>
  </si>
  <si>
    <t>REH-MD01-MDU-ME-OC-Hil-1029-SCR-000018 - Missing MEP Openings in Structural Column Cap - Plot 1035</t>
  </si>
  <si>
    <t xml:space="preserve">REH-MD01-MDU-ME-OC-Hil-1029-SCR-000019 </t>
  </si>
  <si>
    <t>OC-SCR-001397</t>
  </si>
  <si>
    <t>REH-MD01-MDU-ME-OC-Hil-1029-SCR-000019 - Conflict Between ID and ST and ARCH Openings for Drainage and Gas Pipes in Kitchen Shafts – Plot 1035</t>
  </si>
  <si>
    <t xml:space="preserve">REH-MD01-RUS-ME-OC-Hil-XXXX-SCR-000001 </t>
  </si>
  <si>
    <t>OC-SCR-001422</t>
  </si>
  <si>
    <t>REH-MD01-RUS-ME-OC-Hil-XXXX-SCR-000001 - Ground Level On Promenade Area</t>
  </si>
  <si>
    <t>xxxx</t>
  </si>
  <si>
    <t>REH-MD01-MDU-DR-OC-Hil-1025-SCR-000001</t>
  </si>
  <si>
    <t>OC-SCR-001429</t>
  </si>
  <si>
    <t>REH-MD01-MDU-DR-OC-Hil-1025-SCR-000001-00 - Missing Landscape Levels for Inspection Chambers – Plot 1025</t>
  </si>
  <si>
    <t>Site Clarification Request ( Telecommunication )</t>
  </si>
  <si>
    <t>REH-MD01-MDU-TE-OC-Hil-XXXX-SCR-000032</t>
  </si>
  <si>
    <t>OC-SCR-000790</t>
  </si>
  <si>
    <t>REH-MD01-MDU -Wadi Yemm - ONT/ONU Conduit For Incoming Cable Conflication</t>
  </si>
  <si>
    <t>REH-MD01-MDU-TE-OC-Hil-XXXX-SCR-000033</t>
  </si>
  <si>
    <t>OC-SCR-000808</t>
  </si>
  <si>
    <t>REH-MD01-MDU -Wadi Yemm - Clarification Required for Disabled Toilet Alarm system (System Configuration - Control Panel Capacity)</t>
  </si>
  <si>
    <t>REH-MD01-MDU-TE-OC-Hil-XXXX-SCR-000034</t>
  </si>
  <si>
    <t>OC-SCR-000809</t>
  </si>
  <si>
    <t>REH-MD01-MDU -Wadi Yemm - Clarification Required for Disabled Toilet Alarm system ( Spare Parts - UL Approval - Emergency Power Supply )</t>
  </si>
  <si>
    <t>REH-MD01-MDU-TE-OC-Hil-1044-SCR-000005</t>
  </si>
  <si>
    <t>OC-SCR-000810</t>
  </si>
  <si>
    <t>REH-MD01-MDU -Wadi Yemm - AV SYSTEM OF KIDS ROOM - GROUND FLOOR - 1044</t>
  </si>
  <si>
    <t>REH-MD01-MDU-TE-OC-Hil-1018-SCR-000001</t>
  </si>
  <si>
    <t>OC-SCR-000820</t>
  </si>
  <si>
    <t>REH-MD01-MDU -Wadi Yemm - Missing Data Outlet for LCP at Plot 1018</t>
  </si>
  <si>
    <t>REH-MD01-MDU-TE-OC-Hil-1018-SCR-000002</t>
  </si>
  <si>
    <t>OC-SCR-000831</t>
  </si>
  <si>
    <t>REH-MD01-MDU -Wadi Yemm - Missing Fiber Optic Rack for ONU at Ground Floor FTR Room in Plot 1018</t>
  </si>
  <si>
    <t>REH-MD01-MDU-TE-OC-Hil-1022-SCR-000004</t>
  </si>
  <si>
    <t>OC-SCR-000832</t>
  </si>
  <si>
    <t>REH-MD01-MDU -Wadi Yemm - Access Control Devices Installation at Entrance Gate -Plot 1022</t>
  </si>
  <si>
    <t>REH-MD01-MDU-TE-OC-Hil-XXXX-SCR-000038</t>
  </si>
  <si>
    <t>OC-SCR-000842</t>
  </si>
  <si>
    <t>REH-MD01-MDU -Wadi Yemm - DAS Room Minimum Space Requirement – Clarification Request</t>
  </si>
  <si>
    <t>REH-MD01-MDU-TE-OC-Hil-1018-SCR-000005</t>
  </si>
  <si>
    <t>OC-SCR-000847</t>
  </si>
  <si>
    <t>REH-MD01-MDU -Wadi Yemm - LOCATION OF IT RACK IN MULTIPURPOSE  ROOM - Plot 1018</t>
  </si>
  <si>
    <t>REH-MD01-MDU-TE-OC-Hil-1045-SCR-000008</t>
  </si>
  <si>
    <t>OC-SCR-000877</t>
  </si>
  <si>
    <t>REH-MD01-MDU -Wadi Yemm - AV System – Speaker Quantity &amp; AV Wall Outlet Coordination - 1045</t>
  </si>
  <si>
    <t>REH-MD01-MDU-TE-OC-Hil-XXXX-SCR-000041</t>
  </si>
  <si>
    <t>OC-SCR-000885</t>
  </si>
  <si>
    <t>REH-MD01-MDU -Wadi Yemm - Different Design Details in LC SLDs – Clarification Request</t>
  </si>
  <si>
    <t>REH-MD01-MDU-TE-OC-Hil-1026-SCR-000014</t>
  </si>
  <si>
    <t>OC-SCR-000990</t>
  </si>
  <si>
    <t>REH-MD01-MDU -Wadi Yemm - Missing Door Controller panels and Data Points &amp; Level Discrepancy in IFC/PDF drawings - ground floor plot (1026)</t>
  </si>
  <si>
    <t>REH-MD01-MDU-TE-OC-Hil-1046-SCR-000010</t>
  </si>
  <si>
    <t>OC-SCR-001099</t>
  </si>
  <si>
    <t>REH-MD01-MDU -Wadi Yemm - Floor boxes Clarification - Plot 1046-Ground floor</t>
  </si>
  <si>
    <t>REH-MD01-MDU-TE-OC-Hil-1046-SCR-000011</t>
  </si>
  <si>
    <t>OC-SCR-001100</t>
  </si>
  <si>
    <t>REH-MD01-MDU -Wadi Yemm - Volume control Clarification - Plot 1046-Ground floor</t>
  </si>
  <si>
    <t>REH-MD01-MDU-TE-OC-Hil-XXXX-SCR-000059</t>
  </si>
  <si>
    <t>OC-SCR-001154</t>
  </si>
  <si>
    <t>REH-MD01-MDU -Wadi Yemm - Clarification for Telecommunication – External Interface (HILL/MODON)</t>
  </si>
  <si>
    <t>REH-MD01-MDU-TE-OC-Hil-1018-SCR-000022</t>
  </si>
  <si>
    <t>OC-SCR-001163</t>
  </si>
  <si>
    <t>REH-MD01-MDU -Wadi Yemm - RACK AND SLAB OPENING Clarification - PLOT 1018-FIRST BASEMENT&amp;GROUND FLOOR</t>
  </si>
  <si>
    <t>REH-MD01-MDU-TE-OC-Hil-1023-SCR-000001</t>
  </si>
  <si>
    <t>OC-SCR-001177</t>
  </si>
  <si>
    <t>REH-MD01-MDU -Wadi Yemm - CHANGE THE SHAFT LOCATION FOR LIGHT CURRENT</t>
  </si>
  <si>
    <t>REH-MD01-MDU-TE-OC-Hil-XXXX-SCR-000066</t>
  </si>
  <si>
    <t>OC-SCR-001275</t>
  </si>
  <si>
    <t>REH-MD01-MDU - Wadi Yemm - Clarification of Our Scope Regarding Low Current Systems Components (ECG/Shaker)</t>
  </si>
  <si>
    <t>REH-MD01-MDU-TE-OC-Hil-1031-SCR-000005</t>
  </si>
  <si>
    <t>OC-SCR-001277</t>
  </si>
  <si>
    <t>REH-MD01-MDU - Wadi Yemm - Clarification Regarding AMENITIES Telecom Single Line Diagram System - SP02</t>
  </si>
  <si>
    <t>REH-MD01-MDU-TE-OC-Hil-1046-SCR-000015</t>
  </si>
  <si>
    <t>OC-SCR-001457</t>
  </si>
  <si>
    <t>REH-MD01-MDU-TE-OC-Hil-1046-SCR-000015 - Clarification of Apartment Type Discrepancy - PLOT 1046-FIRST FLOOR</t>
  </si>
  <si>
    <t>OC-SCR-001459</t>
  </si>
  <si>
    <t>REH-MD01-MDU-ST-OC-Hil-1022-SCR-000105 - SP06 - Plot 1046 - Building (B) - Level 02 Clashes and Discrepancies</t>
  </si>
  <si>
    <t>REH-MD01-MDU-ST-OC-Hil-1022-SCR-000105</t>
  </si>
  <si>
    <t>OC-SCR-001467</t>
  </si>
  <si>
    <t>REH-MD01-MDU-ST-OC-Hil-1036-SCR-000045 - backfilling masonry clarification</t>
  </si>
  <si>
    <t>REH-MD01-MDU-ST-OC-Hil-1036-SCR-000045</t>
  </si>
  <si>
    <t>OC-SCR-001466</t>
  </si>
  <si>
    <t>REH-MD01-MDU-EL-OC-Hil-1060-SCR-000012 - ICT Cable Tray Routing Through Electrical Shaft -- Plot 1060</t>
  </si>
  <si>
    <t>REH-MD01-MDU-EL-OC-Hil-1060-SCR-000012</t>
  </si>
  <si>
    <t>REH-MD01-MDU-EL-OC-Hil-1060-SCR-000011 - Verification of Escalator MCCB Rating -- Plot 1060</t>
  </si>
  <si>
    <t>REH-MD01-MDU-EL-OC-Hil-1060-SCR-00001</t>
  </si>
  <si>
    <t>OC-SCR-001465</t>
  </si>
  <si>
    <t>REH-MD01-MDU-EL-OC-Hil-1060-SCR-000010 - Issues Regarding Lighting Fixture Installation and Distribution in Fan Rooms -- Plot 1060</t>
  </si>
  <si>
    <t xml:space="preserve">REH-MD01-MDU-EL-OC-Hil-1060-SCR-000010 </t>
  </si>
  <si>
    <t>OC-SCR-001464</t>
  </si>
  <si>
    <t>REH-MD01-MDU-EL-OC-Hil-1060-SCR-000009 - Discrepancy between the SLD and Revit Model regarding the CRAH unit feeder -- plot 1060</t>
  </si>
  <si>
    <t>OC-SCR-001463</t>
  </si>
  <si>
    <t>REH-MD01-MDU-EL-OC-Hil-1060-SCR-000009</t>
  </si>
  <si>
    <t>REH-MD01-MDU-EL-OC-Hil-1060-SCR-000008 - Missing Panels from Single line diagram -- Plot 1060</t>
  </si>
  <si>
    <t>OC-SCR-001462</t>
  </si>
  <si>
    <t>REH-MD01-MDU-EL-OC-Hil-1060-SCR-000008</t>
  </si>
  <si>
    <t>REH-MD01-MDU-EL-OC-Hil-1060-SCR-000007 - Panel Schedule &amp; Single line diagram Contradiction -- Plot 1060</t>
  </si>
  <si>
    <t>REH-MD01-MDU-EL-OC-Hil-1060-SCR-000007</t>
  </si>
  <si>
    <t>OC-SCR-001461</t>
  </si>
  <si>
    <t>REH-MD01-MDU-EL-OC-Hil-1060-SCR-000006 - Parking Slot / EV Charge Disconnector Coordination -- Plot 1060</t>
  </si>
  <si>
    <t xml:space="preserve">REH-MD01-MDU-EL-OC-Hil-1060-SCR-000006 </t>
  </si>
  <si>
    <t>OC-SCR-001460</t>
  </si>
  <si>
    <t>OC-SCR-001468</t>
  </si>
  <si>
    <t>REH-MD01-MDU-ST-OC-Hil-1023-SCR-000032-SP05 - Lower Ground Level Discrepancies</t>
  </si>
  <si>
    <t>REH-MD01-MDU-ST-OC-Hil-1023-SCR-000032</t>
  </si>
  <si>
    <t>OC-SCR-001470</t>
  </si>
  <si>
    <t>REH-MD01-RUS-ST-OC-Hil-XXXX-SCR-000006 - Required reinforcement Details For Manhole Depth Less than 1.50 m (TYPE A) for sewage and storm manholes</t>
  </si>
  <si>
    <t>REH-MD01-RUS-ST-OC-Hil-XXXX-SCR-000006</t>
  </si>
  <si>
    <t>OC-SCR-001469</t>
  </si>
  <si>
    <t>REH-MD01-RUS-ST-OC-Hil-XXXX-SCR-000005 - Required reinforcement Details for rectangular manholes in sewage and storm network</t>
  </si>
  <si>
    <t>REH-MD01-RUS-ST-OC-Hil-XXXX-SCR-000005</t>
  </si>
  <si>
    <t>REH-MD01-MDU-DR-OC-Hil-1029-SCR-000025 - Clarification Required for Sanitary Drainage Pipes Routing Through F&amp;B Area - Plot 1034</t>
  </si>
  <si>
    <t>REH-MD01-MDU-DR-OC-Hil-1029-SCR-000025</t>
  </si>
  <si>
    <t>OC-SCR-001471</t>
  </si>
  <si>
    <t>REH-MD01-MDU-EL-OC-Hil-1021-SCR-000014 - Conflict Between structured cabling Riser Diagram and IFC drawing- PLOT 1021</t>
  </si>
  <si>
    <t>REH-MD01-MDU-EL-OC-Hil-1021-SCR-000014</t>
  </si>
  <si>
    <t>OC-SCR-001472</t>
  </si>
  <si>
    <t>REH-MD01-MDU-EL-OC-Hil-XXXX-SCR-000075 - Missing Structural Provision for MV Cable Cellar IN (1024 , 1025 , 1026 , 1036) Plots</t>
  </si>
  <si>
    <t>REH-MD01-MDU-EL-OC-Hil-XXXX-SCR-000075</t>
  </si>
  <si>
    <t>OC-SCR-001473</t>
  </si>
  <si>
    <t>REH-MD01-MDU-ST-OC-Hil-1020-SCR-000012 - Confirmation of Slab Level and Proposed Adjustment of Beam B15</t>
  </si>
  <si>
    <t>REH-MD01-MDU-ST-OC-Hil-1020-SCR-000012</t>
  </si>
  <si>
    <t>OC-SCR-001474</t>
  </si>
  <si>
    <t>REH-MD01-MDU-TE-OC-Hil-1046-SCR-000016 - Clarification of Camera Data Outlets - PLOT 1046-FIRST FLOOR</t>
  </si>
  <si>
    <t>OC-SCR-001475</t>
  </si>
  <si>
    <t>REH-MD01-MDU-TE-OC-Hil-1046-SCR-000016</t>
  </si>
  <si>
    <t>OC-SCR-001484</t>
  </si>
  <si>
    <t>REH-MD01-MDU-ME-OC-Hil-1036-SCR-000011-Clarification of Level Difference Between Irrigation Tank and Pump Room - Plot 1036</t>
  </si>
  <si>
    <t>REH-MD01-MDU-ME-OC-Hil-1036-SCR-000011</t>
  </si>
  <si>
    <t>REH-MD01-MDU-EL-OC-Hil-XXXX-SCR-000076-00 - Fire Alarm Detector Type for Retail Units – Design Discrepancy</t>
  </si>
  <si>
    <t>OC-SCR-001486</t>
  </si>
  <si>
    <t>REH-MD01-MDU-EL-OC-Hil-XXXX-SCR-000076</t>
  </si>
  <si>
    <t>REH-MD01-MDU-ST-OC-Hil-1022-SCR-000106-00 - Clarification slab level01-building B plot 1022</t>
  </si>
  <si>
    <t>OC-SCR-001487</t>
  </si>
  <si>
    <t>REH-MD01-MDU-ME-OC-Hil-1029-SCR-000022 - Clarification Request for MISSING PART AT AC PACKAGE</t>
  </si>
  <si>
    <t>OC-SCR-001488</t>
  </si>
  <si>
    <t>REH-MD01-MDU-ME-OC-Hil-1029-SCR-000022</t>
  </si>
  <si>
    <t>REH-MD01-MDU-ST-OC-Hil-1060-SCR-000034-00 - Stair 1 (Plot 1060) Coordination Issues (core type 07)</t>
  </si>
  <si>
    <t>REH-MD01-MDU-ST-OC-Hil-1060-SCR-000034</t>
  </si>
  <si>
    <t>OC-SCR-001489</t>
  </si>
  <si>
    <t>REH-MD01-MDU-AR-OC-Hil-XXXX-SCR-000006-00 - Following ECG specs &amp; typical details</t>
  </si>
  <si>
    <t>OC-SCR-001490</t>
  </si>
  <si>
    <t>REH-MD01-MDU-AR-OC-Hil-XXXX-SCR-000006</t>
  </si>
  <si>
    <t>REH-MD01-MDU-AR-OC-Hil-XXXX-SCR-000007-00 - RC stiffening for blockwork</t>
  </si>
  <si>
    <t>REH-MD01-MDU-AR-OC-Hil-XXXX-SCR-000007</t>
  </si>
  <si>
    <t>OC-SCR-001491</t>
  </si>
  <si>
    <t>REH-MD01-MDU-AR-OC-Hil-XXXX-SCR-000008-00 - DPC CAVITY TRAY AND WEEPHOLES CANCELLATION</t>
  </si>
  <si>
    <t>REH-MD01-MDU-AR-OC-Hil-XXXX-SCR-000008</t>
  </si>
  <si>
    <t>OC-SCR-001492</t>
  </si>
  <si>
    <t>REH-MD01-MDU-ST-OC-Hil-1022-SCR-000107-00 - Clarification slab level01-building B plot 1022-conflict between revit model &amp;2D IFC</t>
  </si>
  <si>
    <t>REH-MD01-MDU-ST-OC-Hil-1022-SCR-000107</t>
  </si>
  <si>
    <t>OC-SCR-001493</t>
  </si>
  <si>
    <t>REH-MD01-MDU-ST-OC-Hil-1022-SCR-000108 - Carifications at super plot 06-Plot 1018</t>
  </si>
  <si>
    <t xml:space="preserve">REH-MD01-MDU-ST-OC-Hil-1022-SCR-000108 </t>
  </si>
  <si>
    <t>OC-SCR-001494</t>
  </si>
  <si>
    <t>REH-MD01-MDU-ST-OC-Hil-1022-SCR-000109-Clarification slab level01-building B plot 1022-conflict between revit model &amp;2D IFC</t>
  </si>
  <si>
    <t>REH-MD01-MDU-ST-OC-Hil-1022-SCR-000109</t>
  </si>
  <si>
    <t>OC-SCR-001495</t>
  </si>
  <si>
    <t>REH-MD01-MDU-EL-OC-Hil-1028-SCR-000028 - Location Conflict between LCP-B2-2, Electrical/Low Current Fixtures, and Door Opening Zone in ELEC Room – Basement 02 – Plot 1028</t>
  </si>
  <si>
    <t>REH-MD01-MDU-EL-OC-Hil-1028-SCR-000028</t>
  </si>
  <si>
    <t>OC-SCR-001496</t>
  </si>
  <si>
    <t>REH-MD01-MDU-ST-OC-Hil-1022-SCR-000106</t>
  </si>
  <si>
    <t>OC-SCR-001497</t>
  </si>
  <si>
    <t>REH-MD01-MDU-AR-OC-Hil-1060-SCR-000001 - Coordination Issues Related to Sump Pit Access Requirements</t>
  </si>
  <si>
    <t>EH-MD01-MDU-AR-OC-Hil-1060-SCR-000001</t>
  </si>
  <si>
    <t>REH-MD01-MDU-BK-OC-Hil-XXXX-SCR-000007 - Insulation of External Walls</t>
  </si>
  <si>
    <t>REH-MD01-MDU-BK-OC-Hil-XXXX-SCR-000007</t>
  </si>
  <si>
    <t>OC-SCR-001443</t>
  </si>
  <si>
    <t>OC-SCR-001498</t>
  </si>
  <si>
    <t>REH-MD01-MDU-ST-OC-Hil-1022-SCR-000110 - SP06 - Plot 1018 - Building (E) - Clashes and Discrepancies</t>
  </si>
  <si>
    <t>REH-MD01-MDU-ST-OC-Hil-1022-SCR-000110</t>
  </si>
  <si>
    <t>REH-MD01-MDU-ME-OC-Hil-1021-SCR-000010 - Clarification of Level Difference Between Irrigation Tank and Pump Room - Plot 1021</t>
  </si>
  <si>
    <t>OC-SCR-001502</t>
  </si>
  <si>
    <t>REH-MD01-MDU-ME-OC-Hil-1021-SCR-000010</t>
  </si>
  <si>
    <t>REH-MD01-MDU-ST-OC-Hil-1029-SCR-000240 - Clarification Required | BEAMS | LOWER GROUND | Plot 1034 Part 19</t>
  </si>
  <si>
    <t>REH-MD01-MDU-ST-OC-Hil-1029-SCR-000240</t>
  </si>
  <si>
    <t>OC-SCR-001503</t>
  </si>
  <si>
    <t>REH-MD01-MDU-ST-OC-Hil-1020-SCR-000013 - Confirmation of Slab Level and Proposed Adjustment of Beam B15</t>
  </si>
  <si>
    <t>REH-MD01-MDU-ST-OC-Hil-1020-SCR-000013</t>
  </si>
  <si>
    <t>OC-SCR-001504</t>
  </si>
  <si>
    <t>REH-MD01-MDU-ME-OC-Hil-1021-SCR-000011 - Clarification of Level Difference Between Irrigation Tank and Pump Room - Plot 1021</t>
  </si>
  <si>
    <t>REH-MD01-MDU-ME-OC-Hil-1021-SCR-000011</t>
  </si>
  <si>
    <t>OC-SCR-001505</t>
  </si>
  <si>
    <t>REH-MD01-MDU-DR-OC-Hil-1025-SCR-000002 - Clarification Required – Stack Drain Pipes Roof Slab Openings -1025</t>
  </si>
  <si>
    <t>REH-MD01-MDU-DR-OC-Hil-1025-SCR-000002</t>
  </si>
  <si>
    <t>OC-SCR-001506</t>
  </si>
  <si>
    <t>OC-SCR-001501</t>
  </si>
  <si>
    <t>REH-MD01-MDU-DR-OC-Hil-XXXX-SCR-000008 - Clarification Request for Kitchen Floor Drain Location SP 01</t>
  </si>
  <si>
    <t>REH-MD01-MDU-DR-OC-Hil-XXXX-SCR-000008</t>
  </si>
  <si>
    <t>OC-SCR-001512</t>
  </si>
  <si>
    <t>REH-MD01-MDU-AR-OC-Hil-1021-SCR-000005 - Design Discrepancy Between Architectural and Structural IFC – Waste Lift Core Wall (Basement 02)</t>
  </si>
  <si>
    <t>REH-MD01-MDU-AR-OC-Hil-1021-SCR-000005</t>
  </si>
  <si>
    <t>OC-SCR-001511</t>
  </si>
  <si>
    <t>REH-MD01-MDU-AR-OC-Hil-1021-SCR-000004 - Design Discrepancies and Missing Information regarding FLS &amp; Acoustic documents</t>
  </si>
  <si>
    <t>REH-MD01-MDU-AR-OC-Hil-1021-SCR-000004</t>
  </si>
  <si>
    <t>REH-MD01-MDU-ST-OC-Hil-1031-SCR-000036 - Plot 1032 – Wall Detail at Ground Floor Slab</t>
  </si>
  <si>
    <t>OC-SCR-001510</t>
  </si>
  <si>
    <t>REH-MD01-MDU-ST-OC-Hil-1031-SCR-000036</t>
  </si>
  <si>
    <t>REH-MD01-MDU-ME-OC-Hil-1060-SCR-000008 - Architechure Cavity Opening clashing with Strucutre beam -Plot 1060</t>
  </si>
  <si>
    <t xml:space="preserve">REH-MD01-MDU-ME-OC-Hil-1060-SCR-000008 </t>
  </si>
  <si>
    <t>OC-SCR-001509</t>
  </si>
  <si>
    <t>REH-MD01-MDU-ME-OC-Hil-1060-SCR-000007 - MEP Service Opening clashing with Strucutre beam-Plot 1060</t>
  </si>
  <si>
    <t>REH-MD01-MDU-ME-OC-Hil-1060-SCR-000007</t>
  </si>
  <si>
    <t>OC-SCR-001508</t>
  </si>
  <si>
    <t>REH-MD01-MDU-DR-OC-Hil-1031-SCR-000006 - Clarification about Reroute the Drainage pipes to change invert level of inlet pipes of this sump pit no 02 at SP02- 1033 BASEMENT 01</t>
  </si>
  <si>
    <t>REH-MD01-MDU-DR-OC-Hil-1031-SCR-000006</t>
  </si>
  <si>
    <t>OC-SCR-001507</t>
  </si>
  <si>
    <t>REH-MD01-MDU-ST-OC-Hil-1031-SCR-000037-00 - Plot 1032 – Structural Discrepancies – Lower Ground Floor Slab</t>
  </si>
  <si>
    <t>OC-SCR-001517</t>
  </si>
  <si>
    <t>REH-MD01-MDU-ST-OC-Hil-1031-SCR-000037</t>
  </si>
  <si>
    <t>OC-SCR-001516</t>
  </si>
  <si>
    <t>REH-MD01-MDU-ST-OC-Hil-1027-SCR-000023-00 - FORTALEZA HOTEL (Plot 1027) - Structural Coordination Discrepancies and Clarifications</t>
  </si>
  <si>
    <t>REH-MD01-MDU-ST-OC-Hil-1027-SCR-000023</t>
  </si>
  <si>
    <t>REH-MD01-MDU-ME-OC-Hil-XXXX-SCR-000022-00 - Clarification of LPG Piping Distribution Concept and Request for LPG Design Package - for 6 plots (ECG</t>
  </si>
  <si>
    <t>REH-MD01-MDU-ME-OC-Hil-XXXX-SCR-000022</t>
  </si>
  <si>
    <t>OC-SCR-001515</t>
  </si>
  <si>
    <t>OC-SCR-001514</t>
  </si>
  <si>
    <t>REH-MD01-MDU-DR-OC-Hil-1060-SCR-000001-00 - Architechure Cavity Opening clashing with Strucutre beam -Plot 1060</t>
  </si>
  <si>
    <t>REH-MD01-MDU-DR-OC-Hil-1060-SCR-000001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</si>
</sst>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[$-409]dd/mmm/yy;@"/>
    <numFmt numFmtId="166" formatCode="dddd&quot;, &quot;d\ mmmm\ yyyy;@"/>
    <numFmt numFmtId="167" formatCode="00"/>
    <numFmt numFmtId="168" formatCode="dd\ mmm\ yyyy"/>
    <numFmt numFmtId="169" formatCode="0.0"/>
  </numFmts>
  <fonts count="51" x14ac:knownFonts="1">
    <font>
      <sz val="11"/>
      <color theme="1"/>
      <name val="Calibri"/>
      <charset val="1"/>
    </font>
    <font>
      <sz val="12"/>
      <color theme="10"/>
      <name val="Calibri"/>
      <family val="2"/>
      <charset val="1"/>
    </font>
    <font>
      <sz val="10"/>
      <color theme="10"/>
      <name val="Arial"/>
      <family val="2"/>
      <charset val="1"/>
    </font>
    <font>
      <sz val="10"/>
      <name val="Arial"/>
      <family val="2"/>
      <charset val="1"/>
    </font>
    <font>
      <sz val="10"/>
      <name val="MS Sans Serif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/>
      <sz val="20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24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3"/>
      <color rgb="FFFFFFFF"/>
      <name val="Calibri"/>
      <family val="2"/>
      <charset val="1"/>
    </font>
    <font>
      <b/>
      <sz val="11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4"/>
      <name val="Century Gothic"/>
      <family val="2"/>
      <charset val="1"/>
    </font>
    <font>
      <sz val="16"/>
      <color rgb="FF000000"/>
      <name val="Century Gothic"/>
      <family val="2"/>
      <charset val="1"/>
    </font>
    <font>
      <sz val="14"/>
      <color rgb="FF000000"/>
      <name val="Century Gothic"/>
      <family val="2"/>
      <charset val="1"/>
    </font>
    <font>
      <sz val="10"/>
      <name val="Century Gothic"/>
      <family val="2"/>
      <charset val="1"/>
    </font>
    <font>
      <sz val="16"/>
      <name val="Century Gothic"/>
      <family val="2"/>
      <charset val="1"/>
    </font>
    <font>
      <sz val="22"/>
      <name val="Century Gothic"/>
      <family val="2"/>
      <charset val="1"/>
    </font>
    <font>
      <b/>
      <sz val="22"/>
      <name val="Segoe UI Semilight"/>
      <family val="2"/>
      <charset val="1"/>
    </font>
    <font>
      <b/>
      <sz val="36"/>
      <color theme="0"/>
      <name val="Book Antiqua"/>
      <family val="1"/>
      <charset val="1"/>
    </font>
    <font>
      <sz val="16"/>
      <color theme="10"/>
      <name val="Century Gothic"/>
      <family val="2"/>
      <charset val="1"/>
    </font>
    <font>
      <sz val="18"/>
      <name val="Century Gothic"/>
      <family val="2"/>
      <charset val="1"/>
    </font>
    <font>
      <b/>
      <sz val="16"/>
      <color theme="0"/>
      <name val="Century Gothic"/>
      <family val="2"/>
      <charset val="1"/>
    </font>
    <font>
      <sz val="16"/>
      <color theme="1"/>
      <name val="Century Gothic"/>
      <family val="2"/>
      <charset val="1"/>
    </font>
    <font>
      <sz val="13"/>
      <color theme="1"/>
      <name val="Century Gothic"/>
      <family val="2"/>
      <charset val="1"/>
    </font>
    <font>
      <sz val="13"/>
      <color rgb="FF000000"/>
      <name val="Century Gothic"/>
      <family val="2"/>
      <charset val="1"/>
    </font>
    <font>
      <sz val="13"/>
      <name val="Century Gothic"/>
      <family val="2"/>
      <charset val="1"/>
    </font>
    <font>
      <sz val="18"/>
      <color rgb="FF000000"/>
      <name val="Century Gothic"/>
      <family val="2"/>
      <charset val="1"/>
    </font>
    <font>
      <sz val="18"/>
      <color rgb="FF000000"/>
      <name val="Arial"/>
      <family val="2"/>
      <charset val="1"/>
    </font>
    <font>
      <b/>
      <sz val="18"/>
      <color theme="0"/>
      <name val="Century Gothic"/>
      <family val="2"/>
      <charset val="1"/>
    </font>
    <font>
      <sz val="16"/>
      <color theme="1"/>
      <name val="Calibri"/>
      <family val="2"/>
      <charset val="1"/>
    </font>
    <font>
      <sz val="14"/>
      <name val="Calibri"/>
      <family val="2"/>
      <charset val="1"/>
    </font>
    <font>
      <sz val="16"/>
      <color theme="0"/>
      <name val="Century Gothic"/>
      <family val="2"/>
      <charset val="1"/>
    </font>
    <font>
      <sz val="18"/>
      <color theme="1"/>
      <name val="Calibri"/>
      <family val="2"/>
      <charset val="1"/>
    </font>
    <font>
      <sz val="16"/>
      <color rgb="FF000000"/>
      <name val="Calibri"/>
      <family val="2"/>
      <charset val="1"/>
    </font>
    <font>
      <sz val="11"/>
      <color theme="1"/>
      <name val="Calibri"/>
      <family val="2"/>
    </font>
    <font>
      <sz val="20"/>
      <name val="Century Gothic"/>
      <family val="2"/>
      <charset val="1"/>
    </font>
    <font>
      <sz val="16"/>
      <color theme="10"/>
      <name val="Calibri"/>
      <family val="2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16"/>
      <name val="Calibri"/>
      <family val="2"/>
    </font>
    <font>
      <sz val="16"/>
      <color rgb="FF000000"/>
      <name val="Arial"/>
      <family val="2"/>
      <charset val="1"/>
    </font>
    <font>
      <b/>
      <sz val="28"/>
      <color theme="0"/>
      <name val="Book Antiqua"/>
      <family val="1"/>
      <charset val="1"/>
    </font>
    <font>
      <b/>
      <sz val="14"/>
      <color theme="0"/>
      <name val="Century Gothic"/>
      <family val="2"/>
      <charset val="1"/>
    </font>
    <font>
      <sz val="14"/>
      <color theme="0"/>
      <name val="Century Gothic"/>
      <family val="2"/>
      <charset val="1"/>
    </font>
    <font>
      <b/>
      <sz val="26"/>
      <color theme="0"/>
      <name val="Book Antiqua"/>
      <family val="1"/>
      <charset val="1"/>
    </font>
    <font>
      <b/>
      <sz val="12"/>
      <color theme="0"/>
      <name val="Calibri"/>
      <family val="2"/>
      <charset val="1"/>
    </font>
    <font>
      <sz val="11"/>
      <color rgb="FF73746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D9EAF7"/>
        <bgColor rgb="FFE7E6E6"/>
      </patternFill>
    </fill>
    <fill>
      <patternFill patternType="solid">
        <fgColor rgb="FFE7E6E6"/>
        <bgColor rgb="FFD9EAF7"/>
      </patternFill>
    </fill>
    <fill>
      <patternFill patternType="solid">
        <fgColor theme="0"/>
        <bgColor rgb="FFE7E6E6"/>
      </patternFill>
    </fill>
    <fill>
      <patternFill patternType="solid">
        <fgColor rgb="FF8E0000"/>
        <bgColor rgb="FF9C0006"/>
      </patternFill>
    </fill>
    <fill>
      <patternFill patternType="solid">
        <fgColor theme="2" tint="-9.9978637043366805E-2"/>
        <bgColor rgb="FFB4C6E7"/>
      </patternFill>
    </fill>
    <fill>
      <patternFill patternType="solid">
        <fgColor theme="1" tint="0.499984740745262"/>
        <bgColor rgb="FF0563C1"/>
      </patternFill>
    </fill>
    <fill>
      <patternFill patternType="solid">
        <fgColor theme="1" tint="0.34998626667073579"/>
        <bgColor rgb="FFFF8080"/>
      </patternFill>
    </fill>
    <fill>
      <patternFill patternType="solid">
        <fgColor theme="1" tint="0.14999847407452621"/>
        <bgColor rgb="FF339966"/>
      </patternFill>
    </fill>
    <fill>
      <patternFill patternType="solid">
        <fgColor theme="3" tint="0.59999389629810485"/>
        <bgColor rgb="FF0563C1"/>
      </patternFill>
    </fill>
    <fill>
      <patternFill patternType="solid">
        <fgColor theme="3" tint="0.39997558519241921"/>
        <bgColor rgb="FF0563C1"/>
      </patternFill>
    </fill>
    <fill>
      <patternFill patternType="solid">
        <fgColor theme="3" tint="-0.249977111117893"/>
        <bgColor rgb="FFFF8080"/>
      </patternFill>
    </fill>
    <fill>
      <patternFill patternType="solid">
        <fgColor theme="3" tint="0.39997558519241921"/>
        <bgColor rgb="FFFF8080"/>
      </patternFill>
    </fill>
    <fill>
      <patternFill patternType="solid">
        <fgColor theme="3" tint="-0.249977111117893"/>
        <bgColor rgb="FF339966"/>
      </patternFill>
    </fill>
    <fill>
      <gradientFill degree="90">
        <stop position="0">
          <color theme="0"/>
        </stop>
        <stop position="1">
          <color theme="9" tint="-0.49803155613879818"/>
        </stop>
      </gradientFill>
    </fill>
    <fill>
      <gradientFill degree="270">
        <stop position="0">
          <color theme="0"/>
        </stop>
        <stop position="1">
          <color theme="9" tint="-0.49803155613879818"/>
        </stop>
      </gradientFill>
    </fill>
    <fill>
      <gradientFill degree="90">
        <stop position="0">
          <color theme="0"/>
        </stop>
        <stop position="1">
          <color theme="5" tint="-0.25098422193060094"/>
        </stop>
      </gradientFill>
    </fill>
    <fill>
      <gradientFill degree="270">
        <stop position="0">
          <color theme="0"/>
        </stop>
        <stop position="1">
          <color theme="5" tint="-0.25098422193060094"/>
        </stop>
      </gradientFill>
    </fill>
    <fill>
      <gradientFill degree="90">
        <stop position="0">
          <color theme="0"/>
        </stop>
        <stop position="1">
          <color theme="4" tint="-0.49803155613879818"/>
        </stop>
      </gradientFill>
    </fill>
    <fill>
      <gradientFill degree="270">
        <stop position="0">
          <color theme="0"/>
        </stop>
        <stop position="1">
          <color theme="4" tint="-0.49803155613879818"/>
        </stop>
      </gradientFill>
    </fill>
  </fills>
  <borders count="10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5" fillId="0" borderId="0"/>
    <xf numFmtId="0" fontId="6" fillId="0" borderId="0">
      <alignment vertical="top"/>
    </xf>
    <xf numFmtId="9" fontId="5" fillId="0" borderId="0"/>
    <xf numFmtId="9" fontId="3" fillId="0" borderId="0"/>
  </cellStyleXfs>
  <cellXfs count="128">
    <xf numFmtId="0" fontId="0" fillId="0" borderId="0" xfId="0"/>
    <xf numFmtId="0" fontId="8" fillId="0" borderId="0" xfId="0" applyFont="1"/>
    <xf numFmtId="0" fontId="11" fillId="2" borderId="1" xfId="0" applyFont="1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1" fillId="2" borderId="0" xfId="0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5" fillId="0" borderId="0" xfId="3" applyFont="1" applyAlignment="1">
      <alignment horizontal="center" vertical="center"/>
    </xf>
    <xf numFmtId="165" fontId="16" fillId="0" borderId="0" xfId="3" applyNumberFormat="1" applyFont="1" applyAlignment="1">
      <alignment horizontal="center" vertical="center"/>
    </xf>
    <xf numFmtId="49" fontId="17" fillId="0" borderId="0" xfId="3" applyNumberFormat="1" applyFont="1" applyAlignment="1">
      <alignment horizontal="left" vertical="center" wrapText="1"/>
    </xf>
    <xf numFmtId="1" fontId="15" fillId="0" borderId="0" xfId="3" applyNumberFormat="1" applyFont="1" applyAlignment="1">
      <alignment horizontal="center" vertical="center"/>
    </xf>
    <xf numFmtId="165" fontId="17" fillId="0" borderId="0" xfId="3" applyNumberFormat="1" applyFont="1" applyAlignment="1">
      <alignment horizontal="center" vertical="center"/>
    </xf>
    <xf numFmtId="0" fontId="17" fillId="5" borderId="0" xfId="3" applyFont="1" applyFill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8" fillId="0" borderId="2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20" fillId="0" borderId="3" xfId="3" applyFont="1" applyBorder="1" applyAlignment="1">
      <alignment horizontal="center" vertical="center" wrapText="1"/>
    </xf>
    <xf numFmtId="0" fontId="18" fillId="0" borderId="5" xfId="3" applyFont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49" fontId="18" fillId="0" borderId="0" xfId="3" applyNumberFormat="1" applyFont="1" applyAlignment="1">
      <alignment horizontal="left" vertical="center"/>
    </xf>
    <xf numFmtId="1" fontId="23" fillId="5" borderId="0" xfId="2" applyNumberFormat="1" applyFont="1" applyFill="1" applyAlignment="1">
      <alignment horizontal="center" vertical="center"/>
    </xf>
    <xf numFmtId="166" fontId="24" fillId="0" borderId="0" xfId="3" applyNumberFormat="1" applyFont="1" applyAlignment="1">
      <alignment horizontal="center" vertical="center"/>
    </xf>
    <xf numFmtId="0" fontId="19" fillId="7" borderId="0" xfId="3" applyFont="1" applyFill="1" applyAlignment="1">
      <alignment horizontal="center" vertical="center" wrapText="1"/>
    </xf>
    <xf numFmtId="49" fontId="25" fillId="6" borderId="7" xfId="0" applyNumberFormat="1" applyFont="1" applyFill="1" applyBorder="1" applyAlignment="1">
      <alignment horizontal="center" vertical="center" wrapText="1"/>
    </xf>
    <xf numFmtId="0" fontId="26" fillId="0" borderId="7" xfId="3" applyFont="1" applyBorder="1" applyAlignment="1">
      <alignment horizontal="center" vertical="center"/>
    </xf>
    <xf numFmtId="165" fontId="26" fillId="0" borderId="7" xfId="3" applyNumberFormat="1" applyFont="1" applyBorder="1" applyAlignment="1">
      <alignment horizontal="center" vertical="center" wrapText="1"/>
    </xf>
    <xf numFmtId="167" fontId="27" fillId="0" borderId="7" xfId="3" applyNumberFormat="1" applyFont="1" applyBorder="1" applyAlignment="1">
      <alignment horizontal="center" vertical="center" wrapText="1"/>
    </xf>
    <xf numFmtId="49" fontId="16" fillId="0" borderId="7" xfId="3" applyNumberFormat="1" applyFont="1" applyBorder="1" applyAlignment="1">
      <alignment horizontal="left" vertical="center" wrapText="1"/>
    </xf>
    <xf numFmtId="1" fontId="27" fillId="0" borderId="7" xfId="3" applyNumberFormat="1" applyFont="1" applyBorder="1" applyAlignment="1">
      <alignment horizontal="center" vertical="center" wrapText="1"/>
    </xf>
    <xf numFmtId="168" fontId="27" fillId="5" borderId="7" xfId="0" applyNumberFormat="1" applyFont="1" applyFill="1" applyBorder="1" applyAlignment="1">
      <alignment horizontal="center" vertical="center"/>
    </xf>
    <xf numFmtId="0" fontId="28" fillId="0" borderId="7" xfId="3" applyFont="1" applyBorder="1" applyAlignment="1">
      <alignment horizontal="center" vertical="center" wrapText="1"/>
    </xf>
    <xf numFmtId="0" fontId="29" fillId="0" borderId="0" xfId="3" applyFont="1" applyAlignment="1">
      <alignment horizontal="center" vertical="center" wrapText="1"/>
    </xf>
    <xf numFmtId="168" fontId="26" fillId="0" borderId="7" xfId="0" applyNumberFormat="1" applyFont="1" applyBorder="1" applyAlignment="1">
      <alignment horizontal="center" vertical="center"/>
    </xf>
    <xf numFmtId="165" fontId="30" fillId="0" borderId="0" xfId="3" applyNumberFormat="1" applyFont="1" applyAlignment="1">
      <alignment horizontal="center" vertical="center"/>
    </xf>
    <xf numFmtId="167" fontId="15" fillId="0" borderId="0" xfId="3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167" fontId="20" fillId="0" borderId="3" xfId="3" applyNumberFormat="1" applyFont="1" applyBorder="1" applyAlignment="1">
      <alignment horizontal="center" vertical="center" wrapText="1"/>
    </xf>
    <xf numFmtId="0" fontId="24" fillId="0" borderId="0" xfId="3" applyFont="1" applyAlignment="1">
      <alignment horizontal="center" vertical="center"/>
    </xf>
    <xf numFmtId="49" fontId="18" fillId="0" borderId="8" xfId="3" applyNumberFormat="1" applyFont="1" applyBorder="1" applyAlignment="1">
      <alignment horizontal="left" vertical="center"/>
    </xf>
    <xf numFmtId="1" fontId="23" fillId="5" borderId="8" xfId="2" applyNumberFormat="1" applyFont="1" applyFill="1" applyBorder="1" applyAlignment="1">
      <alignment horizontal="center" vertical="center"/>
    </xf>
    <xf numFmtId="166" fontId="24" fillId="0" borderId="8" xfId="3" applyNumberFormat="1" applyFont="1" applyBorder="1" applyAlignment="1">
      <alignment horizontal="center" vertical="center"/>
    </xf>
    <xf numFmtId="49" fontId="32" fillId="6" borderId="7" xfId="0" applyNumberFormat="1" applyFont="1" applyFill="1" applyBorder="1" applyAlignment="1">
      <alignment horizontal="center" vertical="center" wrapText="1"/>
    </xf>
    <xf numFmtId="49" fontId="26" fillId="0" borderId="7" xfId="3" applyNumberFormat="1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167" fontId="15" fillId="0" borderId="7" xfId="3" applyNumberFormat="1" applyFont="1" applyBorder="1" applyAlignment="1">
      <alignment horizontal="center" vertical="center"/>
    </xf>
    <xf numFmtId="49" fontId="34" fillId="0" borderId="7" xfId="3" applyNumberFormat="1" applyFont="1" applyBorder="1" applyAlignment="1">
      <alignment horizontal="left" vertical="center" wrapText="1"/>
    </xf>
    <xf numFmtId="1" fontId="15" fillId="0" borderId="7" xfId="3" applyNumberFormat="1" applyFont="1" applyBorder="1" applyAlignment="1">
      <alignment horizontal="center" vertical="center"/>
    </xf>
    <xf numFmtId="0" fontId="15" fillId="0" borderId="7" xfId="3" applyFont="1" applyBorder="1" applyAlignment="1">
      <alignment horizontal="center" vertical="center"/>
    </xf>
    <xf numFmtId="49" fontId="17" fillId="0" borderId="0" xfId="3" applyNumberFormat="1" applyFont="1" applyAlignment="1">
      <alignment horizontal="center" vertical="center" wrapText="1"/>
    </xf>
    <xf numFmtId="49" fontId="18" fillId="0" borderId="0" xfId="3" applyNumberFormat="1" applyFont="1" applyAlignment="1">
      <alignment horizontal="center" vertical="center"/>
    </xf>
    <xf numFmtId="0" fontId="35" fillId="7" borderId="0" xfId="3" applyFont="1" applyFill="1" applyAlignment="1">
      <alignment horizontal="center" vertical="center" wrapText="1"/>
    </xf>
    <xf numFmtId="0" fontId="35" fillId="0" borderId="0" xfId="3" applyFont="1" applyAlignment="1">
      <alignment horizontal="center" vertical="center"/>
    </xf>
    <xf numFmtId="49" fontId="15" fillId="0" borderId="7" xfId="3" applyNumberFormat="1" applyFont="1" applyBorder="1" applyAlignment="1">
      <alignment horizontal="center" vertical="center"/>
    </xf>
    <xf numFmtId="49" fontId="15" fillId="0" borderId="7" xfId="3" applyNumberFormat="1" applyFont="1" applyBorder="1" applyAlignment="1">
      <alignment horizontal="left" vertical="center" wrapText="1"/>
    </xf>
    <xf numFmtId="165" fontId="17" fillId="0" borderId="7" xfId="3" applyNumberFormat="1" applyFont="1" applyBorder="1" applyAlignment="1">
      <alignment horizontal="center" vertical="center"/>
    </xf>
    <xf numFmtId="0" fontId="24" fillId="7" borderId="0" xfId="3" applyFont="1" applyFill="1" applyAlignment="1">
      <alignment horizontal="center" vertical="center" wrapText="1"/>
    </xf>
    <xf numFmtId="0" fontId="36" fillId="0" borderId="7" xfId="0" applyFont="1" applyBorder="1" applyAlignment="1">
      <alignment horizontal="center" vertical="center"/>
    </xf>
    <xf numFmtId="49" fontId="37" fillId="0" borderId="7" xfId="3" applyNumberFormat="1" applyFont="1" applyBorder="1" applyAlignment="1">
      <alignment horizontal="left" vertical="center" wrapText="1"/>
    </xf>
    <xf numFmtId="0" fontId="16" fillId="0" borderId="7" xfId="3" applyFont="1" applyBorder="1" applyAlignment="1">
      <alignment horizontal="center" vertical="center"/>
    </xf>
    <xf numFmtId="169" fontId="15" fillId="0" borderId="0" xfId="3" applyNumberFormat="1" applyFont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 wrapText="1"/>
    </xf>
    <xf numFmtId="169" fontId="27" fillId="0" borderId="7" xfId="3" applyNumberFormat="1" applyFont="1" applyBorder="1" applyAlignment="1">
      <alignment horizontal="center" vertical="center" wrapText="1"/>
    </xf>
    <xf numFmtId="169" fontId="15" fillId="0" borderId="7" xfId="3" applyNumberFormat="1" applyFont="1" applyBorder="1" applyAlignment="1">
      <alignment horizontal="center" vertical="center"/>
    </xf>
    <xf numFmtId="1" fontId="24" fillId="0" borderId="7" xfId="3" applyNumberFormat="1" applyFont="1" applyBorder="1" applyAlignment="1">
      <alignment horizontal="center" vertical="center"/>
    </xf>
    <xf numFmtId="168" fontId="27" fillId="0" borderId="7" xfId="0" applyNumberFormat="1" applyFont="1" applyBorder="1" applyAlignment="1">
      <alignment horizontal="center" vertical="center"/>
    </xf>
    <xf numFmtId="0" fontId="18" fillId="0" borderId="2" xfId="3" applyFont="1" applyBorder="1" applyAlignment="1">
      <alignment vertical="center"/>
    </xf>
    <xf numFmtId="0" fontId="18" fillId="0" borderId="3" xfId="3" applyFont="1" applyBorder="1" applyAlignment="1">
      <alignment vertical="center"/>
    </xf>
    <xf numFmtId="0" fontId="18" fillId="0" borderId="5" xfId="3" applyFont="1" applyBorder="1" applyAlignment="1">
      <alignment vertical="center"/>
    </xf>
    <xf numFmtId="0" fontId="18" fillId="0" borderId="0" xfId="3" applyFont="1" applyAlignment="1">
      <alignment vertical="center"/>
    </xf>
    <xf numFmtId="0" fontId="18" fillId="0" borderId="9" xfId="3" applyFont="1" applyBorder="1" applyAlignment="1">
      <alignment vertical="center"/>
    </xf>
    <xf numFmtId="0" fontId="18" fillId="0" borderId="8" xfId="3" applyFont="1" applyBorder="1" applyAlignment="1">
      <alignment vertical="center"/>
    </xf>
    <xf numFmtId="1" fontId="40" fillId="5" borderId="0" xfId="2" applyNumberFormat="1" applyFont="1" applyFill="1" applyAlignment="1">
      <alignment horizontal="center" vertical="center"/>
    </xf>
    <xf numFmtId="49" fontId="41" fillId="6" borderId="7" xfId="0" applyNumberFormat="1" applyFont="1" applyFill="1" applyBorder="1" applyAlignment="1">
      <alignment horizontal="center" vertical="center" wrapText="1"/>
    </xf>
    <xf numFmtId="1" fontId="42" fillId="0" borderId="7" xfId="3" applyNumberFormat="1" applyFont="1" applyBorder="1" applyAlignment="1">
      <alignment horizontal="center" vertical="center" wrapText="1"/>
    </xf>
    <xf numFmtId="1" fontId="43" fillId="0" borderId="0" xfId="3" applyNumberFormat="1" applyFont="1" applyAlignment="1">
      <alignment horizontal="center" vertical="center"/>
    </xf>
    <xf numFmtId="0" fontId="44" fillId="0" borderId="0" xfId="0" applyFont="1"/>
    <xf numFmtId="49" fontId="46" fillId="6" borderId="7" xfId="0" applyNumberFormat="1" applyFont="1" applyFill="1" applyBorder="1" applyAlignment="1">
      <alignment horizontal="center" vertical="center" wrapText="1"/>
    </xf>
    <xf numFmtId="0" fontId="47" fillId="0" borderId="0" xfId="3" applyFont="1" applyAlignment="1">
      <alignment horizontal="center" vertical="center"/>
    </xf>
    <xf numFmtId="0" fontId="47" fillId="7" borderId="0" xfId="3" applyFont="1" applyFill="1" applyAlignment="1">
      <alignment horizontal="center" vertical="center" wrapText="1"/>
    </xf>
    <xf numFmtId="0" fontId="49" fillId="8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0" fontId="14" fillId="10" borderId="0" xfId="0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0" fontId="14" fillId="11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4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50" fillId="0" borderId="0" xfId="0" applyFont="1" applyAlignment="1">
      <alignment vertical="center" wrapText="1"/>
    </xf>
    <xf numFmtId="49" fontId="21" fillId="5" borderId="4" xfId="3" applyNumberFormat="1" applyFont="1" applyFill="1" applyBorder="1" applyAlignment="1">
      <alignment horizontal="center" vertical="center" wrapText="1"/>
    </xf>
    <xf numFmtId="0" fontId="45" fillId="6" borderId="4" xfId="3" applyFont="1" applyFill="1" applyBorder="1" applyAlignment="1">
      <alignment horizontal="center" vertical="center" wrapText="1"/>
    </xf>
    <xf numFmtId="166" fontId="15" fillId="0" borderId="6" xfId="3" applyNumberFormat="1" applyFont="1" applyBorder="1" applyAlignment="1">
      <alignment horizontal="center" vertical="center"/>
    </xf>
    <xf numFmtId="0" fontId="0" fillId="0" borderId="0" xfId="0"/>
    <xf numFmtId="0" fontId="38" fillId="0" borderId="0" xfId="0" applyFont="1"/>
    <xf numFmtId="0" fontId="7" fillId="2" borderId="0" xfId="0" applyFont="1" applyFill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10" fillId="21" borderId="0" xfId="0" applyFont="1" applyFill="1" applyAlignment="1">
      <alignment horizontal="center" vertical="center"/>
    </xf>
    <xf numFmtId="0" fontId="10" fillId="19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2" fillId="6" borderId="4" xfId="3" applyFont="1" applyFill="1" applyBorder="1" applyAlignment="1">
      <alignment horizontal="center" vertical="center" wrapText="1"/>
    </xf>
    <xf numFmtId="0" fontId="39" fillId="0" borderId="2" xfId="3" applyFont="1" applyBorder="1" applyAlignment="1">
      <alignment horizontal="center" vertical="center" wrapText="1"/>
    </xf>
    <xf numFmtId="0" fontId="39" fillId="0" borderId="3" xfId="3" applyFont="1" applyBorder="1" applyAlignment="1">
      <alignment horizontal="center" vertical="center" wrapText="1"/>
    </xf>
    <xf numFmtId="0" fontId="39" fillId="0" borderId="5" xfId="3" applyFont="1" applyBorder="1" applyAlignment="1">
      <alignment horizontal="center" vertical="center" wrapText="1"/>
    </xf>
    <xf numFmtId="0" fontId="39" fillId="0" borderId="0" xfId="3" applyFont="1" applyAlignment="1">
      <alignment horizontal="center" vertical="center" wrapText="1"/>
    </xf>
    <xf numFmtId="0" fontId="39" fillId="0" borderId="9" xfId="3" applyFont="1" applyBorder="1" applyAlignment="1">
      <alignment horizontal="center" vertical="center" wrapText="1"/>
    </xf>
    <xf numFmtId="0" fontId="39" fillId="0" borderId="8" xfId="3" applyFont="1" applyBorder="1" applyAlignment="1">
      <alignment horizontal="center" vertical="center" wrapText="1"/>
    </xf>
    <xf numFmtId="49" fontId="21" fillId="5" borderId="3" xfId="3" applyNumberFormat="1" applyFont="1" applyFill="1" applyBorder="1" applyAlignment="1">
      <alignment horizontal="center" vertical="center" wrapText="1"/>
    </xf>
    <xf numFmtId="0" fontId="45" fillId="6" borderId="0" xfId="3" applyFont="1" applyFill="1" applyAlignment="1">
      <alignment horizontal="center" vertical="center" wrapText="1"/>
    </xf>
    <xf numFmtId="166" fontId="15" fillId="0" borderId="8" xfId="3" applyNumberFormat="1" applyFont="1" applyBorder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19" fillId="0" borderId="5" xfId="3" applyFont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19" fillId="0" borderId="9" xfId="3" applyFont="1" applyBorder="1" applyAlignment="1">
      <alignment horizontal="center" vertical="center"/>
    </xf>
    <xf numFmtId="0" fontId="19" fillId="0" borderId="8" xfId="3" applyFont="1" applyBorder="1" applyAlignment="1">
      <alignment horizontal="center" vertical="center"/>
    </xf>
    <xf numFmtId="0" fontId="18" fillId="0" borderId="2" xfId="3" applyFont="1" applyBorder="1" applyAlignment="1">
      <alignment horizontal="center" vertical="center"/>
    </xf>
    <xf numFmtId="0" fontId="18" fillId="0" borderId="3" xfId="3" applyFont="1" applyBorder="1" applyAlignment="1">
      <alignment horizontal="center" vertical="center"/>
    </xf>
    <xf numFmtId="0" fontId="18" fillId="0" borderId="5" xfId="3" applyFont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48" fillId="6" borderId="4" xfId="3" applyFont="1" applyFill="1" applyBorder="1" applyAlignment="1">
      <alignment horizontal="center" vertical="center" wrapText="1"/>
    </xf>
  </cellXfs>
  <cellStyles count="11">
    <cellStyle name="Hyperlink 1" xfId="1" xr:uid="{00000000-0005-0000-0000-000006000000}"/>
    <cellStyle name="Hyperlink 2" xfId="2" xr:uid="{00000000-0005-0000-0000-000007000000}"/>
    <cellStyle name="Normal" xfId="0" builtinId="0"/>
    <cellStyle name="Normal 2" xfId="3" xr:uid="{00000000-0005-0000-0000-000008000000}"/>
    <cellStyle name="Normal 2 2" xfId="4" xr:uid="{00000000-0005-0000-0000-000009000000}"/>
    <cellStyle name="Normal 2 3" xfId="5" xr:uid="{00000000-0005-0000-0000-00000A000000}"/>
    <cellStyle name="Normal 3" xfId="6" xr:uid="{00000000-0005-0000-0000-00000B000000}"/>
    <cellStyle name="Normal 3 2" xfId="7" xr:uid="{00000000-0005-0000-0000-00000C000000}"/>
    <cellStyle name="Normal 5" xfId="8" xr:uid="{00000000-0005-0000-0000-00000D000000}"/>
    <cellStyle name="Percent 2" xfId="9" xr:uid="{00000000-0005-0000-0000-00000E000000}"/>
    <cellStyle name="Percent 3" xfId="10" xr:uid="{00000000-0005-0000-0000-00000F000000}"/>
  </cellStyles>
  <dxfs count="43"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D9EAD3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E0000"/>
      <rgbColor rgb="FF006100"/>
      <rgbColor rgb="FF000080"/>
      <rgbColor rgb="FF808000"/>
      <rgbColor rgb="FF800080"/>
      <rgbColor rgb="FF008080"/>
      <rgbColor rgb="FFD0CECE"/>
      <rgbColor rgb="FF808080"/>
      <rgbColor rgb="FF8FAADC"/>
      <rgbColor rgb="FF993366"/>
      <rgbColor rgb="FFE7E6E6"/>
      <rgbColor rgb="FFD9EAF7"/>
      <rgbColor rgb="FF660066"/>
      <rgbColor rgb="FFFF8080"/>
      <rgbColor rgb="FF0563C1"/>
      <rgbColor rgb="FFB4C6E7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CCFF"/>
      <rgbColor rgb="FFCCFFFF"/>
      <rgbColor rgb="FFD9EAD3"/>
      <rgbColor rgb="FFFFFF99"/>
      <rgbColor rgb="FF99CCFF"/>
      <rgbColor rgb="FFFFC7CE"/>
      <rgbColor rgb="FFCC99FF"/>
      <rgbColor rgb="FFF4CCCC"/>
      <rgbColor rgb="FF4472C4"/>
      <rgbColor rgb="FF33CCCC"/>
      <rgbColor rgb="FF99CC00"/>
      <rgbColor rgb="FFFFCC00"/>
      <rgbColor rgb="FFFF9900"/>
      <rgbColor rgb="FFE74C3C"/>
      <rgbColor rgb="FF666666"/>
      <rgbColor rgb="FF70AD47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>
                <a:effectLst/>
              </a:rPr>
              <a:t>Discipline Overview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Dashboard!$A$11:$A$17</c:f>
              <c:strCache>
                <c:ptCount val="7"/>
                <c:pt idx="0">
                  <c:v>GN</c:v>
                </c:pt>
                <c:pt idx="1">
                  <c:v>ST</c:v>
                </c:pt>
                <c:pt idx="2">
                  <c:v>AR</c:v>
                </c:pt>
                <c:pt idx="3">
                  <c:v>EL</c:v>
                </c:pt>
                <c:pt idx="4">
                  <c:v>ME</c:v>
                </c:pt>
                <c:pt idx="5">
                  <c:v>Telecom</c:v>
                </c:pt>
                <c:pt idx="6">
                  <c:v>GRAND TOTAL</c:v>
                </c:pt>
              </c:strCache>
            </c:strRef>
          </c:cat>
          <c:val>
            <c:numRef>
              <c:f>Dashboard!$B$11:$B$17</c:f>
              <c:numCache>
                <c:formatCode>General</c:formatCode>
                <c:ptCount val="7"/>
                <c:pt idx="0">
                  <c:v>14</c:v>
                </c:pt>
                <c:pt idx="1">
                  <c:v>963</c:v>
                </c:pt>
                <c:pt idx="2">
                  <c:v>56</c:v>
                </c:pt>
                <c:pt idx="3">
                  <c:v>352</c:v>
                </c:pt>
                <c:pt idx="4">
                  <c:v>303</c:v>
                </c:pt>
                <c:pt idx="5">
                  <c:v>21</c:v>
                </c:pt>
                <c:pt idx="6">
                  <c:v>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4-4B81-BD79-51E9AEBEDF02}"/>
            </c:ext>
          </c:extLst>
        </c:ser>
        <c:ser>
          <c:idx val="1"/>
          <c:order val="1"/>
          <c:tx>
            <c:strRef>
              <c:f>Dashboard!$C$10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Dashboard!$A$11:$A$17</c:f>
              <c:strCache>
                <c:ptCount val="7"/>
                <c:pt idx="0">
                  <c:v>GN</c:v>
                </c:pt>
                <c:pt idx="1">
                  <c:v>ST</c:v>
                </c:pt>
                <c:pt idx="2">
                  <c:v>AR</c:v>
                </c:pt>
                <c:pt idx="3">
                  <c:v>EL</c:v>
                </c:pt>
                <c:pt idx="4">
                  <c:v>ME</c:v>
                </c:pt>
                <c:pt idx="5">
                  <c:v>Telecom</c:v>
                </c:pt>
                <c:pt idx="6">
                  <c:v>GRAND TOTAL</c:v>
                </c:pt>
              </c:strCache>
            </c:strRef>
          </c:cat>
          <c:val>
            <c:numRef>
              <c:f>Dashboard!$C$11:$C$17</c:f>
              <c:numCache>
                <c:formatCode>General</c:formatCode>
                <c:ptCount val="7"/>
                <c:pt idx="0">
                  <c:v>3</c:v>
                </c:pt>
                <c:pt idx="1">
                  <c:v>36</c:v>
                </c:pt>
                <c:pt idx="2">
                  <c:v>6</c:v>
                </c:pt>
                <c:pt idx="3">
                  <c:v>22</c:v>
                </c:pt>
                <c:pt idx="4">
                  <c:v>25</c:v>
                </c:pt>
                <c:pt idx="5">
                  <c:v>3</c:v>
                </c:pt>
                <c:pt idx="6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4-4B81-BD79-51E9AEBEDF02}"/>
            </c:ext>
          </c:extLst>
        </c:ser>
        <c:ser>
          <c:idx val="2"/>
          <c:order val="2"/>
          <c:tx>
            <c:strRef>
              <c:f>Dashboard!$D$10</c:f>
              <c:strCache>
                <c:ptCount val="1"/>
                <c:pt idx="0">
                  <c:v>Responded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Dashboard!$A$11:$A$17</c:f>
              <c:strCache>
                <c:ptCount val="7"/>
                <c:pt idx="0">
                  <c:v>GN</c:v>
                </c:pt>
                <c:pt idx="1">
                  <c:v>ST</c:v>
                </c:pt>
                <c:pt idx="2">
                  <c:v>AR</c:v>
                </c:pt>
                <c:pt idx="3">
                  <c:v>EL</c:v>
                </c:pt>
                <c:pt idx="4">
                  <c:v>ME</c:v>
                </c:pt>
                <c:pt idx="5">
                  <c:v>Telecom</c:v>
                </c:pt>
                <c:pt idx="6">
                  <c:v>GRAND TOTAL</c:v>
                </c:pt>
              </c:strCache>
            </c:strRef>
          </c:cat>
          <c:val>
            <c:numRef>
              <c:f>Dashboard!$D$11:$D$17</c:f>
              <c:numCache>
                <c:formatCode>General</c:formatCode>
                <c:ptCount val="7"/>
                <c:pt idx="0">
                  <c:v>11</c:v>
                </c:pt>
                <c:pt idx="1">
                  <c:v>927</c:v>
                </c:pt>
                <c:pt idx="2">
                  <c:v>50</c:v>
                </c:pt>
                <c:pt idx="3">
                  <c:v>330</c:v>
                </c:pt>
                <c:pt idx="4">
                  <c:v>278</c:v>
                </c:pt>
                <c:pt idx="5">
                  <c:v>18</c:v>
                </c:pt>
                <c:pt idx="6">
                  <c:v>1614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A4-4B81-BD79-51E9AEBED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524938383"/>
        <c:axId val="567009903"/>
        <c:axId val="0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Dashboard!$E$10</c15:sqref>
                        </c15:formulaRef>
                      </c:ext>
                    </c:extLst>
                    <c:strCache>
                      <c:ptCount val="1"/>
                      <c:pt idx="0">
                        <c:v>Response Rate</c:v>
                      </c:pt>
                    </c:strCache>
                  </c:strRef>
                </c:tx>
                <c:spPr>
                  <a:solidFill>
                    <a:schemeClr val="accent4">
                      <a:alpha val="85000"/>
                    </a:schemeClr>
                  </a:solidFill>
                  <a:ln w="9525" cap="flat" cmpd="sng" algn="ctr">
                    <a:solidFill>
                      <a:schemeClr val="accent4">
                        <a:lumMod val="75000"/>
                      </a:schemeClr>
                    </a:solidFill>
                    <a:round/>
                  </a:ln>
                  <a:effectLst/>
                  <a:sp3d contourW="9525">
                    <a:contourClr>
                      <a:schemeClr val="accent4">
                        <a:lumMod val="75000"/>
                      </a:schemeClr>
                    </a:contourClr>
                  </a:sp3d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Dashboard!$A$11:$A$17</c15:sqref>
                        </c15:formulaRef>
                      </c:ext>
                    </c:extLst>
                    <c:strCache>
                      <c:ptCount val="7"/>
                      <c:pt idx="0">
                        <c:v>GN</c:v>
                      </c:pt>
                      <c:pt idx="1">
                        <c:v>ST</c:v>
                      </c:pt>
                      <c:pt idx="2">
                        <c:v>AR</c:v>
                      </c:pt>
                      <c:pt idx="3">
                        <c:v>EL</c:v>
                      </c:pt>
                      <c:pt idx="4">
                        <c:v>ME</c:v>
                      </c:pt>
                      <c:pt idx="5">
                        <c:v>Telecom</c:v>
                      </c:pt>
                      <c:pt idx="6">
                        <c:v>GRAND TOTAL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Dashboard!$E$11:$E$17</c15:sqref>
                        </c15:formulaRef>
                      </c:ext>
                    </c:extLst>
                    <c:numCache>
                      <c:formatCode>0.0%</c:formatCode>
                      <c:ptCount val="7"/>
                      <c:pt idx="0">
                        <c:v>0.7857142857142857</c:v>
                      </c:pt>
                      <c:pt idx="1">
                        <c:v>0.96261682242990654</c:v>
                      </c:pt>
                      <c:pt idx="2">
                        <c:v>0.8928571428571429</c:v>
                      </c:pt>
                      <c:pt idx="3">
                        <c:v>0.9375</c:v>
                      </c:pt>
                      <c:pt idx="4">
                        <c:v>0.91749174917491749</c:v>
                      </c:pt>
                      <c:pt idx="5">
                        <c:v>0.8571428571428571</c:v>
                      </c:pt>
                      <c:pt idx="6">
                        <c:v>0.94441193680514923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7A4-4B81-BD79-51E9AEBEDF02}"/>
                  </c:ext>
                </c:extLst>
              </c15:ser>
            </c15:filteredBarSeries>
          </c:ext>
        </c:extLst>
      </c:bar3DChart>
      <c:catAx>
        <c:axId val="52493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009903"/>
        <c:crosses val="autoZero"/>
        <c:auto val="1"/>
        <c:lblAlgn val="ctr"/>
        <c:lblOffset val="100"/>
        <c:noMultiLvlLbl val="0"/>
      </c:catAx>
      <c:valAx>
        <c:axId val="56700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93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>
                <a:effectLst/>
              </a:rPr>
              <a:t>Overall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114-41C6-BCEE-FD96750E81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114-41C6-BCEE-FD96750E81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114-41C6-BCEE-FD96750E814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(Dashboard!$A$5:$B$5,Dashboard!$D$5:$E$5,Dashboard!$G$5:$H$5)</c15:sqref>
                  </c15:fullRef>
                </c:ext>
              </c:extLst>
              <c:f>(Dashboard!$A$5,Dashboard!$D$5,Dashboard!$G$5)</c:f>
              <c:strCache>
                <c:ptCount val="3"/>
                <c:pt idx="0">
                  <c:v>TOTAL ITEMS</c:v>
                </c:pt>
                <c:pt idx="1">
                  <c:v>PENDING</c:v>
                </c:pt>
                <c:pt idx="2">
                  <c:v>RESPONDED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(Dashboard!$A$6:$B$6,Dashboard!$D$6:$E$6,Dashboard!$G$6:$H$6)</c15:sqref>
                  </c15:fullRef>
                </c:ext>
              </c:extLst>
              <c:f>(Dashboard!$A$6,Dashboard!$D$6,Dashboard!$G$6)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9D6F-4770-A08F-E05251F0CE4E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114-41C6-BCEE-FD96750E81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114-41C6-BCEE-FD96750E81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114-41C6-BCEE-FD96750E8145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(Dashboard!$A$5:$B$5,Dashboard!$D$5:$E$5,Dashboard!$G$5:$H$5)</c15:sqref>
                  </c15:fullRef>
                </c:ext>
              </c:extLst>
              <c:f>(Dashboard!$A$5,Dashboard!$D$5,Dashboard!$G$5)</c:f>
              <c:strCache>
                <c:ptCount val="3"/>
                <c:pt idx="0">
                  <c:v>TOTAL ITEMS</c:v>
                </c:pt>
                <c:pt idx="1">
                  <c:v>PENDING</c:v>
                </c:pt>
                <c:pt idx="2">
                  <c:v>RESPONDED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(Dashboard!$A$7:$B$7,Dashboard!$D$7:$E$7,Dashboard!$G$7:$H$7)</c15:sqref>
                  </c15:fullRef>
                </c:ext>
              </c:extLst>
              <c:f>(Dashboard!$A$7,Dashboard!$D$7,Dashboard!$G$7)</c:f>
              <c:numCache>
                <c:formatCode>General</c:formatCode>
                <c:ptCount val="3"/>
                <c:pt idx="0">
                  <c:v>1709</c:v>
                </c:pt>
                <c:pt idx="1">
                  <c:v>95</c:v>
                </c:pt>
                <c:pt idx="2">
                  <c:v>1614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1-9D6F-4770-A08F-E05251F0CE4E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114-41C6-BCEE-FD96750E81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F114-41C6-BCEE-FD96750E81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F114-41C6-BCEE-FD96750E8145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(Dashboard!$A$5:$B$5,Dashboard!$D$5:$E$5,Dashboard!$G$5:$H$5)</c15:sqref>
                  </c15:fullRef>
                </c:ext>
              </c:extLst>
              <c:f>(Dashboard!$A$5,Dashboard!$D$5,Dashboard!$G$5)</c:f>
              <c:strCache>
                <c:ptCount val="3"/>
                <c:pt idx="0">
                  <c:v>TOTAL ITEMS</c:v>
                </c:pt>
                <c:pt idx="1">
                  <c:v>PENDING</c:v>
                </c:pt>
                <c:pt idx="2">
                  <c:v>RESPONDED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(Dashboard!$A$8:$B$8,Dashboard!$D$8:$E$8,Dashboard!$G$8:$H$8)</c15:sqref>
                  </c15:fullRef>
                </c:ext>
              </c:extLst>
              <c:f>(Dashboard!$A$8,Dashboard!$D$8,Dashboard!$G$8)</c:f>
              <c:numCache>
                <c:formatCode>General</c:formatCode>
                <c:ptCount val="3"/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2-9D6F-4770-A08F-E05251F0CE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</xdr:colOff>
      <xdr:row>1</xdr:row>
      <xdr:rowOff>15503</xdr:rowOff>
    </xdr:from>
    <xdr:to>
      <xdr:col>13</xdr:col>
      <xdr:colOff>289560</xdr:colOff>
      <xdr:row>14</xdr:row>
      <xdr:rowOff>99132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6A3AC2-4198-B63B-8AD3-5D3DEB254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220981</xdr:colOff>
      <xdr:row>17</xdr:row>
      <xdr:rowOff>151489</xdr:rowOff>
    </xdr:from>
    <xdr:to>
      <xdr:col>13</xdr:col>
      <xdr:colOff>303063</xdr:colOff>
      <xdr:row>30</xdr:row>
      <xdr:rowOff>179319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925295-3FD4-8DD0-A694-857091CF7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4456440</xdr:colOff>
      <xdr:row>0</xdr:row>
      <xdr:rowOff>373320</xdr:rowOff>
    </xdr:from>
    <xdr:to>
      <xdr:col>6</xdr:col>
      <xdr:colOff>7675710</xdr:colOff>
      <xdr:row>0</xdr:row>
      <xdr:rowOff>1241490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768200" y="373320"/>
          <a:ext cx="3223080" cy="86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464040</xdr:colOff>
      <xdr:row>0</xdr:row>
      <xdr:rowOff>311040</xdr:rowOff>
    </xdr:from>
    <xdr:to>
      <xdr:col>6</xdr:col>
      <xdr:colOff>3869130</xdr:colOff>
      <xdr:row>0</xdr:row>
      <xdr:rowOff>1158270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9775800" y="311040"/>
          <a:ext cx="3401280" cy="851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13320</xdr:colOff>
      <xdr:row>0</xdr:row>
      <xdr:rowOff>271800</xdr:rowOff>
    </xdr:from>
    <xdr:to>
      <xdr:col>10</xdr:col>
      <xdr:colOff>743970</xdr:colOff>
      <xdr:row>0</xdr:row>
      <xdr:rowOff>1407960</xdr:rowOff>
    </xdr:to>
    <xdr:pic>
      <xdr:nvPicPr>
        <xdr:cNvPr id="5" name="/xl/media/image3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1730320" y="271800"/>
          <a:ext cx="3694680" cy="1136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8052480</xdr:colOff>
      <xdr:row>0</xdr:row>
      <xdr:rowOff>153000</xdr:rowOff>
    </xdr:from>
    <xdr:to>
      <xdr:col>7</xdr:col>
      <xdr:colOff>1618350</xdr:colOff>
      <xdr:row>0</xdr:row>
      <xdr:rowOff>1470090</xdr:rowOff>
    </xdr:to>
    <xdr:pic>
      <xdr:nvPicPr>
        <xdr:cNvPr id="7" name="/xl/media/image4.jp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17364240" y="153000"/>
          <a:ext cx="4236120" cy="1313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136072</xdr:colOff>
      <xdr:row>2</xdr:row>
      <xdr:rowOff>287927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69F9C0FB-4873-40DC-8794-005FD4ECAF91}"/>
            </a:ext>
          </a:extLst>
        </xdr:cNvPr>
        <xdr:cNvSpPr>
          <a:spLocks noGrp="1"/>
        </xdr:cNvSpPr>
      </xdr:nvSpPr>
      <xdr:spPr>
        <a:xfrm>
          <a:off x="0" y="0"/>
          <a:ext cx="8055429" cy="2583452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pPr>
            <a:buNone/>
          </a:pPr>
          <a:endParaRPr lang="en-US" sz="2400" b="0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>
            <a:buNone/>
          </a:pPr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Project Name:-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    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REH Wadi Yemm </a:t>
          </a:r>
          <a:r>
            <a:rPr sz="2400" b="1">
              <a:solidFill>
                <a:srgbClr val="FF0000"/>
              </a:solidFill>
              <a:latin typeface="+mn-lt"/>
              <a:ea typeface="+mn-lt"/>
              <a:cs typeface="+mn-lt"/>
            </a:rPr>
            <a:t>DP01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- Sea Town Center</a:t>
          </a:r>
          <a:endParaRPr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Location:-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Ras Al Hekma Cape, Egypt.</a:t>
          </a:r>
          <a:endParaRPr/>
        </a:p>
        <a:p>
          <a:r>
            <a:rPr sz="2400" b="0" i="0" u="sng">
              <a:solidFill>
                <a:schemeClr val="dk1"/>
              </a:solidFill>
              <a:latin typeface="+mn-lt"/>
              <a:ea typeface="+mn-lt"/>
              <a:cs typeface="+mn-lt"/>
            </a:rPr>
            <a:t>Employer:-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            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MoDon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.</a:t>
          </a:r>
          <a:endParaRPr/>
        </a:p>
        <a:p>
          <a:r>
            <a:rPr sz="2800" b="0" u="sng">
              <a:solidFill>
                <a:schemeClr val="dk1"/>
              </a:solidFill>
              <a:latin typeface="+mn-lt"/>
              <a:ea typeface="+mn-lt"/>
              <a:cs typeface="+mn-lt"/>
            </a:rPr>
            <a:t>Lead Consultant:-</a:t>
          </a:r>
          <a:r>
            <a:rPr sz="2800" b="0">
              <a:solidFill>
                <a:schemeClr val="dk1"/>
              </a:solidFill>
              <a:latin typeface="+mn-lt"/>
              <a:ea typeface="+mn-lt"/>
              <a:cs typeface="+mn-lt"/>
            </a:rPr>
            <a:t>    </a:t>
          </a:r>
          <a:r>
            <a:rPr sz="2800" b="0" u="sng">
              <a:solidFill>
                <a:schemeClr val="dk1"/>
              </a:solidFill>
              <a:latin typeface="+mn-lt"/>
              <a:ea typeface="+mn-lt"/>
              <a:cs typeface="+mn-lt"/>
            </a:rPr>
            <a:t>SHAKER &amp; ECG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4333035</xdr:colOff>
      <xdr:row>0</xdr:row>
      <xdr:rowOff>356708</xdr:rowOff>
    </xdr:from>
    <xdr:to>
      <xdr:col>6</xdr:col>
      <xdr:colOff>7146120</xdr:colOff>
      <xdr:row>0</xdr:row>
      <xdr:rowOff>1125368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845879" y="356708"/>
          <a:ext cx="2818800" cy="761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907687</xdr:colOff>
      <xdr:row>0</xdr:row>
      <xdr:rowOff>325537</xdr:rowOff>
    </xdr:from>
    <xdr:to>
      <xdr:col>10</xdr:col>
      <xdr:colOff>956309</xdr:colOff>
      <xdr:row>0</xdr:row>
      <xdr:rowOff>1236344</xdr:rowOff>
    </xdr:to>
    <xdr:pic>
      <xdr:nvPicPr>
        <xdr:cNvPr id="5" name="/xl/media/image3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9124250" y="325537"/>
          <a:ext cx="2715622" cy="905092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7760962</xdr:colOff>
      <xdr:row>0</xdr:row>
      <xdr:rowOff>109748</xdr:rowOff>
    </xdr:from>
    <xdr:to>
      <xdr:col>8</xdr:col>
      <xdr:colOff>206215</xdr:colOff>
      <xdr:row>0</xdr:row>
      <xdr:rowOff>1406828</xdr:rowOff>
    </xdr:to>
    <xdr:pic>
      <xdr:nvPicPr>
        <xdr:cNvPr id="7" name="/xl/media/image5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5273806" y="109748"/>
          <a:ext cx="3148972" cy="129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149679</xdr:colOff>
      <xdr:row>0</xdr:row>
      <xdr:rowOff>95251</xdr:rowOff>
    </xdr:from>
    <xdr:to>
      <xdr:col>5</xdr:col>
      <xdr:colOff>398282</xdr:colOff>
      <xdr:row>2</xdr:row>
      <xdr:rowOff>281940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4E6B1105-4A2B-4CFE-BDCD-435D91B9ECAF}"/>
            </a:ext>
          </a:extLst>
        </xdr:cNvPr>
        <xdr:cNvSpPr>
          <a:spLocks noGrp="1"/>
        </xdr:cNvSpPr>
      </xdr:nvSpPr>
      <xdr:spPr>
        <a:xfrm>
          <a:off x="149679" y="95251"/>
          <a:ext cx="7229203" cy="2476499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pPr>
            <a:buNone/>
          </a:pPr>
          <a:endParaRPr lang="en-US" sz="2400" b="0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>
            <a:buNone/>
          </a:pPr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Project Name:-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REH Wadi Yemm </a:t>
          </a:r>
          <a:r>
            <a:rPr sz="2000" b="1">
              <a:solidFill>
                <a:srgbClr val="FF0000"/>
              </a:solidFill>
              <a:latin typeface="+mn-lt"/>
              <a:ea typeface="+mn-lt"/>
              <a:cs typeface="+mn-lt"/>
            </a:rPr>
            <a:t>DP01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 - Sea Town Center</a:t>
          </a:r>
          <a:endParaRPr sz="1050"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Location:-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Ras Al Hekma Cape, Egypt.</a:t>
          </a:r>
          <a:endParaRPr sz="1050"/>
        </a:p>
        <a:p>
          <a:r>
            <a:rPr sz="2400" b="0" i="0" u="sng">
              <a:solidFill>
                <a:schemeClr val="dk1"/>
              </a:solidFill>
              <a:latin typeface="+mn-lt"/>
              <a:ea typeface="+mn-lt"/>
              <a:cs typeface="+mn-lt"/>
            </a:rPr>
            <a:t>Employer:-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         </a:t>
          </a:r>
          <a:r>
            <a:rPr lang="en-US"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</a:t>
          </a:r>
          <a:r>
            <a:rPr sz="2000" b="1">
              <a:solidFill>
                <a:schemeClr val="dk1"/>
              </a:solidFill>
              <a:latin typeface="+mn-lt"/>
              <a:ea typeface="+mn-lt"/>
              <a:cs typeface="+mn-lt"/>
            </a:rPr>
            <a:t>MoDon</a:t>
          </a:r>
          <a:endParaRPr sz="1050"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Lead Consultant:-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lang="en-US" sz="2400" b="0" baseline="0">
              <a:solidFill>
                <a:schemeClr val="dk1"/>
              </a:solidFill>
              <a:latin typeface="+mn-lt"/>
              <a:ea typeface="+mn-lt"/>
              <a:cs typeface="+mn-lt"/>
            </a:rPr>
            <a:t>  </a:t>
          </a:r>
          <a:r>
            <a:rPr sz="2000" b="0" u="sng">
              <a:solidFill>
                <a:schemeClr val="dk1"/>
              </a:solidFill>
              <a:latin typeface="+mn-lt"/>
              <a:ea typeface="+mn-lt"/>
              <a:cs typeface="+mn-lt"/>
            </a:rPr>
            <a:t>SHAKER &amp; ECG</a:t>
          </a:r>
          <a:endParaRPr/>
        </a:p>
      </xdr:txBody>
    </xdr:sp>
    <xdr:clientData/>
  </xdr:twoCellAnchor>
  <xdr:twoCellAnchor editAs="oneCell">
    <xdr:from>
      <xdr:col>6</xdr:col>
      <xdr:colOff>511969</xdr:colOff>
      <xdr:row>0</xdr:row>
      <xdr:rowOff>0</xdr:rowOff>
    </xdr:from>
    <xdr:to>
      <xdr:col>6</xdr:col>
      <xdr:colOff>3219926</xdr:colOff>
      <xdr:row>0</xdr:row>
      <xdr:rowOff>1317784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7FBCA8-67AD-43BA-8048-D4FD502B1954}"/>
            </a:ext>
          </a:extLst>
        </xdr:cNvPr>
        <xdr:cNvPicPr/>
      </xdr:nvPicPr>
      <xdr:blipFill>
        <a:blip xmlns:r="http://schemas.openxmlformats.org/officeDocument/2006/relationships" r:embed="rId4">
          <a:clrChange>
            <a:clrFrom>
              <a:srgbClr val="FAFFFF"/>
            </a:clrFrom>
            <a:clrTo>
              <a:srgbClr val="FA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5900"/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024813" y="0"/>
          <a:ext cx="2707957" cy="1317784"/>
        </a:xfrm>
        <a:prstGeom prst="rect">
          <a:avLst/>
        </a:prstGeom>
        <a:solidFill>
          <a:srgbClr val="FFFFFF">
            <a:shade val="85000"/>
          </a:srgbClr>
        </a:solidFill>
        <a:ln w="12700" cap="sq">
          <a:noFill/>
          <a:miter lim="800000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4372856</xdr:colOff>
      <xdr:row>0</xdr:row>
      <xdr:rowOff>519253</xdr:rowOff>
    </xdr:from>
    <xdr:to>
      <xdr:col>6</xdr:col>
      <xdr:colOff>7146566</xdr:colOff>
      <xdr:row>0</xdr:row>
      <xdr:rowOff>1125898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169749" y="519253"/>
          <a:ext cx="2766090" cy="612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635982</xdr:colOff>
      <xdr:row>0</xdr:row>
      <xdr:rowOff>431617</xdr:rowOff>
    </xdr:from>
    <xdr:to>
      <xdr:col>10</xdr:col>
      <xdr:colOff>435158</xdr:colOff>
      <xdr:row>0</xdr:row>
      <xdr:rowOff>1298647</xdr:rowOff>
    </xdr:to>
    <xdr:pic>
      <xdr:nvPicPr>
        <xdr:cNvPr id="5" name="/xl/media/image3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8855946" y="431617"/>
          <a:ext cx="2470258" cy="86703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7768399</xdr:colOff>
      <xdr:row>0</xdr:row>
      <xdr:rowOff>363519</xdr:rowOff>
    </xdr:from>
    <xdr:to>
      <xdr:col>8</xdr:col>
      <xdr:colOff>249094</xdr:colOff>
      <xdr:row>0</xdr:row>
      <xdr:rowOff>1334439</xdr:rowOff>
    </xdr:to>
    <xdr:pic>
      <xdr:nvPicPr>
        <xdr:cNvPr id="7" name="/xl/media/image4.jp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5565292" y="363519"/>
          <a:ext cx="2896146" cy="970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</xdr:colOff>
      <xdr:row>0</xdr:row>
      <xdr:rowOff>66131</xdr:rowOff>
    </xdr:from>
    <xdr:to>
      <xdr:col>4</xdr:col>
      <xdr:colOff>1961198</xdr:colOff>
      <xdr:row>2</xdr:row>
      <xdr:rowOff>60416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FFEC2B22-31DA-479D-A1FB-C0A6BED233A2}"/>
            </a:ext>
          </a:extLst>
        </xdr:cNvPr>
        <xdr:cNvSpPr>
          <a:spLocks noGrp="1"/>
        </xdr:cNvSpPr>
      </xdr:nvSpPr>
      <xdr:spPr>
        <a:xfrm>
          <a:off x="1" y="66131"/>
          <a:ext cx="7048500" cy="2720816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pPr>
            <a:buNone/>
          </a:pPr>
          <a:endParaRPr lang="en-US" sz="2800" b="0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>
            <a:buNone/>
          </a:pPr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Project Name:-</a:t>
          </a:r>
          <a:r>
            <a:rPr lang="en-US" sz="2400" b="1" u="none" baseline="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REH Wadi Yemm </a:t>
          </a:r>
          <a:r>
            <a:rPr sz="2000" b="1">
              <a:solidFill>
                <a:srgbClr val="FF0000"/>
              </a:solidFill>
              <a:latin typeface="+mn-lt"/>
              <a:ea typeface="+mn-lt"/>
              <a:cs typeface="+mn-lt"/>
            </a:rPr>
            <a:t>DP01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 - Sea Town Center</a:t>
          </a:r>
          <a:endParaRPr sz="1050"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Location:-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Ras Al Hekma Cape, Egypt.</a:t>
          </a:r>
          <a:endParaRPr sz="1050"/>
        </a:p>
        <a:p>
          <a:r>
            <a:rPr sz="2400" b="0" i="0" u="sng">
              <a:solidFill>
                <a:schemeClr val="dk1"/>
              </a:solidFill>
              <a:latin typeface="+mn-lt"/>
              <a:ea typeface="+mn-lt"/>
              <a:cs typeface="+mn-lt"/>
            </a:rPr>
            <a:t>Employer:-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          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MoDon</a:t>
          </a:r>
          <a:endParaRPr sz="1100"/>
        </a:p>
        <a:p>
          <a:r>
            <a:rPr sz="2000" b="0" u="sng">
              <a:solidFill>
                <a:schemeClr val="dk1"/>
              </a:solidFill>
              <a:latin typeface="+mn-lt"/>
              <a:ea typeface="+mn-lt"/>
              <a:cs typeface="+mn-lt"/>
            </a:rPr>
            <a:t>Lead Consultant:-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    </a:t>
          </a:r>
          <a:r>
            <a:rPr sz="2000" b="0" u="sng">
              <a:solidFill>
                <a:schemeClr val="dk1"/>
              </a:solidFill>
              <a:latin typeface="+mn-lt"/>
              <a:ea typeface="+mn-lt"/>
              <a:cs typeface="+mn-lt"/>
            </a:rPr>
            <a:t>SHAKER &amp; ECG</a:t>
          </a:r>
          <a:endParaRPr sz="1200"/>
        </a:p>
      </xdr:txBody>
    </xdr:sp>
    <xdr:clientData/>
  </xdr:twoCellAnchor>
  <xdr:twoCellAnchor editAs="oneCell">
    <xdr:from>
      <xdr:col>6</xdr:col>
      <xdr:colOff>571500</xdr:colOff>
      <xdr:row>0</xdr:row>
      <xdr:rowOff>118655</xdr:rowOff>
    </xdr:from>
    <xdr:to>
      <xdr:col>6</xdr:col>
      <xdr:colOff>3641135</xdr:colOff>
      <xdr:row>0</xdr:row>
      <xdr:rowOff>1312273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3321B42-162A-462D-AE63-89B34699AAA2}"/>
            </a:ext>
          </a:extLst>
        </xdr:cNvPr>
        <xdr:cNvPicPr/>
      </xdr:nvPicPr>
      <xdr:blipFill>
        <a:blip xmlns:r="http://schemas.openxmlformats.org/officeDocument/2006/relationships" r:embed="rId4">
          <a:clrChange>
            <a:clrFrom>
              <a:srgbClr val="FAFFFF"/>
            </a:clrFrom>
            <a:clrTo>
              <a:srgbClr val="FA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5900"/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368393" y="118655"/>
          <a:ext cx="3062015" cy="1201238"/>
        </a:xfrm>
        <a:prstGeom prst="rect">
          <a:avLst/>
        </a:prstGeom>
        <a:solidFill>
          <a:srgbClr val="FFFFFF">
            <a:shade val="85000"/>
          </a:srgbClr>
        </a:solidFill>
        <a:ln w="12700" cap="sq">
          <a:noFill/>
          <a:miter lim="800000"/>
        </a:ln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4863874</xdr:colOff>
      <xdr:row>0</xdr:row>
      <xdr:rowOff>348695</xdr:rowOff>
    </xdr:from>
    <xdr:to>
      <xdr:col>6</xdr:col>
      <xdr:colOff>8873762</xdr:colOff>
      <xdr:row>0</xdr:row>
      <xdr:rowOff>1318115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756017" y="348695"/>
          <a:ext cx="4009888" cy="977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7</xdr:col>
      <xdr:colOff>1050480</xdr:colOff>
      <xdr:row>0</xdr:row>
      <xdr:rowOff>241200</xdr:rowOff>
    </xdr:from>
    <xdr:to>
      <xdr:col>10</xdr:col>
      <xdr:colOff>515511</xdr:colOff>
      <xdr:row>0</xdr:row>
      <xdr:rowOff>1429050</xdr:rowOff>
    </xdr:to>
    <xdr:pic>
      <xdr:nvPicPr>
        <xdr:cNvPr id="5" name="/xl/media/image3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3347080" y="241200"/>
          <a:ext cx="3678120" cy="118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9554898</xdr:colOff>
      <xdr:row>0</xdr:row>
      <xdr:rowOff>337315</xdr:rowOff>
    </xdr:from>
    <xdr:to>
      <xdr:col>7</xdr:col>
      <xdr:colOff>707572</xdr:colOff>
      <xdr:row>0</xdr:row>
      <xdr:rowOff>1430926</xdr:rowOff>
    </xdr:to>
    <xdr:pic>
      <xdr:nvPicPr>
        <xdr:cNvPr id="7" name="/xl/media/image4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7447041" y="337315"/>
          <a:ext cx="3467138" cy="1101231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</xdr:colOff>
      <xdr:row>0</xdr:row>
      <xdr:rowOff>0</xdr:rowOff>
    </xdr:from>
    <xdr:to>
      <xdr:col>5</xdr:col>
      <xdr:colOff>721179</xdr:colOff>
      <xdr:row>2</xdr:row>
      <xdr:rowOff>211628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79810D6A-9CB7-4760-A1E4-E4541EC8BC3B}"/>
            </a:ext>
          </a:extLst>
        </xdr:cNvPr>
        <xdr:cNvSpPr>
          <a:spLocks noGrp="1"/>
        </xdr:cNvSpPr>
      </xdr:nvSpPr>
      <xdr:spPr>
        <a:xfrm>
          <a:off x="1" y="0"/>
          <a:ext cx="7647214" cy="2497628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pPr>
            <a:buNone/>
          </a:pPr>
          <a:endParaRPr lang="en-US" sz="2400" b="0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>
            <a:buNone/>
          </a:pPr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Project Name:-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    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REH Wadi Yemm </a:t>
          </a:r>
          <a:r>
            <a:rPr sz="2400" b="1">
              <a:solidFill>
                <a:srgbClr val="FF0000"/>
              </a:solidFill>
              <a:latin typeface="+mn-lt"/>
              <a:ea typeface="+mn-lt"/>
              <a:cs typeface="+mn-lt"/>
            </a:rPr>
            <a:t>DP01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- Sea Town Center</a:t>
          </a:r>
          <a:endParaRPr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Location:-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Ras Al Hekma Cape, Egypt.</a:t>
          </a:r>
          <a:endParaRPr/>
        </a:p>
        <a:p>
          <a:r>
            <a:rPr sz="2400" b="0" i="0" u="sng">
              <a:solidFill>
                <a:schemeClr val="dk1"/>
              </a:solidFill>
              <a:latin typeface="+mn-lt"/>
              <a:ea typeface="+mn-lt"/>
              <a:cs typeface="+mn-lt"/>
            </a:rPr>
            <a:t>Employer:-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           </a:t>
          </a:r>
          <a:r>
            <a:rPr lang="en-US" sz="2400" b="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MoDon</a:t>
          </a:r>
          <a:endParaRPr/>
        </a:p>
        <a:p>
          <a:r>
            <a:rPr sz="2800" b="0" u="sng">
              <a:solidFill>
                <a:schemeClr val="dk1"/>
              </a:solidFill>
              <a:latin typeface="+mn-lt"/>
              <a:ea typeface="+mn-lt"/>
              <a:cs typeface="+mn-lt"/>
            </a:rPr>
            <a:t>Lead Consultant:-</a:t>
          </a:r>
          <a:r>
            <a:rPr sz="2800" b="0">
              <a:solidFill>
                <a:schemeClr val="dk1"/>
              </a:solidFill>
              <a:latin typeface="+mn-lt"/>
              <a:ea typeface="+mn-lt"/>
              <a:cs typeface="+mn-lt"/>
            </a:rPr>
            <a:t>  </a:t>
          </a:r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SHAKER &amp; ECG</a:t>
          </a:r>
          <a:endParaRPr/>
        </a:p>
      </xdr:txBody>
    </xdr:sp>
    <xdr:clientData/>
  </xdr:twoCellAnchor>
  <xdr:twoCellAnchor editAs="oneCell">
    <xdr:from>
      <xdr:col>6</xdr:col>
      <xdr:colOff>396875</xdr:colOff>
      <xdr:row>0</xdr:row>
      <xdr:rowOff>190500</xdr:rowOff>
    </xdr:from>
    <xdr:to>
      <xdr:col>6</xdr:col>
      <xdr:colOff>4400550</xdr:colOff>
      <xdr:row>0</xdr:row>
      <xdr:rowOff>1390650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2559431-120D-4848-9048-C90D16EAD518}"/>
            </a:ext>
          </a:extLst>
        </xdr:cNvPr>
        <xdr:cNvPicPr/>
      </xdr:nvPicPr>
      <xdr:blipFill>
        <a:blip xmlns:r="http://schemas.openxmlformats.org/officeDocument/2006/relationships" r:embed="rId4">
          <a:clrChange>
            <a:clrFrom>
              <a:srgbClr val="FAFFFF"/>
            </a:clrFrom>
            <a:clrTo>
              <a:srgbClr val="FA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5900"/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096250" y="190500"/>
          <a:ext cx="3990340" cy="1196340"/>
        </a:xfrm>
        <a:prstGeom prst="rect">
          <a:avLst/>
        </a:prstGeom>
        <a:solidFill>
          <a:srgbClr val="FFFFFF">
            <a:shade val="85000"/>
          </a:srgbClr>
        </a:solidFill>
        <a:ln w="12700" cap="sq">
          <a:noFill/>
          <a:miter lim="800000"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6190517</xdr:colOff>
      <xdr:row>0</xdr:row>
      <xdr:rowOff>359869</xdr:rowOff>
    </xdr:from>
    <xdr:to>
      <xdr:col>6</xdr:col>
      <xdr:colOff>9431382</xdr:colOff>
      <xdr:row>0</xdr:row>
      <xdr:rowOff>1317604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960196" y="359869"/>
          <a:ext cx="3227530" cy="9615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87200</xdr:colOff>
      <xdr:row>0</xdr:row>
      <xdr:rowOff>323838</xdr:rowOff>
    </xdr:from>
    <xdr:to>
      <xdr:col>10</xdr:col>
      <xdr:colOff>612322</xdr:colOff>
      <xdr:row>0</xdr:row>
      <xdr:rowOff>1318087</xdr:rowOff>
    </xdr:to>
    <xdr:pic>
      <xdr:nvPicPr>
        <xdr:cNvPr id="5" name="/xl/media/image3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2479609" y="323838"/>
          <a:ext cx="2978119" cy="990439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10422554</xdr:colOff>
      <xdr:row>0</xdr:row>
      <xdr:rowOff>280568</xdr:rowOff>
    </xdr:from>
    <xdr:to>
      <xdr:col>7</xdr:col>
      <xdr:colOff>474074</xdr:colOff>
      <xdr:row>0</xdr:row>
      <xdr:rowOff>1387928</xdr:rowOff>
    </xdr:to>
    <xdr:pic>
      <xdr:nvPicPr>
        <xdr:cNvPr id="7" name="/xl/media/image4.jp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8192233" y="280568"/>
          <a:ext cx="3147578" cy="11035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474345</xdr:colOff>
      <xdr:row>2</xdr:row>
      <xdr:rowOff>536864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24A968B1-2668-4189-8A98-7A09E4834E7C}"/>
            </a:ext>
          </a:extLst>
        </xdr:cNvPr>
        <xdr:cNvSpPr>
          <a:spLocks noGrp="1"/>
        </xdr:cNvSpPr>
      </xdr:nvSpPr>
      <xdr:spPr>
        <a:xfrm>
          <a:off x="0" y="0"/>
          <a:ext cx="7511143" cy="2822864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pPr>
            <a:buNone/>
          </a:pPr>
          <a:endParaRPr lang="en-US" sz="2400" b="0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>
            <a:buNone/>
          </a:pPr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Project Name:-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    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REH Wadi Yemm </a:t>
          </a:r>
          <a:r>
            <a:rPr sz="2400" b="1">
              <a:solidFill>
                <a:srgbClr val="FF0000"/>
              </a:solidFill>
              <a:latin typeface="+mn-lt"/>
              <a:ea typeface="+mn-lt"/>
              <a:cs typeface="+mn-lt"/>
            </a:rPr>
            <a:t>DP01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- Sea Town Center</a:t>
          </a:r>
          <a:endParaRPr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Location:-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Ras Al Hekma Cape, Egypt.</a:t>
          </a:r>
          <a:endParaRPr/>
        </a:p>
        <a:p>
          <a:r>
            <a:rPr sz="2400" b="0" i="0" u="sng">
              <a:solidFill>
                <a:schemeClr val="dk1"/>
              </a:solidFill>
              <a:latin typeface="+mn-lt"/>
              <a:ea typeface="+mn-lt"/>
              <a:cs typeface="+mn-lt"/>
            </a:rPr>
            <a:t>Employer:-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            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MoDon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.</a:t>
          </a:r>
          <a:endParaRPr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Lead Consultant:-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 </a:t>
          </a:r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SHAKER &amp; ECG</a:t>
          </a:r>
          <a:endParaRPr/>
        </a:p>
      </xdr:txBody>
    </xdr:sp>
    <xdr:clientData/>
  </xdr:twoCellAnchor>
  <xdr:twoCellAnchor editAs="oneCell">
    <xdr:from>
      <xdr:col>6</xdr:col>
      <xdr:colOff>732155</xdr:colOff>
      <xdr:row>0</xdr:row>
      <xdr:rowOff>79375</xdr:rowOff>
    </xdr:from>
    <xdr:to>
      <xdr:col>6</xdr:col>
      <xdr:colOff>4707255</xdr:colOff>
      <xdr:row>0</xdr:row>
      <xdr:rowOff>1412875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F0F330-27CC-498B-96A8-E04D6B6ADA6D}"/>
            </a:ext>
          </a:extLst>
        </xdr:cNvPr>
        <xdr:cNvPicPr/>
      </xdr:nvPicPr>
      <xdr:blipFill>
        <a:blip xmlns:r="http://schemas.openxmlformats.org/officeDocument/2006/relationships" r:embed="rId4">
          <a:clrChange>
            <a:clrFrom>
              <a:srgbClr val="FAFFFF"/>
            </a:clrFrom>
            <a:clrTo>
              <a:srgbClr val="FA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5900"/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10905" y="79375"/>
          <a:ext cx="3980815" cy="1333500"/>
        </a:xfrm>
        <a:prstGeom prst="rect">
          <a:avLst/>
        </a:prstGeom>
        <a:solidFill>
          <a:srgbClr val="FFFFFF">
            <a:shade val="85000"/>
          </a:srgbClr>
        </a:solidFill>
        <a:ln w="12700" cap="sq">
          <a:noFill/>
          <a:miter lim="800000"/>
        </a:ln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4223381</xdr:colOff>
      <xdr:row>0</xdr:row>
      <xdr:rowOff>393741</xdr:rowOff>
    </xdr:from>
    <xdr:to>
      <xdr:col>3</xdr:col>
      <xdr:colOff>7048286</xdr:colOff>
      <xdr:row>0</xdr:row>
      <xdr:rowOff>1425606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115524" y="393741"/>
          <a:ext cx="2824905" cy="10261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5</xdr:col>
      <xdr:colOff>401152</xdr:colOff>
      <xdr:row>0</xdr:row>
      <xdr:rowOff>370159</xdr:rowOff>
    </xdr:from>
    <xdr:to>
      <xdr:col>7</xdr:col>
      <xdr:colOff>515301</xdr:colOff>
      <xdr:row>0</xdr:row>
      <xdr:rowOff>1393507</xdr:rowOff>
    </xdr:to>
    <xdr:pic>
      <xdr:nvPicPr>
        <xdr:cNvPr id="5" name="/xl/media/image3.png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9093965" y="370159"/>
          <a:ext cx="2779721" cy="1034778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7482952</xdr:colOff>
      <xdr:row>0</xdr:row>
      <xdr:rowOff>356715</xdr:rowOff>
    </xdr:from>
    <xdr:to>
      <xdr:col>5</xdr:col>
      <xdr:colOff>22568</xdr:colOff>
      <xdr:row>0</xdr:row>
      <xdr:rowOff>1430790</xdr:rowOff>
    </xdr:to>
    <xdr:pic>
      <xdr:nvPicPr>
        <xdr:cNvPr id="7" name="/xl/media/image4.jp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5769702" y="356715"/>
          <a:ext cx="2941868" cy="10778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87155</xdr:colOff>
      <xdr:row>0</xdr:row>
      <xdr:rowOff>55505</xdr:rowOff>
    </xdr:from>
    <xdr:to>
      <xdr:col>2</xdr:col>
      <xdr:colOff>477883</xdr:colOff>
      <xdr:row>2</xdr:row>
      <xdr:rowOff>210026</xdr:rowOff>
    </xdr:to>
    <xdr:sp macro="" textlink="">
      <xdr:nvSpPr>
        <xdr:cNvPr id="4" name="TextBox 1">
          <a:extLst>
            <a:ext uri="{FF2B5EF4-FFF2-40B4-BE49-F238E27FC236}">
              <a16:creationId xmlns:a16="http://schemas.microsoft.com/office/drawing/2014/main" id="{D542717D-4C0A-47EB-8126-3B31BBA62C93}"/>
            </a:ext>
          </a:extLst>
        </xdr:cNvPr>
        <xdr:cNvSpPr>
          <a:spLocks noGrp="1"/>
        </xdr:cNvSpPr>
      </xdr:nvSpPr>
      <xdr:spPr>
        <a:xfrm>
          <a:off x="87155" y="55505"/>
          <a:ext cx="7600881" cy="2889557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anchor="t"/>
        <a:lstStyle/>
        <a:p>
          <a:pPr>
            <a:buNone/>
          </a:pPr>
          <a:endParaRPr lang="en-US" sz="2400" b="0" u="sng">
            <a:solidFill>
              <a:schemeClr val="dk1"/>
            </a:solidFill>
            <a:latin typeface="+mn-lt"/>
            <a:ea typeface="+mn-lt"/>
            <a:cs typeface="+mn-lt"/>
          </a:endParaRPr>
        </a:p>
        <a:p>
          <a:pPr>
            <a:buNone/>
          </a:pPr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Project Name</a:t>
          </a:r>
          <a:r>
            <a:rPr sz="2000" b="0" u="sng">
              <a:solidFill>
                <a:schemeClr val="dk1"/>
              </a:solidFill>
              <a:latin typeface="+mn-lt"/>
              <a:ea typeface="+mn-lt"/>
              <a:cs typeface="+mn-lt"/>
            </a:rPr>
            <a:t>:-</a:t>
          </a:r>
          <a:r>
            <a:rPr sz="2000" b="1">
              <a:solidFill>
                <a:schemeClr val="dk1"/>
              </a:solidFill>
              <a:latin typeface="+mn-lt"/>
              <a:ea typeface="+mn-lt"/>
              <a:cs typeface="+mn-lt"/>
            </a:rPr>
            <a:t>  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REH Wadi Yemm </a:t>
          </a:r>
          <a:r>
            <a:rPr sz="2000" b="1">
              <a:solidFill>
                <a:srgbClr val="FF0000"/>
              </a:solidFill>
              <a:latin typeface="+mn-lt"/>
              <a:ea typeface="+mn-lt"/>
              <a:cs typeface="+mn-lt"/>
            </a:rPr>
            <a:t>DP01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 - Sea Town Center</a:t>
          </a:r>
          <a:endParaRPr sz="1100"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Location:-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</a:t>
          </a:r>
          <a:r>
            <a:rPr sz="2000" b="0">
              <a:solidFill>
                <a:schemeClr val="dk1"/>
              </a:solidFill>
              <a:latin typeface="+mn-lt"/>
              <a:ea typeface="+mn-lt"/>
              <a:cs typeface="+mn-lt"/>
            </a:rPr>
            <a:t>Ras Al Hekma Cape, Egypt.</a:t>
          </a:r>
          <a:endParaRPr sz="1050"/>
        </a:p>
        <a:p>
          <a:r>
            <a:rPr sz="2400" b="0" i="0" u="sng">
              <a:solidFill>
                <a:schemeClr val="dk1"/>
              </a:solidFill>
              <a:latin typeface="+mn-lt"/>
              <a:ea typeface="+mn-lt"/>
              <a:cs typeface="+mn-lt"/>
            </a:rPr>
            <a:t>Employer:-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            </a:t>
          </a:r>
          <a:r>
            <a:rPr lang="en-US" sz="2400" b="0">
              <a:solidFill>
                <a:schemeClr val="dk1"/>
              </a:solidFill>
              <a:latin typeface="+mn-lt"/>
              <a:ea typeface="+mn-lt"/>
              <a:cs typeface="+mn-lt"/>
            </a:rPr>
            <a:t>  </a:t>
          </a:r>
          <a:r>
            <a:rPr sz="2400" b="1">
              <a:solidFill>
                <a:schemeClr val="dk1"/>
              </a:solidFill>
              <a:latin typeface="+mn-lt"/>
              <a:ea typeface="+mn-lt"/>
              <a:cs typeface="+mn-lt"/>
            </a:rPr>
            <a:t>MoDon</a:t>
          </a:r>
          <a:endParaRPr/>
        </a:p>
        <a:p>
          <a:r>
            <a:rPr sz="2400" b="0" u="sng">
              <a:solidFill>
                <a:schemeClr val="dk1"/>
              </a:solidFill>
              <a:latin typeface="+mn-lt"/>
              <a:ea typeface="+mn-lt"/>
              <a:cs typeface="+mn-lt"/>
            </a:rPr>
            <a:t>Lead Consultant:-</a:t>
          </a:r>
          <a:r>
            <a:rPr sz="2400" b="0">
              <a:solidFill>
                <a:schemeClr val="dk1"/>
              </a:solidFill>
              <a:latin typeface="+mn-lt"/>
              <a:ea typeface="+mn-lt"/>
              <a:cs typeface="+mn-lt"/>
            </a:rPr>
            <a:t>    </a:t>
          </a:r>
          <a:r>
            <a:rPr sz="2000" b="0" u="sng">
              <a:solidFill>
                <a:schemeClr val="dk1"/>
              </a:solidFill>
              <a:latin typeface="+mn-lt"/>
              <a:ea typeface="+mn-lt"/>
              <a:cs typeface="+mn-lt"/>
            </a:rPr>
            <a:t>SHAKER &amp; ECG</a:t>
          </a:r>
          <a:endParaRPr/>
        </a:p>
      </xdr:txBody>
    </xdr:sp>
    <xdr:clientData/>
  </xdr:twoCellAnchor>
  <xdr:twoCellAnchor editAs="oneCell">
    <xdr:from>
      <xdr:col>3</xdr:col>
      <xdr:colOff>210096</xdr:colOff>
      <xdr:row>0</xdr:row>
      <xdr:rowOff>99058</xdr:rowOff>
    </xdr:from>
    <xdr:to>
      <xdr:col>3</xdr:col>
      <xdr:colOff>3749586</xdr:colOff>
      <xdr:row>0</xdr:row>
      <xdr:rowOff>1390106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B811C82-7FA5-477E-859C-D752C97F2CC8}"/>
            </a:ext>
          </a:extLst>
        </xdr:cNvPr>
        <xdr:cNvPicPr/>
      </xdr:nvPicPr>
      <xdr:blipFill>
        <a:blip xmlns:r="http://schemas.openxmlformats.org/officeDocument/2006/relationships" r:embed="rId4">
          <a:clrChange>
            <a:clrFrom>
              <a:srgbClr val="FAFFFF"/>
            </a:clrFrom>
            <a:clrTo>
              <a:srgbClr val="FA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colorTemperature colorTemp="5900"/>
                  </a14:imgEffect>
                  <a14:imgEffect>
                    <a14:saturation sat="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02239" y="99058"/>
          <a:ext cx="3539490" cy="1302478"/>
        </a:xfrm>
        <a:prstGeom prst="rect">
          <a:avLst/>
        </a:prstGeom>
        <a:solidFill>
          <a:srgbClr val="FFFFFF">
            <a:shade val="85000"/>
          </a:srgbClr>
        </a:solidFill>
        <a:ln w="12700" cap="sq">
          <a:noFill/>
          <a:miter lim="800000"/>
        </a:ln>
        <a:effectLst/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view="pageBreakPreview" zoomScale="115" zoomScaleNormal="100" zoomScaleSheetLayoutView="115" workbookViewId="0">
      <selection activeCell="G19" sqref="G19"/>
    </sheetView>
  </sheetViews>
  <sheetFormatPr defaultColWidth="8.6640625" defaultRowHeight="14.25" customHeight="1" x14ac:dyDescent="0.3"/>
  <cols>
    <col min="1" max="1" width="20" customWidth="1"/>
    <col min="2" max="2" width="14" customWidth="1"/>
    <col min="3" max="3" width="9" customWidth="1"/>
    <col min="4" max="4" width="20" customWidth="1"/>
    <col min="5" max="5" width="14" customWidth="1"/>
    <col min="6" max="6" width="4" customWidth="1"/>
    <col min="7" max="7" width="20" customWidth="1"/>
    <col min="8" max="8" width="14" customWidth="1"/>
    <col min="9" max="9" width="4" customWidth="1"/>
    <col min="10" max="13" width="14" customWidth="1"/>
    <col min="14" max="14" width="8.44140625" customWidth="1"/>
    <col min="15" max="15" width="14" customWidth="1"/>
  </cols>
  <sheetData>
    <row r="1" spans="1:8" ht="14.4" x14ac:dyDescent="0.3">
      <c r="A1" s="100" t="s">
        <v>0</v>
      </c>
      <c r="B1" s="100"/>
      <c r="C1" s="100"/>
      <c r="D1" s="100"/>
      <c r="E1" s="100"/>
      <c r="F1" s="100"/>
      <c r="G1" s="100"/>
      <c r="H1" s="100"/>
    </row>
    <row r="2" spans="1:8" ht="14.4" x14ac:dyDescent="0.3">
      <c r="A2" s="100"/>
      <c r="B2" s="100"/>
      <c r="C2" s="100"/>
      <c r="D2" s="100"/>
      <c r="E2" s="100"/>
      <c r="F2" s="100"/>
      <c r="G2" s="100"/>
      <c r="H2" s="100"/>
    </row>
    <row r="3" spans="1:8" ht="14.4" x14ac:dyDescent="0.3">
      <c r="A3" s="1" t="s">
        <v>1</v>
      </c>
    </row>
    <row r="5" spans="1:8" ht="14.4" x14ac:dyDescent="0.3">
      <c r="A5" s="101" t="s">
        <v>2</v>
      </c>
      <c r="B5" s="101"/>
      <c r="D5" s="102" t="s">
        <v>3</v>
      </c>
      <c r="E5" s="102"/>
      <c r="G5" s="103" t="s">
        <v>4</v>
      </c>
      <c r="H5" s="103"/>
    </row>
    <row r="6" spans="1:8" ht="14.4" x14ac:dyDescent="0.3">
      <c r="A6" s="101"/>
      <c r="B6" s="101"/>
      <c r="D6" s="102"/>
      <c r="E6" s="102"/>
      <c r="G6" s="103"/>
      <c r="H6" s="103"/>
    </row>
    <row r="7" spans="1:8" ht="14.4" x14ac:dyDescent="0.3">
      <c r="A7" s="104">
        <f>B17</f>
        <v>1709</v>
      </c>
      <c r="B7" s="104"/>
      <c r="D7" s="105">
        <f>C17</f>
        <v>95</v>
      </c>
      <c r="E7" s="105"/>
      <c r="G7" s="106">
        <f>D17</f>
        <v>1614</v>
      </c>
      <c r="H7" s="106"/>
    </row>
    <row r="8" spans="1:8" ht="14.4" x14ac:dyDescent="0.3">
      <c r="A8" s="104"/>
      <c r="B8" s="104"/>
      <c r="D8" s="105"/>
      <c r="E8" s="105"/>
      <c r="G8" s="106"/>
      <c r="H8" s="106"/>
    </row>
    <row r="10" spans="1:8" ht="14.4" x14ac:dyDescent="0.3">
      <c r="A10" s="2" t="s">
        <v>5</v>
      </c>
      <c r="B10" s="2" t="s">
        <v>6</v>
      </c>
      <c r="C10" s="2" t="s">
        <v>7</v>
      </c>
      <c r="D10" s="2" t="s">
        <v>8</v>
      </c>
      <c r="E10" s="2" t="s">
        <v>9</v>
      </c>
    </row>
    <row r="11" spans="1:8" ht="15" customHeight="1" x14ac:dyDescent="0.3">
      <c r="A11" s="3" t="s">
        <v>10</v>
      </c>
      <c r="B11" s="4">
        <f>COUNTIF(GN!K5:K10000,"Pending")+COUNTIF(GN!K5:K10000,"Responded")</f>
        <v>14</v>
      </c>
      <c r="C11" s="4">
        <f>COUNTIF(GN!K5:K10000,"Pending")</f>
        <v>3</v>
      </c>
      <c r="D11" s="4">
        <f>COUNTIF(GN!K5:K10000,"Responded")</f>
        <v>11</v>
      </c>
      <c r="E11" s="5">
        <f t="shared" ref="E11:E17" si="0">IF(B11=0,0,D11/B11)</f>
        <v>0.7857142857142857</v>
      </c>
    </row>
    <row r="12" spans="1:8" ht="15" customHeight="1" x14ac:dyDescent="0.3">
      <c r="A12" s="6" t="s">
        <v>11</v>
      </c>
      <c r="B12" s="7">
        <f>COUNTIF(ST!K5:K9999,"Pending")+COUNTIF(ST!K5:K9999,"Responded")</f>
        <v>963</v>
      </c>
      <c r="C12" s="7">
        <f>COUNTIF(ST!K5:K9999,"Pending")</f>
        <v>36</v>
      </c>
      <c r="D12" s="7">
        <f>COUNTIF(ST!K5:K9999,"Responded")</f>
        <v>927</v>
      </c>
      <c r="E12" s="8">
        <f t="shared" si="0"/>
        <v>0.96261682242990654</v>
      </c>
    </row>
    <row r="13" spans="1:8" ht="15" customHeight="1" x14ac:dyDescent="0.3">
      <c r="A13" s="3" t="s">
        <v>12</v>
      </c>
      <c r="B13" s="4">
        <f>COUNTIF(AR!K5:K60,"Pending")+COUNTIF(AR!K5:K60,"Responded")</f>
        <v>56</v>
      </c>
      <c r="C13" s="4">
        <f>COUNTIF(AR!K5:K60,"Pending")</f>
        <v>6</v>
      </c>
      <c r="D13" s="4">
        <f>COUNTIF(AR!K5:K60,"Responded")</f>
        <v>50</v>
      </c>
      <c r="E13" s="5">
        <f t="shared" si="0"/>
        <v>0.8928571428571429</v>
      </c>
    </row>
    <row r="14" spans="1:8" ht="15" customHeight="1" x14ac:dyDescent="0.3">
      <c r="A14" s="6" t="s">
        <v>13</v>
      </c>
      <c r="B14" s="7">
        <f>COUNTIF(EL!K5:K10000,"Pending")+COUNTIF(EL!K5:K10000,"Responded")</f>
        <v>352</v>
      </c>
      <c r="C14" s="7">
        <f>COUNTIF(EL!K5:K10000,"Pending")</f>
        <v>22</v>
      </c>
      <c r="D14" s="7">
        <f>COUNTIF(EL!K5:K10000,"Responded")</f>
        <v>330</v>
      </c>
      <c r="E14" s="8">
        <f t="shared" si="0"/>
        <v>0.9375</v>
      </c>
    </row>
    <row r="15" spans="1:8" ht="15" customHeight="1" x14ac:dyDescent="0.3">
      <c r="A15" s="3" t="s">
        <v>14</v>
      </c>
      <c r="B15" s="4">
        <f>COUNTIF(ME!K5:K9999,"Pending")+COUNTIF(ME!K5:K9999,"Responded")</f>
        <v>303</v>
      </c>
      <c r="C15" s="4">
        <f>COUNTIF(ME!K5:K9999,"Pending")</f>
        <v>25</v>
      </c>
      <c r="D15" s="4">
        <f>COUNTIF(ME!K5:K9999,"Responded")</f>
        <v>278</v>
      </c>
      <c r="E15" s="5">
        <f t="shared" si="0"/>
        <v>0.91749174917491749</v>
      </c>
    </row>
    <row r="16" spans="1:8" ht="15.6" x14ac:dyDescent="0.3">
      <c r="A16" s="3" t="s">
        <v>15</v>
      </c>
      <c r="B16" s="4">
        <f>COUNTIF(Telecom!H5:H9999,"Pending")+COUNTIF(Telecom!H5:H9999,"Responded")</f>
        <v>21</v>
      </c>
      <c r="C16" s="4">
        <f>COUNTIF(Telecom!H5:H9999,"Pending")</f>
        <v>3</v>
      </c>
      <c r="D16" s="4">
        <f>COUNTIF(Telecom!H5:H9999,"Responded")</f>
        <v>18</v>
      </c>
      <c r="E16" s="5">
        <f t="shared" si="0"/>
        <v>0.8571428571428571</v>
      </c>
    </row>
    <row r="17" spans="1:8" ht="14.4" x14ac:dyDescent="0.3">
      <c r="A17" s="9" t="s">
        <v>16</v>
      </c>
      <c r="B17" s="9">
        <f>SUM(B11:B16)</f>
        <v>1709</v>
      </c>
      <c r="C17" s="9">
        <f>SUM(C11:C16)</f>
        <v>95</v>
      </c>
      <c r="D17" s="9">
        <f>SUM(D11:D16)</f>
        <v>1614</v>
      </c>
      <c r="E17" s="10">
        <f t="shared" si="0"/>
        <v>0.94441193680514923</v>
      </c>
    </row>
    <row r="22" spans="1:8" ht="17.25" customHeight="1" x14ac:dyDescent="0.3">
      <c r="A22" s="98"/>
      <c r="B22" s="98"/>
      <c r="D22" s="98"/>
      <c r="E22" s="98"/>
      <c r="G22" s="98"/>
      <c r="H22" s="98"/>
    </row>
    <row r="23" spans="1:8" ht="15" customHeight="1" x14ac:dyDescent="0.35">
      <c r="A23" s="11" t="s">
        <v>10</v>
      </c>
      <c r="D23" s="11" t="s">
        <v>11</v>
      </c>
      <c r="G23" s="11" t="s">
        <v>12</v>
      </c>
    </row>
    <row r="24" spans="1:8" ht="15" customHeight="1" x14ac:dyDescent="0.3">
      <c r="A24" s="12" t="s">
        <v>6</v>
      </c>
      <c r="B24" s="88">
        <f>B11</f>
        <v>14</v>
      </c>
      <c r="D24" s="12" t="s">
        <v>6</v>
      </c>
      <c r="E24" s="88">
        <f>B12</f>
        <v>963</v>
      </c>
      <c r="G24" s="12" t="s">
        <v>6</v>
      </c>
      <c r="H24" s="85">
        <f>B13</f>
        <v>56</v>
      </c>
    </row>
    <row r="25" spans="1:8" ht="15" customHeight="1" x14ac:dyDescent="0.3">
      <c r="A25" s="12" t="s">
        <v>7</v>
      </c>
      <c r="B25" s="86">
        <f>C11</f>
        <v>3</v>
      </c>
      <c r="D25" s="12" t="s">
        <v>7</v>
      </c>
      <c r="E25" s="86">
        <f>C12</f>
        <v>36</v>
      </c>
      <c r="G25" s="12" t="s">
        <v>7</v>
      </c>
      <c r="H25" s="86">
        <f>C13</f>
        <v>6</v>
      </c>
    </row>
    <row r="26" spans="1:8" ht="15.6" x14ac:dyDescent="0.3">
      <c r="A26" s="12" t="s">
        <v>8</v>
      </c>
      <c r="B26" s="87">
        <f>D11</f>
        <v>11</v>
      </c>
      <c r="D26" s="12" t="s">
        <v>8</v>
      </c>
      <c r="E26" s="87">
        <f>D12</f>
        <v>927</v>
      </c>
      <c r="G26" s="12" t="s">
        <v>8</v>
      </c>
      <c r="H26" s="87">
        <f>D13</f>
        <v>50</v>
      </c>
    </row>
    <row r="27" spans="1:8" ht="17.25" customHeight="1" x14ac:dyDescent="0.3">
      <c r="A27" s="98"/>
      <c r="B27" s="98"/>
      <c r="D27" s="98"/>
      <c r="E27" s="98"/>
      <c r="G27" s="99"/>
      <c r="H27" s="98"/>
    </row>
    <row r="28" spans="1:8" ht="15" customHeight="1" x14ac:dyDescent="0.35">
      <c r="A28" s="11" t="s">
        <v>13</v>
      </c>
      <c r="D28" s="11" t="s">
        <v>14</v>
      </c>
      <c r="G28" s="11" t="s">
        <v>15</v>
      </c>
    </row>
    <row r="29" spans="1:8" ht="15" customHeight="1" x14ac:dyDescent="0.3">
      <c r="A29" s="12" t="s">
        <v>6</v>
      </c>
      <c r="B29" s="89">
        <f>B14</f>
        <v>352</v>
      </c>
      <c r="D29" s="12" t="s">
        <v>6</v>
      </c>
      <c r="E29" s="89">
        <f>B15</f>
        <v>303</v>
      </c>
      <c r="G29" s="12" t="s">
        <v>6</v>
      </c>
      <c r="H29" s="89">
        <f>B16</f>
        <v>21</v>
      </c>
    </row>
    <row r="30" spans="1:8" ht="15" customHeight="1" x14ac:dyDescent="0.3">
      <c r="A30" s="12" t="s">
        <v>7</v>
      </c>
      <c r="B30" s="92">
        <f>C14</f>
        <v>22</v>
      </c>
      <c r="D30" s="12" t="s">
        <v>7</v>
      </c>
      <c r="E30" s="92">
        <f>C15</f>
        <v>25</v>
      </c>
      <c r="G30" s="12" t="s">
        <v>7</v>
      </c>
      <c r="H30" s="90">
        <f>C16</f>
        <v>3</v>
      </c>
    </row>
    <row r="31" spans="1:8" ht="15.6" x14ac:dyDescent="0.3">
      <c r="A31" s="12" t="s">
        <v>8</v>
      </c>
      <c r="B31" s="93">
        <f>D14</f>
        <v>330</v>
      </c>
      <c r="D31" s="12" t="s">
        <v>8</v>
      </c>
      <c r="E31" s="93">
        <f>D15</f>
        <v>278</v>
      </c>
      <c r="G31" s="12" t="s">
        <v>8</v>
      </c>
      <c r="H31" s="91">
        <f>D16</f>
        <v>18</v>
      </c>
    </row>
  </sheetData>
  <mergeCells count="13">
    <mergeCell ref="A1:H2"/>
    <mergeCell ref="A5:B6"/>
    <mergeCell ref="D5:E6"/>
    <mergeCell ref="G5:H6"/>
    <mergeCell ref="A7:B8"/>
    <mergeCell ref="D7:E8"/>
    <mergeCell ref="G7:H8"/>
    <mergeCell ref="A22:B22"/>
    <mergeCell ref="D22:E22"/>
    <mergeCell ref="G22:H22"/>
    <mergeCell ref="A27:B27"/>
    <mergeCell ref="D27:E27"/>
    <mergeCell ref="G27:H27"/>
  </mergeCells>
  <pageMargins left="0.7" right="0.7" top="0.75" bottom="0.75" header="0.511811023622047" footer="0.511811023622047"/>
  <pageSetup paperSize="9" scale="48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FAADC"/>
  </sheetPr>
  <dimension ref="A1:N20"/>
  <sheetViews>
    <sheetView showGridLines="0" view="pageBreakPreview" topLeftCell="D1" zoomScale="60" zoomScaleNormal="55" workbookViewId="0">
      <pane ySplit="4" topLeftCell="A9" activePane="bottomLeft" state="frozen"/>
      <selection activeCell="D1" sqref="D1"/>
      <selection pane="bottomLeft" activeCell="G18" sqref="G18"/>
    </sheetView>
  </sheetViews>
  <sheetFormatPr defaultColWidth="9.109375" defaultRowHeight="21" customHeight="1" x14ac:dyDescent="0.3"/>
  <cols>
    <col min="1" max="3" width="13" style="13" hidden="1" customWidth="1"/>
    <col min="4" max="4" width="86.109375" style="13" customWidth="1"/>
    <col min="5" max="5" width="29.33203125" style="14" customWidth="1"/>
    <col min="6" max="6" width="12.33203125" style="13" customWidth="1"/>
    <col min="7" max="7" width="151.33203125" style="15" customWidth="1"/>
    <col min="8" max="8" width="24.6640625" style="80" customWidth="1"/>
    <col min="9" max="9" width="20.44140625" style="17" customWidth="1"/>
    <col min="10" max="10" width="21.6640625" style="17" customWidth="1"/>
    <col min="11" max="11" width="15.6640625" style="18" customWidth="1"/>
    <col min="12" max="16384" width="9.109375" style="13"/>
  </cols>
  <sheetData>
    <row r="1" spans="4:14" s="19" customFormat="1" ht="133.5" customHeight="1" x14ac:dyDescent="0.3">
      <c r="D1" s="108"/>
      <c r="E1" s="109"/>
      <c r="F1" s="22"/>
      <c r="G1" s="95"/>
      <c r="H1" s="95"/>
      <c r="I1" s="95"/>
      <c r="J1" s="95"/>
      <c r="K1" s="95"/>
    </row>
    <row r="2" spans="4:14" s="19" customFormat="1" ht="46.5" customHeight="1" x14ac:dyDescent="0.3">
      <c r="D2" s="110"/>
      <c r="E2" s="111"/>
      <c r="F2" s="13"/>
      <c r="G2" s="107" t="s">
        <v>17</v>
      </c>
      <c r="H2" s="107"/>
      <c r="I2" s="107"/>
      <c r="J2" s="107"/>
      <c r="K2" s="107"/>
    </row>
    <row r="3" spans="4:14" s="19" customFormat="1" ht="40.5" customHeight="1" x14ac:dyDescent="0.3">
      <c r="D3" s="112"/>
      <c r="E3" s="113"/>
      <c r="F3" s="13"/>
      <c r="G3" s="25"/>
      <c r="H3" s="77"/>
      <c r="I3" s="27"/>
      <c r="J3" s="97"/>
      <c r="K3" s="97"/>
    </row>
    <row r="4" spans="4:14" s="28" customFormat="1" ht="69.75" customHeight="1" x14ac:dyDescent="0.3">
      <c r="D4" s="29" t="s">
        <v>18</v>
      </c>
      <c r="E4" s="29" t="s">
        <v>19</v>
      </c>
      <c r="F4" s="29" t="s">
        <v>20</v>
      </c>
      <c r="G4" s="29" t="s">
        <v>21</v>
      </c>
      <c r="H4" s="78" t="s">
        <v>22</v>
      </c>
      <c r="I4" s="29" t="s">
        <v>23</v>
      </c>
      <c r="J4" s="29" t="s">
        <v>24</v>
      </c>
      <c r="K4" s="29" t="s">
        <v>25</v>
      </c>
      <c r="L4" s="24"/>
      <c r="M4" s="24"/>
      <c r="N4" s="24"/>
    </row>
    <row r="5" spans="4:14" ht="44.25" customHeight="1" x14ac:dyDescent="0.3">
      <c r="D5" s="30" t="s">
        <v>26</v>
      </c>
      <c r="E5" s="31" t="s">
        <v>27</v>
      </c>
      <c r="F5" s="32">
        <v>0</v>
      </c>
      <c r="G5" s="33" t="s">
        <v>28</v>
      </c>
      <c r="H5" s="79" t="s">
        <v>29</v>
      </c>
      <c r="I5" s="35">
        <v>46145</v>
      </c>
      <c r="J5" s="35">
        <v>46148</v>
      </c>
      <c r="K5" s="36" t="s">
        <v>8</v>
      </c>
    </row>
    <row r="6" spans="4:14" s="37" customFormat="1" ht="57" customHeight="1" x14ac:dyDescent="0.3">
      <c r="D6" s="30" t="s">
        <v>30</v>
      </c>
      <c r="E6" s="31" t="s">
        <v>31</v>
      </c>
      <c r="F6" s="32">
        <v>0</v>
      </c>
      <c r="G6" s="33" t="s">
        <v>32</v>
      </c>
      <c r="H6" s="79" t="s">
        <v>29</v>
      </c>
      <c r="I6" s="38">
        <v>46231</v>
      </c>
      <c r="J6" s="35">
        <v>46237</v>
      </c>
      <c r="K6" s="36" t="s">
        <v>8</v>
      </c>
    </row>
    <row r="7" spans="4:14" s="37" customFormat="1" ht="57" customHeight="1" x14ac:dyDescent="0.3">
      <c r="D7" s="30" t="s">
        <v>33</v>
      </c>
      <c r="E7" s="31" t="s">
        <v>34</v>
      </c>
      <c r="F7" s="32">
        <v>0</v>
      </c>
      <c r="G7" s="33" t="s">
        <v>35</v>
      </c>
      <c r="H7" s="79" t="s">
        <v>36</v>
      </c>
      <c r="I7" s="38">
        <v>46237</v>
      </c>
      <c r="J7" s="35">
        <v>46246</v>
      </c>
      <c r="K7" s="36" t="s">
        <v>8</v>
      </c>
    </row>
    <row r="8" spans="4:14" s="37" customFormat="1" ht="57" customHeight="1" x14ac:dyDescent="0.3">
      <c r="D8" s="30" t="s">
        <v>37</v>
      </c>
      <c r="E8" s="31" t="s">
        <v>38</v>
      </c>
      <c r="F8" s="32">
        <v>0</v>
      </c>
      <c r="G8" s="33" t="s">
        <v>39</v>
      </c>
      <c r="H8" s="79" t="s">
        <v>40</v>
      </c>
      <c r="I8" s="38">
        <v>46240</v>
      </c>
      <c r="J8" s="35">
        <v>46244</v>
      </c>
      <c r="K8" s="36" t="s">
        <v>8</v>
      </c>
    </row>
    <row r="9" spans="4:14" s="37" customFormat="1" ht="57" customHeight="1" x14ac:dyDescent="0.3">
      <c r="D9" s="30" t="s">
        <v>41</v>
      </c>
      <c r="E9" s="31" t="s">
        <v>42</v>
      </c>
      <c r="F9" s="32">
        <v>0</v>
      </c>
      <c r="G9" s="33" t="s">
        <v>43</v>
      </c>
      <c r="H9" s="79" t="s">
        <v>40</v>
      </c>
      <c r="I9" s="38">
        <v>46240</v>
      </c>
      <c r="J9" s="35">
        <v>46245</v>
      </c>
      <c r="K9" s="36" t="s">
        <v>8</v>
      </c>
    </row>
    <row r="10" spans="4:14" s="37" customFormat="1" ht="57" customHeight="1" x14ac:dyDescent="0.3">
      <c r="D10" s="30" t="s">
        <v>44</v>
      </c>
      <c r="E10" s="31" t="s">
        <v>45</v>
      </c>
      <c r="F10" s="32">
        <v>0</v>
      </c>
      <c r="G10" s="33" t="s">
        <v>46</v>
      </c>
      <c r="H10" s="79" t="s">
        <v>36</v>
      </c>
      <c r="I10" s="38">
        <v>46243</v>
      </c>
      <c r="J10" s="35">
        <v>46251</v>
      </c>
      <c r="K10" s="36" t="s">
        <v>8</v>
      </c>
    </row>
    <row r="11" spans="4:14" s="37" customFormat="1" ht="57" customHeight="1" x14ac:dyDescent="0.3">
      <c r="D11" s="30" t="s">
        <v>47</v>
      </c>
      <c r="E11" s="31" t="s">
        <v>48</v>
      </c>
      <c r="F11" s="32">
        <v>0</v>
      </c>
      <c r="G11" s="33" t="s">
        <v>49</v>
      </c>
      <c r="H11" s="79" t="s">
        <v>50</v>
      </c>
      <c r="I11" s="38">
        <v>46243</v>
      </c>
      <c r="J11" s="35">
        <v>46256</v>
      </c>
      <c r="K11" s="36" t="s">
        <v>8</v>
      </c>
    </row>
    <row r="12" spans="4:14" s="37" customFormat="1" ht="57" customHeight="1" x14ac:dyDescent="0.3">
      <c r="D12" s="30" t="s">
        <v>51</v>
      </c>
      <c r="E12" s="31" t="s">
        <v>52</v>
      </c>
      <c r="F12" s="32">
        <v>0</v>
      </c>
      <c r="G12" s="33" t="s">
        <v>53</v>
      </c>
      <c r="H12" s="79" t="s">
        <v>54</v>
      </c>
      <c r="I12" s="38">
        <v>46247</v>
      </c>
      <c r="J12" s="35">
        <v>46253</v>
      </c>
      <c r="K12" s="36" t="s">
        <v>8</v>
      </c>
    </row>
    <row r="13" spans="4:14" s="37" customFormat="1" ht="57" customHeight="1" x14ac:dyDescent="0.3">
      <c r="D13" s="30" t="s">
        <v>55</v>
      </c>
      <c r="E13" s="31" t="s">
        <v>56</v>
      </c>
      <c r="F13" s="32">
        <v>0</v>
      </c>
      <c r="G13" s="33" t="s">
        <v>57</v>
      </c>
      <c r="H13" s="79" t="s">
        <v>36</v>
      </c>
      <c r="I13" s="38">
        <v>46260</v>
      </c>
      <c r="J13" s="35">
        <v>46274</v>
      </c>
      <c r="K13" s="36" t="s">
        <v>8</v>
      </c>
    </row>
    <row r="14" spans="4:14" s="37" customFormat="1" ht="57" customHeight="1" x14ac:dyDescent="0.3">
      <c r="D14" s="30" t="s">
        <v>58</v>
      </c>
      <c r="E14" s="31" t="s">
        <v>59</v>
      </c>
      <c r="F14" s="32">
        <v>0</v>
      </c>
      <c r="G14" s="33" t="s">
        <v>60</v>
      </c>
      <c r="H14" s="79">
        <v>1025</v>
      </c>
      <c r="I14" s="38">
        <v>46280</v>
      </c>
      <c r="J14" s="35">
        <v>46281</v>
      </c>
      <c r="K14" s="36" t="s">
        <v>8</v>
      </c>
    </row>
    <row r="15" spans="4:14" s="37" customFormat="1" ht="57" customHeight="1" x14ac:dyDescent="0.3">
      <c r="D15" s="30" t="s">
        <v>61</v>
      </c>
      <c r="E15" s="31" t="s">
        <v>62</v>
      </c>
      <c r="F15" s="32">
        <v>0</v>
      </c>
      <c r="G15" s="33" t="s">
        <v>63</v>
      </c>
      <c r="H15" s="79">
        <v>1044</v>
      </c>
      <c r="I15" s="38">
        <v>46289</v>
      </c>
      <c r="J15" s="35">
        <v>46292</v>
      </c>
      <c r="K15" s="36" t="s">
        <v>8</v>
      </c>
    </row>
    <row r="16" spans="4:14" s="37" customFormat="1" ht="57" customHeight="1" x14ac:dyDescent="0.3">
      <c r="D16" s="30" t="s">
        <v>64</v>
      </c>
      <c r="E16" s="31" t="s">
        <v>65</v>
      </c>
      <c r="F16" s="32">
        <v>0</v>
      </c>
      <c r="G16" s="33" t="s">
        <v>66</v>
      </c>
      <c r="H16" s="79">
        <v>1021</v>
      </c>
      <c r="I16" s="38">
        <v>46295</v>
      </c>
      <c r="J16" s="35"/>
      <c r="K16" s="36" t="s">
        <v>7</v>
      </c>
    </row>
    <row r="17" spans="4:11" s="37" customFormat="1" ht="57" customHeight="1" x14ac:dyDescent="0.3">
      <c r="D17" s="30" t="s">
        <v>67</v>
      </c>
      <c r="E17" s="31" t="s">
        <v>68</v>
      </c>
      <c r="F17" s="32">
        <v>0</v>
      </c>
      <c r="G17" s="33" t="s">
        <v>69</v>
      </c>
      <c r="H17" s="79">
        <v>1081</v>
      </c>
      <c r="I17" s="38">
        <v>46300</v>
      </c>
      <c r="J17" s="35"/>
      <c r="K17" s="36" t="s">
        <v>7</v>
      </c>
    </row>
    <row r="18" spans="4:11" s="37" customFormat="1" ht="57" customHeight="1" x14ac:dyDescent="0.3">
      <c r="D18" s="30" t="s">
        <v>70</v>
      </c>
      <c r="E18" s="31" t="s">
        <v>71</v>
      </c>
      <c r="F18" s="32">
        <v>0</v>
      </c>
      <c r="G18" s="33" t="s">
        <v>72</v>
      </c>
      <c r="H18" s="79">
        <v>1031</v>
      </c>
      <c r="I18" s="38">
        <v>46301</v>
      </c>
      <c r="J18" s="35"/>
      <c r="K18" s="36" t="s">
        <v>7</v>
      </c>
    </row>
    <row r="19" spans="4:11" s="37" customFormat="1" ht="57" customHeight="1" x14ac:dyDescent="0.3">
      <c r="D19" s="30"/>
      <c r="E19" s="31"/>
      <c r="F19" s="32"/>
      <c r="G19" s="33"/>
      <c r="H19" s="79"/>
      <c r="I19" s="38"/>
      <c r="J19" s="35"/>
      <c r="K19" s="36"/>
    </row>
    <row r="20" spans="4:11" s="37" customFormat="1" ht="57" customHeight="1" x14ac:dyDescent="0.3">
      <c r="D20" s="30"/>
      <c r="E20" s="31"/>
      <c r="F20" s="32"/>
      <c r="G20" s="33"/>
      <c r="H20" s="79"/>
      <c r="I20" s="38"/>
      <c r="J20" s="35"/>
      <c r="K20" s="36"/>
    </row>
  </sheetData>
  <autoFilter ref="D4:K18" xr:uid="{00000000-0009-0000-0000-000001000000}"/>
  <mergeCells count="4">
    <mergeCell ref="G1:K1"/>
    <mergeCell ref="G2:K2"/>
    <mergeCell ref="J3:K3"/>
    <mergeCell ref="D1:E3"/>
  </mergeCells>
  <conditionalFormatting sqref="E4:E1048576">
    <cfRule type="duplicateValues" dxfId="42" priority="2"/>
  </conditionalFormatting>
  <conditionalFormatting sqref="K5:K20">
    <cfRule type="cellIs" dxfId="41" priority="3" operator="equal">
      <formula>"Pending"</formula>
    </cfRule>
    <cfRule type="cellIs" dxfId="40" priority="4" operator="equal">
      <formula>"Responded"</formula>
    </cfRule>
  </conditionalFormatting>
  <dataValidations count="1">
    <dataValidation type="list" allowBlank="1" showInputMessage="1" showErrorMessage="1" sqref="K5:K18" xr:uid="{00000000-0002-0000-0100-000000000000}">
      <formula1>"Pending,Responded"</formula1>
      <formula2>0</formula2>
    </dataValidation>
  </dataValidations>
  <pageMargins left="0.7" right="0.7" top="0.75" bottom="0.75" header="0.511811023622047" footer="0.511811023622047"/>
  <pageSetup paperSize="9" scale="23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FAADC"/>
  </sheetPr>
  <dimension ref="A1:N970"/>
  <sheetViews>
    <sheetView showGridLines="0" view="pageBreakPreview" topLeftCell="D1" zoomScale="70" zoomScaleNormal="55" zoomScaleSheetLayoutView="70" zoomScalePageLayoutView="55" workbookViewId="0">
      <pane ySplit="4" topLeftCell="A960" activePane="bottomLeft" state="frozen"/>
      <selection activeCell="D1" sqref="D1"/>
      <selection pane="bottomLeft" activeCell="E968" sqref="E968"/>
    </sheetView>
  </sheetViews>
  <sheetFormatPr defaultColWidth="9.109375" defaultRowHeight="23.25" customHeight="1" x14ac:dyDescent="0.3"/>
  <cols>
    <col min="1" max="3" width="13" style="13" hidden="1" customWidth="1"/>
    <col min="4" max="4" width="74" style="24" customWidth="1"/>
    <col min="5" max="5" width="27.6640625" style="39" customWidth="1"/>
    <col min="6" max="6" width="8.109375" style="40" customWidth="1"/>
    <col min="7" max="7" width="137.6640625" style="15" customWidth="1"/>
    <col min="8" max="8" width="18.44140625" style="16" customWidth="1"/>
    <col min="9" max="9" width="20.44140625" style="17" customWidth="1"/>
    <col min="10" max="10" width="18.44140625" style="17" customWidth="1"/>
    <col min="11" max="11" width="17.6640625" style="18" customWidth="1"/>
    <col min="12" max="16384" width="9.109375" style="13"/>
  </cols>
  <sheetData>
    <row r="1" spans="1:14" s="19" customFormat="1" ht="133.5" customHeight="1" x14ac:dyDescent="0.3">
      <c r="A1" s="41" t="s">
        <v>73</v>
      </c>
      <c r="D1" s="117"/>
      <c r="E1" s="118"/>
      <c r="F1" s="42"/>
      <c r="G1" s="114"/>
      <c r="H1" s="114"/>
      <c r="I1" s="114"/>
      <c r="J1" s="114"/>
      <c r="K1" s="114"/>
    </row>
    <row r="2" spans="1:14" s="19" customFormat="1" ht="46.5" customHeight="1" x14ac:dyDescent="0.3">
      <c r="A2" s="41" t="s">
        <v>74</v>
      </c>
      <c r="D2" s="119"/>
      <c r="E2" s="120"/>
      <c r="F2" s="40"/>
      <c r="G2" s="115" t="s">
        <v>75</v>
      </c>
      <c r="H2" s="115"/>
      <c r="I2" s="115"/>
      <c r="J2" s="115"/>
      <c r="K2" s="115"/>
    </row>
    <row r="3" spans="1:14" s="19" customFormat="1" ht="40.5" customHeight="1" x14ac:dyDescent="0.3">
      <c r="A3" s="41" t="s">
        <v>76</v>
      </c>
      <c r="D3" s="121"/>
      <c r="E3" s="122"/>
      <c r="F3" s="40"/>
      <c r="G3" s="44"/>
      <c r="H3" s="45"/>
      <c r="I3" s="46"/>
      <c r="J3" s="116"/>
      <c r="K3" s="116"/>
    </row>
    <row r="4" spans="1:14" s="28" customFormat="1" ht="69.75" customHeight="1" x14ac:dyDescent="0.35">
      <c r="A4" s="81" t="s">
        <v>77</v>
      </c>
      <c r="D4" s="29" t="s">
        <v>18</v>
      </c>
      <c r="E4" s="29" t="s">
        <v>19</v>
      </c>
      <c r="F4" s="29" t="s">
        <v>20</v>
      </c>
      <c r="G4" s="29" t="s">
        <v>21</v>
      </c>
      <c r="H4" s="29" t="s">
        <v>22</v>
      </c>
      <c r="I4" s="29" t="s">
        <v>23</v>
      </c>
      <c r="J4" s="29" t="s">
        <v>24</v>
      </c>
      <c r="K4" s="29" t="s">
        <v>25</v>
      </c>
      <c r="L4" s="24"/>
      <c r="M4" s="24"/>
      <c r="N4" s="24"/>
    </row>
    <row r="5" spans="1:14" ht="39.75" customHeight="1" x14ac:dyDescent="0.3">
      <c r="D5" s="48" t="s">
        <v>78</v>
      </c>
      <c r="E5" s="49"/>
      <c r="F5" s="50">
        <v>0</v>
      </c>
      <c r="G5" s="51" t="s">
        <v>79</v>
      </c>
      <c r="H5" s="52" t="s">
        <v>80</v>
      </c>
      <c r="I5" s="38">
        <v>46012</v>
      </c>
      <c r="J5" s="35">
        <v>46013</v>
      </c>
      <c r="K5" s="36" t="s">
        <v>8</v>
      </c>
    </row>
    <row r="6" spans="1:14" ht="39.75" customHeight="1" x14ac:dyDescent="0.3">
      <c r="D6" s="48" t="s">
        <v>81</v>
      </c>
      <c r="E6" s="49"/>
      <c r="F6" s="50">
        <v>0</v>
      </c>
      <c r="G6" s="51" t="s">
        <v>82</v>
      </c>
      <c r="H6" s="52" t="s">
        <v>80</v>
      </c>
      <c r="I6" s="38">
        <v>46013</v>
      </c>
      <c r="J6" s="35">
        <v>46017</v>
      </c>
      <c r="K6" s="36" t="s">
        <v>8</v>
      </c>
    </row>
    <row r="7" spans="1:14" ht="39.75" customHeight="1" x14ac:dyDescent="0.3">
      <c r="D7" s="48" t="s">
        <v>83</v>
      </c>
      <c r="E7" s="49"/>
      <c r="F7" s="50">
        <v>0</v>
      </c>
      <c r="G7" s="51" t="s">
        <v>84</v>
      </c>
      <c r="H7" s="52" t="s">
        <v>85</v>
      </c>
      <c r="I7" s="38">
        <v>46014</v>
      </c>
      <c r="J7" s="35">
        <v>46015</v>
      </c>
      <c r="K7" s="36" t="s">
        <v>8</v>
      </c>
    </row>
    <row r="8" spans="1:14" ht="39.75" customHeight="1" x14ac:dyDescent="0.3">
      <c r="D8" s="48" t="s">
        <v>86</v>
      </c>
      <c r="E8" s="49"/>
      <c r="F8" s="50">
        <v>0</v>
      </c>
      <c r="G8" s="51" t="s">
        <v>87</v>
      </c>
      <c r="H8" s="52" t="s">
        <v>88</v>
      </c>
      <c r="I8" s="38">
        <v>46014</v>
      </c>
      <c r="J8" s="35"/>
      <c r="K8" s="36" t="s">
        <v>7</v>
      </c>
    </row>
    <row r="9" spans="1:14" ht="39.75" customHeight="1" x14ac:dyDescent="0.3">
      <c r="D9" s="48" t="s">
        <v>89</v>
      </c>
      <c r="E9" s="49"/>
      <c r="F9" s="50">
        <v>0</v>
      </c>
      <c r="G9" s="51" t="s">
        <v>90</v>
      </c>
      <c r="H9" s="52" t="s">
        <v>80</v>
      </c>
      <c r="I9" s="38">
        <v>46016</v>
      </c>
      <c r="J9" s="35">
        <v>46018</v>
      </c>
      <c r="K9" s="36" t="s">
        <v>8</v>
      </c>
    </row>
    <row r="10" spans="1:14" ht="39.75" customHeight="1" x14ac:dyDescent="0.3">
      <c r="D10" s="48" t="s">
        <v>91</v>
      </c>
      <c r="E10" s="49"/>
      <c r="F10" s="50">
        <v>0</v>
      </c>
      <c r="G10" s="51" t="s">
        <v>92</v>
      </c>
      <c r="H10" s="52" t="s">
        <v>85</v>
      </c>
      <c r="I10" s="38">
        <v>46018</v>
      </c>
      <c r="J10" s="35">
        <v>46020</v>
      </c>
      <c r="K10" s="36" t="s">
        <v>8</v>
      </c>
    </row>
    <row r="11" spans="1:14" ht="39.75" customHeight="1" x14ac:dyDescent="0.3">
      <c r="D11" s="48" t="s">
        <v>93</v>
      </c>
      <c r="E11" s="49"/>
      <c r="F11" s="50">
        <v>0</v>
      </c>
      <c r="G11" s="51" t="s">
        <v>94</v>
      </c>
      <c r="H11" s="52" t="s">
        <v>80</v>
      </c>
      <c r="I11" s="38">
        <v>46019</v>
      </c>
      <c r="J11" s="35">
        <v>46021</v>
      </c>
      <c r="K11" s="36" t="s">
        <v>8</v>
      </c>
    </row>
    <row r="12" spans="1:14" ht="39.75" customHeight="1" x14ac:dyDescent="0.3">
      <c r="D12" s="48" t="s">
        <v>95</v>
      </c>
      <c r="E12" s="49"/>
      <c r="F12" s="50">
        <v>0</v>
      </c>
      <c r="G12" s="51" t="s">
        <v>96</v>
      </c>
      <c r="H12" s="52" t="s">
        <v>80</v>
      </c>
      <c r="I12" s="38">
        <v>46019</v>
      </c>
      <c r="J12" s="35">
        <v>46021</v>
      </c>
      <c r="K12" s="36" t="s">
        <v>8</v>
      </c>
    </row>
    <row r="13" spans="1:14" ht="39.75" customHeight="1" x14ac:dyDescent="0.3">
      <c r="D13" s="48" t="s">
        <v>97</v>
      </c>
      <c r="E13" s="49"/>
      <c r="F13" s="50">
        <v>0</v>
      </c>
      <c r="G13" s="51" t="s">
        <v>98</v>
      </c>
      <c r="H13" s="52" t="s">
        <v>99</v>
      </c>
      <c r="I13" s="38">
        <v>46027</v>
      </c>
      <c r="J13" s="35">
        <v>46033</v>
      </c>
      <c r="K13" s="36" t="s">
        <v>8</v>
      </c>
    </row>
    <row r="14" spans="1:14" ht="39.75" customHeight="1" x14ac:dyDescent="0.3">
      <c r="D14" s="48" t="s">
        <v>100</v>
      </c>
      <c r="E14" s="49"/>
      <c r="F14" s="50">
        <v>0</v>
      </c>
      <c r="G14" s="51" t="s">
        <v>98</v>
      </c>
      <c r="H14" s="52" t="s">
        <v>99</v>
      </c>
      <c r="I14" s="38">
        <v>46032</v>
      </c>
      <c r="J14" s="35">
        <v>46033</v>
      </c>
      <c r="K14" s="36" t="s">
        <v>8</v>
      </c>
    </row>
    <row r="15" spans="1:14" ht="39.75" customHeight="1" x14ac:dyDescent="0.3">
      <c r="D15" s="48" t="s">
        <v>101</v>
      </c>
      <c r="E15" s="49"/>
      <c r="F15" s="50">
        <v>0</v>
      </c>
      <c r="G15" s="51" t="s">
        <v>102</v>
      </c>
      <c r="H15" s="52" t="s">
        <v>80</v>
      </c>
      <c r="I15" s="38">
        <v>46034</v>
      </c>
      <c r="J15" s="35">
        <v>46196</v>
      </c>
      <c r="K15" s="36" t="s">
        <v>8</v>
      </c>
    </row>
    <row r="16" spans="1:14" ht="39.75" customHeight="1" x14ac:dyDescent="0.3">
      <c r="D16" s="48" t="s">
        <v>103</v>
      </c>
      <c r="E16" s="49"/>
      <c r="F16" s="50">
        <v>0</v>
      </c>
      <c r="G16" s="51" t="s">
        <v>104</v>
      </c>
      <c r="H16" s="52" t="s">
        <v>85</v>
      </c>
      <c r="I16" s="38">
        <v>46034</v>
      </c>
      <c r="J16" s="35">
        <v>46036</v>
      </c>
      <c r="K16" s="36" t="s">
        <v>8</v>
      </c>
    </row>
    <row r="17" spans="4:11" ht="39.75" customHeight="1" x14ac:dyDescent="0.3">
      <c r="D17" s="48" t="s">
        <v>105</v>
      </c>
      <c r="E17" s="49"/>
      <c r="F17" s="50">
        <v>0</v>
      </c>
      <c r="G17" s="51" t="s">
        <v>106</v>
      </c>
      <c r="H17" s="52" t="s">
        <v>107</v>
      </c>
      <c r="I17" s="38">
        <v>46036</v>
      </c>
      <c r="J17" s="35"/>
      <c r="K17" s="36" t="s">
        <v>7</v>
      </c>
    </row>
    <row r="18" spans="4:11" ht="39.75" customHeight="1" x14ac:dyDescent="0.3">
      <c r="D18" s="48" t="s">
        <v>108</v>
      </c>
      <c r="E18" s="49"/>
      <c r="F18" s="50">
        <v>0</v>
      </c>
      <c r="G18" s="51" t="s">
        <v>109</v>
      </c>
      <c r="H18" s="52" t="s">
        <v>80</v>
      </c>
      <c r="I18" s="38">
        <v>46043</v>
      </c>
      <c r="J18" s="35"/>
      <c r="K18" s="36" t="s">
        <v>7</v>
      </c>
    </row>
    <row r="19" spans="4:11" ht="39.75" customHeight="1" x14ac:dyDescent="0.3">
      <c r="D19" s="48" t="s">
        <v>110</v>
      </c>
      <c r="E19" s="49"/>
      <c r="F19" s="50">
        <v>0</v>
      </c>
      <c r="G19" s="51" t="s">
        <v>106</v>
      </c>
      <c r="H19" s="52" t="s">
        <v>107</v>
      </c>
      <c r="I19" s="38">
        <v>46050</v>
      </c>
      <c r="J19" s="35">
        <v>46106</v>
      </c>
      <c r="K19" s="36" t="s">
        <v>8</v>
      </c>
    </row>
    <row r="20" spans="4:11" ht="39.75" customHeight="1" x14ac:dyDescent="0.3">
      <c r="D20" s="48" t="s">
        <v>111</v>
      </c>
      <c r="E20" s="49"/>
      <c r="F20" s="50">
        <v>0</v>
      </c>
      <c r="G20" s="51" t="s">
        <v>112</v>
      </c>
      <c r="H20" s="52" t="s">
        <v>99</v>
      </c>
      <c r="I20" s="38">
        <v>46056</v>
      </c>
      <c r="J20" s="35">
        <v>46068</v>
      </c>
      <c r="K20" s="36" t="s">
        <v>8</v>
      </c>
    </row>
    <row r="21" spans="4:11" ht="39.75" customHeight="1" x14ac:dyDescent="0.3">
      <c r="D21" s="48" t="s">
        <v>113</v>
      </c>
      <c r="E21" s="49"/>
      <c r="F21" s="50">
        <v>0</v>
      </c>
      <c r="G21" s="51" t="s">
        <v>112</v>
      </c>
      <c r="H21" s="52" t="s">
        <v>99</v>
      </c>
      <c r="I21" s="38">
        <v>46058</v>
      </c>
      <c r="J21" s="35">
        <v>46068</v>
      </c>
      <c r="K21" s="36" t="s">
        <v>8</v>
      </c>
    </row>
    <row r="22" spans="4:11" ht="39.75" customHeight="1" x14ac:dyDescent="0.3">
      <c r="D22" s="48" t="s">
        <v>114</v>
      </c>
      <c r="E22" s="49"/>
      <c r="F22" s="50">
        <v>0</v>
      </c>
      <c r="G22" s="51" t="s">
        <v>115</v>
      </c>
      <c r="H22" s="52" t="s">
        <v>116</v>
      </c>
      <c r="I22" s="38">
        <v>46056</v>
      </c>
      <c r="J22" s="35">
        <v>46089</v>
      </c>
      <c r="K22" s="36" t="s">
        <v>8</v>
      </c>
    </row>
    <row r="23" spans="4:11" ht="39.75" customHeight="1" x14ac:dyDescent="0.3">
      <c r="D23" s="48" t="s">
        <v>117</v>
      </c>
      <c r="E23" s="49"/>
      <c r="F23" s="50">
        <v>0</v>
      </c>
      <c r="G23" s="51" t="s">
        <v>118</v>
      </c>
      <c r="H23" s="52" t="s">
        <v>99</v>
      </c>
      <c r="I23" s="38">
        <v>46060</v>
      </c>
      <c r="J23" s="35">
        <v>46068</v>
      </c>
      <c r="K23" s="36" t="s">
        <v>8</v>
      </c>
    </row>
    <row r="24" spans="4:11" ht="39.75" customHeight="1" x14ac:dyDescent="0.3">
      <c r="D24" s="48" t="s">
        <v>119</v>
      </c>
      <c r="E24" s="49"/>
      <c r="F24" s="50">
        <v>0</v>
      </c>
      <c r="G24" s="51" t="s">
        <v>120</v>
      </c>
      <c r="H24" s="52" t="s">
        <v>121</v>
      </c>
      <c r="I24" s="38">
        <v>46060</v>
      </c>
      <c r="J24" s="35">
        <v>46072</v>
      </c>
      <c r="K24" s="36" t="s">
        <v>8</v>
      </c>
    </row>
    <row r="25" spans="4:11" ht="39.75" customHeight="1" x14ac:dyDescent="0.3">
      <c r="D25" s="48" t="s">
        <v>122</v>
      </c>
      <c r="E25" s="49"/>
      <c r="F25" s="50">
        <v>0</v>
      </c>
      <c r="G25" s="51" t="s">
        <v>123</v>
      </c>
      <c r="H25" s="52" t="s">
        <v>121</v>
      </c>
      <c r="I25" s="38">
        <v>46063</v>
      </c>
      <c r="J25" s="35">
        <v>46085</v>
      </c>
      <c r="K25" s="36" t="s">
        <v>8</v>
      </c>
    </row>
    <row r="26" spans="4:11" ht="39.75" customHeight="1" x14ac:dyDescent="0.3">
      <c r="D26" s="48" t="s">
        <v>124</v>
      </c>
      <c r="E26" s="49"/>
      <c r="F26" s="50">
        <v>0</v>
      </c>
      <c r="G26" s="51" t="s">
        <v>125</v>
      </c>
      <c r="H26" s="52" t="s">
        <v>85</v>
      </c>
      <c r="I26" s="38">
        <v>46034</v>
      </c>
      <c r="J26" s="35">
        <v>46086</v>
      </c>
      <c r="K26" s="36" t="s">
        <v>8</v>
      </c>
    </row>
    <row r="27" spans="4:11" ht="39.75" customHeight="1" x14ac:dyDescent="0.3">
      <c r="D27" s="48" t="s">
        <v>126</v>
      </c>
      <c r="E27" s="49"/>
      <c r="F27" s="50">
        <v>0</v>
      </c>
      <c r="G27" s="51" t="s">
        <v>127</v>
      </c>
      <c r="H27" s="52" t="s">
        <v>88</v>
      </c>
      <c r="I27" s="38">
        <v>46067</v>
      </c>
      <c r="J27" s="35">
        <v>46080</v>
      </c>
      <c r="K27" s="36" t="s">
        <v>8</v>
      </c>
    </row>
    <row r="28" spans="4:11" ht="39.75" customHeight="1" x14ac:dyDescent="0.3">
      <c r="D28" s="48" t="s">
        <v>128</v>
      </c>
      <c r="E28" s="49"/>
      <c r="F28" s="50">
        <v>0</v>
      </c>
      <c r="G28" s="51" t="s">
        <v>129</v>
      </c>
      <c r="H28" s="52" t="s">
        <v>130</v>
      </c>
      <c r="I28" s="38">
        <v>46070</v>
      </c>
      <c r="J28" s="35">
        <v>46075</v>
      </c>
      <c r="K28" s="36" t="s">
        <v>8</v>
      </c>
    </row>
    <row r="29" spans="4:11" ht="39.75" customHeight="1" x14ac:dyDescent="0.3">
      <c r="D29" s="48" t="s">
        <v>131</v>
      </c>
      <c r="E29" s="49"/>
      <c r="F29" s="50">
        <v>0</v>
      </c>
      <c r="G29" s="51" t="s">
        <v>132</v>
      </c>
      <c r="H29" s="52" t="s">
        <v>121</v>
      </c>
      <c r="I29" s="38">
        <v>46070</v>
      </c>
      <c r="J29" s="35">
        <v>46098</v>
      </c>
      <c r="K29" s="36" t="s">
        <v>8</v>
      </c>
    </row>
    <row r="30" spans="4:11" ht="39.75" customHeight="1" x14ac:dyDescent="0.3">
      <c r="D30" s="48" t="s">
        <v>133</v>
      </c>
      <c r="E30" s="49"/>
      <c r="F30" s="50">
        <v>0</v>
      </c>
      <c r="G30" s="51" t="s">
        <v>134</v>
      </c>
      <c r="H30" s="52" t="s">
        <v>135</v>
      </c>
      <c r="I30" s="38">
        <v>46070</v>
      </c>
      <c r="J30" s="35">
        <v>46091</v>
      </c>
      <c r="K30" s="36" t="s">
        <v>8</v>
      </c>
    </row>
    <row r="31" spans="4:11" ht="39.75" customHeight="1" x14ac:dyDescent="0.3">
      <c r="D31" s="48" t="s">
        <v>136</v>
      </c>
      <c r="E31" s="49"/>
      <c r="F31" s="50">
        <v>0</v>
      </c>
      <c r="G31" s="51" t="s">
        <v>137</v>
      </c>
      <c r="H31" s="52" t="s">
        <v>130</v>
      </c>
      <c r="I31" s="38">
        <v>46071</v>
      </c>
      <c r="J31" s="35">
        <v>46085</v>
      </c>
      <c r="K31" s="36" t="s">
        <v>8</v>
      </c>
    </row>
    <row r="32" spans="4:11" ht="39.75" customHeight="1" x14ac:dyDescent="0.3">
      <c r="D32" s="48" t="s">
        <v>138</v>
      </c>
      <c r="E32" s="49"/>
      <c r="F32" s="50">
        <v>0</v>
      </c>
      <c r="G32" s="51" t="s">
        <v>139</v>
      </c>
      <c r="H32" s="52" t="s">
        <v>140</v>
      </c>
      <c r="I32" s="38">
        <v>46071</v>
      </c>
      <c r="J32" s="35">
        <v>46079</v>
      </c>
      <c r="K32" s="36" t="s">
        <v>8</v>
      </c>
    </row>
    <row r="33" spans="4:11" ht="39.75" customHeight="1" x14ac:dyDescent="0.3">
      <c r="D33" s="48" t="s">
        <v>141</v>
      </c>
      <c r="E33" s="49"/>
      <c r="F33" s="50">
        <v>0</v>
      </c>
      <c r="G33" s="51" t="s">
        <v>142</v>
      </c>
      <c r="H33" s="52" t="s">
        <v>140</v>
      </c>
      <c r="I33" s="38">
        <v>46071</v>
      </c>
      <c r="J33" s="35">
        <v>46079</v>
      </c>
      <c r="K33" s="36" t="s">
        <v>8</v>
      </c>
    </row>
    <row r="34" spans="4:11" ht="39.75" customHeight="1" x14ac:dyDescent="0.3">
      <c r="D34" s="48" t="s">
        <v>143</v>
      </c>
      <c r="E34" s="49"/>
      <c r="F34" s="50">
        <v>0</v>
      </c>
      <c r="G34" s="51" t="s">
        <v>144</v>
      </c>
      <c r="H34" s="52" t="s">
        <v>99</v>
      </c>
      <c r="I34" s="38">
        <v>46072</v>
      </c>
      <c r="J34" s="35">
        <v>46085</v>
      </c>
      <c r="K34" s="36" t="s">
        <v>8</v>
      </c>
    </row>
    <row r="35" spans="4:11" ht="39.75" customHeight="1" x14ac:dyDescent="0.3">
      <c r="D35" s="48" t="s">
        <v>145</v>
      </c>
      <c r="E35" s="49"/>
      <c r="F35" s="50">
        <v>0</v>
      </c>
      <c r="G35" s="51" t="s">
        <v>146</v>
      </c>
      <c r="H35" s="52" t="s">
        <v>130</v>
      </c>
      <c r="I35" s="38">
        <v>46072</v>
      </c>
      <c r="J35" s="35">
        <v>46085</v>
      </c>
      <c r="K35" s="36" t="s">
        <v>8</v>
      </c>
    </row>
    <row r="36" spans="4:11" ht="39.75" customHeight="1" x14ac:dyDescent="0.3">
      <c r="D36" s="48" t="s">
        <v>147</v>
      </c>
      <c r="E36" s="49"/>
      <c r="F36" s="50">
        <v>0</v>
      </c>
      <c r="G36" s="51" t="s">
        <v>148</v>
      </c>
      <c r="H36" s="53">
        <v>1036</v>
      </c>
      <c r="I36" s="38">
        <v>46034</v>
      </c>
      <c r="J36" s="35">
        <v>46083</v>
      </c>
      <c r="K36" s="36" t="s">
        <v>8</v>
      </c>
    </row>
    <row r="37" spans="4:11" ht="39.75" customHeight="1" x14ac:dyDescent="0.3">
      <c r="D37" s="48" t="s">
        <v>149</v>
      </c>
      <c r="E37" s="49"/>
      <c r="F37" s="50">
        <v>0</v>
      </c>
      <c r="G37" s="51" t="s">
        <v>150</v>
      </c>
      <c r="H37" s="52" t="s">
        <v>140</v>
      </c>
      <c r="I37" s="38">
        <v>46074</v>
      </c>
      <c r="J37" s="35">
        <v>46079</v>
      </c>
      <c r="K37" s="36" t="s">
        <v>8</v>
      </c>
    </row>
    <row r="38" spans="4:11" ht="39.75" customHeight="1" x14ac:dyDescent="0.3">
      <c r="D38" s="48" t="s">
        <v>151</v>
      </c>
      <c r="E38" s="49"/>
      <c r="F38" s="50">
        <v>0</v>
      </c>
      <c r="G38" s="51" t="s">
        <v>146</v>
      </c>
      <c r="H38" s="52" t="s">
        <v>130</v>
      </c>
      <c r="I38" s="38">
        <v>46075</v>
      </c>
      <c r="J38" s="35">
        <v>46085</v>
      </c>
      <c r="K38" s="36" t="s">
        <v>8</v>
      </c>
    </row>
    <row r="39" spans="4:11" ht="39.75" customHeight="1" x14ac:dyDescent="0.3">
      <c r="D39" s="48" t="s">
        <v>152</v>
      </c>
      <c r="E39" s="49"/>
      <c r="F39" s="50">
        <v>0</v>
      </c>
      <c r="G39" s="51" t="s">
        <v>153</v>
      </c>
      <c r="H39" s="53">
        <v>1036</v>
      </c>
      <c r="I39" s="38">
        <v>46075</v>
      </c>
      <c r="J39" s="35">
        <v>46086</v>
      </c>
      <c r="K39" s="36" t="s">
        <v>8</v>
      </c>
    </row>
    <row r="40" spans="4:11" ht="39.75" customHeight="1" x14ac:dyDescent="0.3">
      <c r="D40" s="48" t="s">
        <v>154</v>
      </c>
      <c r="E40" s="49"/>
      <c r="F40" s="50">
        <v>0</v>
      </c>
      <c r="G40" s="51" t="s">
        <v>155</v>
      </c>
      <c r="H40" s="53">
        <v>1025</v>
      </c>
      <c r="I40" s="38">
        <v>46077</v>
      </c>
      <c r="J40" s="35">
        <v>46085</v>
      </c>
      <c r="K40" s="36" t="s">
        <v>8</v>
      </c>
    </row>
    <row r="41" spans="4:11" ht="39.75" customHeight="1" x14ac:dyDescent="0.3">
      <c r="D41" s="48" t="s">
        <v>156</v>
      </c>
      <c r="E41" s="49"/>
      <c r="F41" s="50">
        <v>0</v>
      </c>
      <c r="G41" s="51" t="s">
        <v>157</v>
      </c>
      <c r="H41" s="52" t="s">
        <v>121</v>
      </c>
      <c r="I41" s="38">
        <v>46078</v>
      </c>
      <c r="J41" s="35">
        <v>46087</v>
      </c>
      <c r="K41" s="36" t="s">
        <v>8</v>
      </c>
    </row>
    <row r="42" spans="4:11" ht="39.75" customHeight="1" x14ac:dyDescent="0.3">
      <c r="D42" s="48" t="s">
        <v>158</v>
      </c>
      <c r="E42" s="49"/>
      <c r="F42" s="50">
        <v>0</v>
      </c>
      <c r="G42" s="51" t="s">
        <v>159</v>
      </c>
      <c r="H42" s="53">
        <v>1025</v>
      </c>
      <c r="I42" s="38">
        <v>46078</v>
      </c>
      <c r="J42" s="35">
        <v>46084</v>
      </c>
      <c r="K42" s="36" t="s">
        <v>8</v>
      </c>
    </row>
    <row r="43" spans="4:11" ht="39.75" customHeight="1" x14ac:dyDescent="0.3">
      <c r="D43" s="48" t="s">
        <v>160</v>
      </c>
      <c r="E43" s="49"/>
      <c r="F43" s="50">
        <v>0</v>
      </c>
      <c r="G43" s="51" t="s">
        <v>161</v>
      </c>
      <c r="H43" s="53">
        <v>1047</v>
      </c>
      <c r="I43" s="38">
        <v>46079</v>
      </c>
      <c r="J43" s="35">
        <v>46085</v>
      </c>
      <c r="K43" s="36" t="s">
        <v>8</v>
      </c>
    </row>
    <row r="44" spans="4:11" ht="39.75" customHeight="1" x14ac:dyDescent="0.3">
      <c r="D44" s="48" t="s">
        <v>162</v>
      </c>
      <c r="E44" s="49"/>
      <c r="F44" s="50" t="s">
        <v>163</v>
      </c>
      <c r="G44" s="51" t="s">
        <v>164</v>
      </c>
      <c r="H44" s="53">
        <v>1029</v>
      </c>
      <c r="I44" s="38">
        <v>46081</v>
      </c>
      <c r="J44" s="35">
        <v>46098</v>
      </c>
      <c r="K44" s="36" t="s">
        <v>8</v>
      </c>
    </row>
    <row r="45" spans="4:11" ht="39.75" customHeight="1" x14ac:dyDescent="0.3">
      <c r="D45" s="48" t="s">
        <v>165</v>
      </c>
      <c r="E45" s="49"/>
      <c r="F45" s="50" t="s">
        <v>163</v>
      </c>
      <c r="G45" s="51" t="s">
        <v>166</v>
      </c>
      <c r="H45" s="53">
        <v>1036</v>
      </c>
      <c r="I45" s="38">
        <v>46083</v>
      </c>
      <c r="J45" s="35">
        <v>46087</v>
      </c>
      <c r="K45" s="36" t="s">
        <v>8</v>
      </c>
    </row>
    <row r="46" spans="4:11" ht="39.75" customHeight="1" x14ac:dyDescent="0.3">
      <c r="D46" s="48" t="s">
        <v>167</v>
      </c>
      <c r="E46" s="49"/>
      <c r="F46" s="50" t="s">
        <v>163</v>
      </c>
      <c r="G46" s="51" t="s">
        <v>168</v>
      </c>
      <c r="H46" s="53">
        <v>1021</v>
      </c>
      <c r="I46" s="38">
        <v>46083</v>
      </c>
      <c r="J46" s="35">
        <v>46085</v>
      </c>
      <c r="K46" s="36" t="s">
        <v>8</v>
      </c>
    </row>
    <row r="47" spans="4:11" ht="39.75" customHeight="1" x14ac:dyDescent="0.3">
      <c r="D47" s="48" t="s">
        <v>169</v>
      </c>
      <c r="E47" s="49"/>
      <c r="F47" s="50" t="s">
        <v>163</v>
      </c>
      <c r="G47" s="51" t="s">
        <v>170</v>
      </c>
      <c r="H47" s="53">
        <v>1022</v>
      </c>
      <c r="I47" s="38">
        <v>46084</v>
      </c>
      <c r="J47" s="35">
        <v>46092</v>
      </c>
      <c r="K47" s="36" t="s">
        <v>8</v>
      </c>
    </row>
    <row r="48" spans="4:11" ht="39.75" customHeight="1" x14ac:dyDescent="0.3">
      <c r="D48" s="48" t="s">
        <v>171</v>
      </c>
      <c r="E48" s="49"/>
      <c r="F48" s="50" t="s">
        <v>163</v>
      </c>
      <c r="G48" s="51" t="s">
        <v>172</v>
      </c>
      <c r="H48" s="53">
        <v>1021</v>
      </c>
      <c r="I48" s="38">
        <v>46087</v>
      </c>
      <c r="J48" s="35">
        <v>46098</v>
      </c>
      <c r="K48" s="36" t="s">
        <v>8</v>
      </c>
    </row>
    <row r="49" spans="4:11" ht="39.75" customHeight="1" x14ac:dyDescent="0.3">
      <c r="D49" s="48" t="s">
        <v>173</v>
      </c>
      <c r="E49" s="49"/>
      <c r="F49" s="50" t="s">
        <v>163</v>
      </c>
      <c r="G49" s="51" t="s">
        <v>174</v>
      </c>
      <c r="H49" s="53">
        <v>1025</v>
      </c>
      <c r="I49" s="38">
        <v>46087</v>
      </c>
      <c r="J49" s="35">
        <v>46096</v>
      </c>
      <c r="K49" s="36" t="s">
        <v>8</v>
      </c>
    </row>
    <row r="50" spans="4:11" ht="39.75" customHeight="1" x14ac:dyDescent="0.3">
      <c r="D50" s="48" t="s">
        <v>175</v>
      </c>
      <c r="E50" s="49"/>
      <c r="F50" s="50" t="s">
        <v>163</v>
      </c>
      <c r="G50" s="51" t="s">
        <v>176</v>
      </c>
      <c r="H50" s="53">
        <v>1028</v>
      </c>
      <c r="I50" s="38">
        <v>46087</v>
      </c>
      <c r="J50" s="35">
        <v>46096</v>
      </c>
      <c r="K50" s="36" t="s">
        <v>8</v>
      </c>
    </row>
    <row r="51" spans="4:11" ht="39.75" customHeight="1" x14ac:dyDescent="0.3">
      <c r="D51" s="48" t="s">
        <v>177</v>
      </c>
      <c r="E51" s="49"/>
      <c r="F51" s="50" t="s">
        <v>163</v>
      </c>
      <c r="G51" s="51" t="s">
        <v>178</v>
      </c>
      <c r="H51" s="53">
        <v>1029</v>
      </c>
      <c r="I51" s="38">
        <v>46087</v>
      </c>
      <c r="J51" s="35">
        <v>46099</v>
      </c>
      <c r="K51" s="36" t="s">
        <v>8</v>
      </c>
    </row>
    <row r="52" spans="4:11" ht="39.75" customHeight="1" x14ac:dyDescent="0.3">
      <c r="D52" s="48" t="s">
        <v>179</v>
      </c>
      <c r="E52" s="49"/>
      <c r="F52" s="50" t="s">
        <v>163</v>
      </c>
      <c r="G52" s="51" t="s">
        <v>180</v>
      </c>
      <c r="H52" s="53">
        <v>1036</v>
      </c>
      <c r="I52" s="38">
        <v>46087</v>
      </c>
      <c r="J52" s="35">
        <v>46099</v>
      </c>
      <c r="K52" s="36" t="s">
        <v>8</v>
      </c>
    </row>
    <row r="53" spans="4:11" ht="39.75" customHeight="1" x14ac:dyDescent="0.3">
      <c r="D53" s="48" t="s">
        <v>181</v>
      </c>
      <c r="E53" s="49"/>
      <c r="F53" s="50" t="s">
        <v>163</v>
      </c>
      <c r="G53" s="51" t="s">
        <v>182</v>
      </c>
      <c r="H53" s="53">
        <v>1047</v>
      </c>
      <c r="I53" s="38">
        <v>46087</v>
      </c>
      <c r="J53" s="35">
        <v>46096</v>
      </c>
      <c r="K53" s="36" t="s">
        <v>8</v>
      </c>
    </row>
    <row r="54" spans="4:11" ht="39.75" customHeight="1" x14ac:dyDescent="0.3">
      <c r="D54" s="48" t="s">
        <v>183</v>
      </c>
      <c r="E54" s="49"/>
      <c r="F54" s="50" t="s">
        <v>163</v>
      </c>
      <c r="G54" s="51" t="s">
        <v>184</v>
      </c>
      <c r="H54" s="53">
        <v>1021</v>
      </c>
      <c r="I54" s="38">
        <v>46088</v>
      </c>
      <c r="J54" s="35">
        <v>46091</v>
      </c>
      <c r="K54" s="36" t="s">
        <v>8</v>
      </c>
    </row>
    <row r="55" spans="4:11" ht="39.75" customHeight="1" x14ac:dyDescent="0.3">
      <c r="D55" s="48" t="s">
        <v>185</v>
      </c>
      <c r="E55" s="49"/>
      <c r="F55" s="50" t="s">
        <v>163</v>
      </c>
      <c r="G55" s="51" t="s">
        <v>186</v>
      </c>
      <c r="H55" s="53">
        <v>1044</v>
      </c>
      <c r="I55" s="38">
        <v>46088</v>
      </c>
      <c r="J55" s="35">
        <v>46106</v>
      </c>
      <c r="K55" s="36" t="s">
        <v>8</v>
      </c>
    </row>
    <row r="56" spans="4:11" ht="39.75" customHeight="1" x14ac:dyDescent="0.3">
      <c r="D56" s="48" t="s">
        <v>187</v>
      </c>
      <c r="E56" s="49"/>
      <c r="F56" s="50" t="s">
        <v>163</v>
      </c>
      <c r="G56" s="51" t="s">
        <v>188</v>
      </c>
      <c r="H56" s="53">
        <v>1047</v>
      </c>
      <c r="I56" s="38">
        <v>46089</v>
      </c>
      <c r="J56" s="35">
        <v>46106</v>
      </c>
      <c r="K56" s="36" t="s">
        <v>8</v>
      </c>
    </row>
    <row r="57" spans="4:11" ht="39.75" customHeight="1" x14ac:dyDescent="0.3">
      <c r="D57" s="48" t="s">
        <v>189</v>
      </c>
      <c r="E57" s="49"/>
      <c r="F57" s="50" t="s">
        <v>163</v>
      </c>
      <c r="G57" s="51" t="s">
        <v>190</v>
      </c>
      <c r="H57" s="53">
        <v>1026</v>
      </c>
      <c r="I57" s="38">
        <v>46090</v>
      </c>
      <c r="J57" s="35">
        <v>46098</v>
      </c>
      <c r="K57" s="36" t="s">
        <v>8</v>
      </c>
    </row>
    <row r="58" spans="4:11" ht="39.75" customHeight="1" x14ac:dyDescent="0.3">
      <c r="D58" s="48" t="s">
        <v>191</v>
      </c>
      <c r="E58" s="49"/>
      <c r="F58" s="50" t="s">
        <v>163</v>
      </c>
      <c r="G58" s="51" t="s">
        <v>192</v>
      </c>
      <c r="H58" s="52" t="s">
        <v>193</v>
      </c>
      <c r="I58" s="38">
        <v>46090</v>
      </c>
      <c r="J58" s="35">
        <v>46106</v>
      </c>
      <c r="K58" s="36" t="s">
        <v>8</v>
      </c>
    </row>
    <row r="59" spans="4:11" ht="39.75" customHeight="1" x14ac:dyDescent="0.3">
      <c r="D59" s="48" t="s">
        <v>194</v>
      </c>
      <c r="E59" s="49"/>
      <c r="F59" s="50" t="s">
        <v>163</v>
      </c>
      <c r="G59" s="51" t="s">
        <v>195</v>
      </c>
      <c r="H59" s="53">
        <v>1028</v>
      </c>
      <c r="I59" s="38">
        <v>46091</v>
      </c>
      <c r="J59" s="35">
        <v>46106</v>
      </c>
      <c r="K59" s="36" t="s">
        <v>8</v>
      </c>
    </row>
    <row r="60" spans="4:11" ht="39.75" customHeight="1" x14ac:dyDescent="0.3">
      <c r="D60" s="48" t="s">
        <v>196</v>
      </c>
      <c r="E60" s="49"/>
      <c r="F60" s="50" t="s">
        <v>163</v>
      </c>
      <c r="G60" s="51" t="s">
        <v>197</v>
      </c>
      <c r="H60" s="53">
        <v>1026</v>
      </c>
      <c r="I60" s="38">
        <v>46091</v>
      </c>
      <c r="J60" s="35">
        <v>46100</v>
      </c>
      <c r="K60" s="36" t="s">
        <v>8</v>
      </c>
    </row>
    <row r="61" spans="4:11" ht="39.75" customHeight="1" x14ac:dyDescent="0.3">
      <c r="D61" s="48" t="s">
        <v>198</v>
      </c>
      <c r="E61" s="49"/>
      <c r="F61" s="50" t="s">
        <v>163</v>
      </c>
      <c r="G61" s="51" t="s">
        <v>199</v>
      </c>
      <c r="H61" s="53">
        <v>1036</v>
      </c>
      <c r="I61" s="38">
        <v>46092</v>
      </c>
      <c r="J61" s="35">
        <v>46106</v>
      </c>
      <c r="K61" s="36" t="s">
        <v>8</v>
      </c>
    </row>
    <row r="62" spans="4:11" ht="39.75" customHeight="1" x14ac:dyDescent="0.3">
      <c r="D62" s="48" t="s">
        <v>200</v>
      </c>
      <c r="E62" s="49"/>
      <c r="F62" s="50" t="s">
        <v>163</v>
      </c>
      <c r="G62" s="51" t="s">
        <v>201</v>
      </c>
      <c r="H62" s="53">
        <v>1044</v>
      </c>
      <c r="I62" s="38">
        <v>46092</v>
      </c>
      <c r="J62" s="35">
        <v>46100</v>
      </c>
      <c r="K62" s="36" t="s">
        <v>8</v>
      </c>
    </row>
    <row r="63" spans="4:11" ht="39.75" customHeight="1" x14ac:dyDescent="0.3">
      <c r="D63" s="48" t="s">
        <v>202</v>
      </c>
      <c r="E63" s="49"/>
      <c r="F63" s="50" t="s">
        <v>163</v>
      </c>
      <c r="G63" s="51" t="s">
        <v>203</v>
      </c>
      <c r="H63" s="53">
        <v>1025</v>
      </c>
      <c r="I63" s="38">
        <v>46093</v>
      </c>
      <c r="J63" s="35">
        <v>46099</v>
      </c>
      <c r="K63" s="36" t="s">
        <v>8</v>
      </c>
    </row>
    <row r="64" spans="4:11" ht="39.75" customHeight="1" x14ac:dyDescent="0.3">
      <c r="D64" s="48" t="s">
        <v>204</v>
      </c>
      <c r="E64" s="49"/>
      <c r="F64" s="50" t="s">
        <v>163</v>
      </c>
      <c r="G64" s="51" t="s">
        <v>205</v>
      </c>
      <c r="H64" s="53">
        <v>1022</v>
      </c>
      <c r="I64" s="38">
        <v>46093</v>
      </c>
      <c r="J64" s="35">
        <v>46098</v>
      </c>
      <c r="K64" s="36" t="s">
        <v>8</v>
      </c>
    </row>
    <row r="65" spans="4:11" ht="39.75" customHeight="1" x14ac:dyDescent="0.3">
      <c r="D65" s="48" t="s">
        <v>206</v>
      </c>
      <c r="E65" s="49"/>
      <c r="F65" s="50" t="s">
        <v>163</v>
      </c>
      <c r="G65" s="51" t="s">
        <v>207</v>
      </c>
      <c r="H65" s="53">
        <v>1025</v>
      </c>
      <c r="I65" s="38">
        <v>46096</v>
      </c>
      <c r="J65" s="35">
        <v>46099</v>
      </c>
      <c r="K65" s="36" t="s">
        <v>8</v>
      </c>
    </row>
    <row r="66" spans="4:11" ht="39.75" customHeight="1" x14ac:dyDescent="0.3">
      <c r="D66" s="48" t="s">
        <v>208</v>
      </c>
      <c r="E66" s="49"/>
      <c r="F66" s="50" t="s">
        <v>163</v>
      </c>
      <c r="G66" s="51" t="s">
        <v>209</v>
      </c>
      <c r="H66" s="53">
        <v>1028</v>
      </c>
      <c r="I66" s="38">
        <v>46096</v>
      </c>
      <c r="J66" s="35">
        <v>46111</v>
      </c>
      <c r="K66" s="36" t="s">
        <v>8</v>
      </c>
    </row>
    <row r="67" spans="4:11" ht="39.75" customHeight="1" x14ac:dyDescent="0.3">
      <c r="D67" s="48" t="s">
        <v>210</v>
      </c>
      <c r="E67" s="49"/>
      <c r="F67" s="50" t="s">
        <v>163</v>
      </c>
      <c r="G67" s="51" t="s">
        <v>211</v>
      </c>
      <c r="H67" s="53">
        <v>1029</v>
      </c>
      <c r="I67" s="38">
        <v>46096</v>
      </c>
      <c r="J67" s="35">
        <v>46098</v>
      </c>
      <c r="K67" s="36" t="s">
        <v>8</v>
      </c>
    </row>
    <row r="68" spans="4:11" ht="39.75" customHeight="1" x14ac:dyDescent="0.3">
      <c r="D68" s="48" t="s">
        <v>212</v>
      </c>
      <c r="E68" s="49"/>
      <c r="F68" s="50" t="s">
        <v>163</v>
      </c>
      <c r="G68" s="51" t="s">
        <v>213</v>
      </c>
      <c r="H68" s="53">
        <v>1047</v>
      </c>
      <c r="I68" s="38">
        <v>46096</v>
      </c>
      <c r="J68" s="35">
        <v>46107</v>
      </c>
      <c r="K68" s="36" t="s">
        <v>8</v>
      </c>
    </row>
    <row r="69" spans="4:11" ht="39.75" customHeight="1" x14ac:dyDescent="0.3">
      <c r="D69" s="48" t="s">
        <v>214</v>
      </c>
      <c r="E69" s="49"/>
      <c r="F69" s="50" t="s">
        <v>163</v>
      </c>
      <c r="G69" s="51" t="s">
        <v>215</v>
      </c>
      <c r="H69" s="53">
        <v>1047</v>
      </c>
      <c r="I69" s="38">
        <v>46096</v>
      </c>
      <c r="J69" s="35">
        <v>46099</v>
      </c>
      <c r="K69" s="36" t="s">
        <v>8</v>
      </c>
    </row>
    <row r="70" spans="4:11" ht="39.75" customHeight="1" x14ac:dyDescent="0.3">
      <c r="D70" s="48" t="s">
        <v>216</v>
      </c>
      <c r="E70" s="49"/>
      <c r="F70" s="50" t="s">
        <v>163</v>
      </c>
      <c r="G70" s="51" t="s">
        <v>217</v>
      </c>
      <c r="H70" s="53">
        <v>1025</v>
      </c>
      <c r="I70" s="38">
        <v>46096</v>
      </c>
      <c r="J70" s="35">
        <v>46097</v>
      </c>
      <c r="K70" s="36" t="s">
        <v>8</v>
      </c>
    </row>
    <row r="71" spans="4:11" ht="39.75" customHeight="1" x14ac:dyDescent="0.3">
      <c r="D71" s="48" t="s">
        <v>218</v>
      </c>
      <c r="E71" s="49"/>
      <c r="F71" s="50" t="s">
        <v>163</v>
      </c>
      <c r="G71" s="51" t="s">
        <v>219</v>
      </c>
      <c r="H71" s="53">
        <v>1024</v>
      </c>
      <c r="I71" s="38">
        <v>46097</v>
      </c>
      <c r="J71" s="35">
        <v>46098</v>
      </c>
      <c r="K71" s="36" t="s">
        <v>8</v>
      </c>
    </row>
    <row r="72" spans="4:11" ht="39.75" customHeight="1" x14ac:dyDescent="0.3">
      <c r="D72" s="48" t="s">
        <v>220</v>
      </c>
      <c r="E72" s="49"/>
      <c r="F72" s="50" t="s">
        <v>163</v>
      </c>
      <c r="G72" s="51" t="s">
        <v>221</v>
      </c>
      <c r="H72" s="53">
        <v>1022</v>
      </c>
      <c r="I72" s="38">
        <v>46097</v>
      </c>
      <c r="J72" s="35">
        <v>46099</v>
      </c>
      <c r="K72" s="36" t="s">
        <v>8</v>
      </c>
    </row>
    <row r="73" spans="4:11" ht="39.75" customHeight="1" x14ac:dyDescent="0.3">
      <c r="D73" s="48" t="s">
        <v>222</v>
      </c>
      <c r="E73" s="49"/>
      <c r="F73" s="50" t="s">
        <v>163</v>
      </c>
      <c r="G73" s="51" t="s">
        <v>223</v>
      </c>
      <c r="H73" s="53">
        <v>1036</v>
      </c>
      <c r="I73" s="38">
        <v>46097</v>
      </c>
      <c r="J73" s="35">
        <v>46099</v>
      </c>
      <c r="K73" s="36" t="s">
        <v>8</v>
      </c>
    </row>
    <row r="74" spans="4:11" ht="39.75" customHeight="1" x14ac:dyDescent="0.3">
      <c r="D74" s="48" t="s">
        <v>224</v>
      </c>
      <c r="E74" s="49"/>
      <c r="F74" s="50" t="s">
        <v>163</v>
      </c>
      <c r="G74" s="51" t="s">
        <v>225</v>
      </c>
      <c r="H74" s="53">
        <v>1036</v>
      </c>
      <c r="I74" s="38">
        <v>46097</v>
      </c>
      <c r="J74" s="35">
        <v>46100</v>
      </c>
      <c r="K74" s="36" t="s">
        <v>8</v>
      </c>
    </row>
    <row r="75" spans="4:11" ht="39.75" customHeight="1" x14ac:dyDescent="0.3">
      <c r="D75" s="48" t="s">
        <v>226</v>
      </c>
      <c r="E75" s="49"/>
      <c r="F75" s="50" t="s">
        <v>163</v>
      </c>
      <c r="G75" s="51" t="s">
        <v>227</v>
      </c>
      <c r="H75" s="53">
        <v>1029</v>
      </c>
      <c r="I75" s="38">
        <v>46097</v>
      </c>
      <c r="J75" s="35">
        <v>46098</v>
      </c>
      <c r="K75" s="36" t="s">
        <v>8</v>
      </c>
    </row>
    <row r="76" spans="4:11" ht="39.75" customHeight="1" x14ac:dyDescent="0.3">
      <c r="D76" s="48" t="s">
        <v>228</v>
      </c>
      <c r="E76" s="49"/>
      <c r="F76" s="50" t="s">
        <v>163</v>
      </c>
      <c r="G76" s="51" t="s">
        <v>229</v>
      </c>
      <c r="H76" s="53">
        <v>1036</v>
      </c>
      <c r="I76" s="38">
        <v>46098</v>
      </c>
      <c r="J76" s="35">
        <v>46099</v>
      </c>
      <c r="K76" s="36" t="s">
        <v>8</v>
      </c>
    </row>
    <row r="77" spans="4:11" ht="39.75" customHeight="1" x14ac:dyDescent="0.3">
      <c r="D77" s="48" t="s">
        <v>230</v>
      </c>
      <c r="E77" s="49"/>
      <c r="F77" s="50" t="s">
        <v>163</v>
      </c>
      <c r="G77" s="51" t="s">
        <v>231</v>
      </c>
      <c r="H77" s="53">
        <v>1026</v>
      </c>
      <c r="I77" s="38">
        <v>46098</v>
      </c>
      <c r="J77" s="35">
        <v>46099</v>
      </c>
      <c r="K77" s="36" t="s">
        <v>8</v>
      </c>
    </row>
    <row r="78" spans="4:11" ht="39.75" customHeight="1" x14ac:dyDescent="0.3">
      <c r="D78" s="48" t="s">
        <v>232</v>
      </c>
      <c r="E78" s="49"/>
      <c r="F78" s="50" t="s">
        <v>163</v>
      </c>
      <c r="G78" s="51" t="s">
        <v>233</v>
      </c>
      <c r="H78" s="53">
        <v>1036</v>
      </c>
      <c r="I78" s="38">
        <v>46098</v>
      </c>
      <c r="J78" s="35">
        <v>46106</v>
      </c>
      <c r="K78" s="36" t="s">
        <v>8</v>
      </c>
    </row>
    <row r="79" spans="4:11" ht="39.75" customHeight="1" x14ac:dyDescent="0.3">
      <c r="D79" s="48" t="s">
        <v>234</v>
      </c>
      <c r="E79" s="49"/>
      <c r="F79" s="50" t="s">
        <v>163</v>
      </c>
      <c r="G79" s="51" t="s">
        <v>217</v>
      </c>
      <c r="H79" s="53">
        <v>1025</v>
      </c>
      <c r="I79" s="38">
        <v>46098</v>
      </c>
      <c r="J79" s="35">
        <v>46099</v>
      </c>
      <c r="K79" s="36" t="s">
        <v>8</v>
      </c>
    </row>
    <row r="80" spans="4:11" ht="39.75" customHeight="1" x14ac:dyDescent="0.3">
      <c r="D80" s="48" t="s">
        <v>235</v>
      </c>
      <c r="E80" s="49"/>
      <c r="F80" s="50" t="s">
        <v>163</v>
      </c>
      <c r="G80" s="51" t="s">
        <v>236</v>
      </c>
      <c r="H80" s="53">
        <v>1044</v>
      </c>
      <c r="I80" s="38">
        <v>46099</v>
      </c>
      <c r="J80" s="35">
        <v>46111</v>
      </c>
      <c r="K80" s="36" t="s">
        <v>8</v>
      </c>
    </row>
    <row r="81" spans="4:11" ht="39.75" customHeight="1" x14ac:dyDescent="0.3">
      <c r="D81" s="48" t="s">
        <v>237</v>
      </c>
      <c r="E81" s="49"/>
      <c r="F81" s="50" t="s">
        <v>163</v>
      </c>
      <c r="G81" s="51" t="s">
        <v>238</v>
      </c>
      <c r="H81" s="52" t="s">
        <v>193</v>
      </c>
      <c r="I81" s="38">
        <v>46099</v>
      </c>
      <c r="J81" s="35">
        <v>46113</v>
      </c>
      <c r="K81" s="36" t="s">
        <v>8</v>
      </c>
    </row>
    <row r="82" spans="4:11" ht="39.75" customHeight="1" x14ac:dyDescent="0.3">
      <c r="D82" s="48" t="s">
        <v>239</v>
      </c>
      <c r="E82" s="49"/>
      <c r="F82" s="50" t="s">
        <v>163</v>
      </c>
      <c r="G82" s="51" t="s">
        <v>240</v>
      </c>
      <c r="H82" s="53">
        <v>1029</v>
      </c>
      <c r="I82" s="38">
        <v>46099</v>
      </c>
      <c r="J82" s="35">
        <v>46106</v>
      </c>
      <c r="K82" s="36" t="s">
        <v>8</v>
      </c>
    </row>
    <row r="83" spans="4:11" ht="39.75" customHeight="1" x14ac:dyDescent="0.3">
      <c r="D83" s="48" t="s">
        <v>241</v>
      </c>
      <c r="E83" s="49"/>
      <c r="F83" s="50" t="s">
        <v>163</v>
      </c>
      <c r="G83" s="51" t="s">
        <v>242</v>
      </c>
      <c r="H83" s="53">
        <v>1060</v>
      </c>
      <c r="I83" s="38">
        <v>46105</v>
      </c>
      <c r="J83" s="35">
        <v>46106</v>
      </c>
      <c r="K83" s="36" t="s">
        <v>8</v>
      </c>
    </row>
    <row r="84" spans="4:11" ht="39.75" customHeight="1" x14ac:dyDescent="0.3">
      <c r="D84" s="48" t="s">
        <v>243</v>
      </c>
      <c r="E84" s="49"/>
      <c r="F84" s="50" t="s">
        <v>163</v>
      </c>
      <c r="G84" s="51" t="s">
        <v>244</v>
      </c>
      <c r="H84" s="53">
        <v>1026</v>
      </c>
      <c r="I84" s="38">
        <v>46105</v>
      </c>
      <c r="J84" s="35">
        <v>46118</v>
      </c>
      <c r="K84" s="36" t="s">
        <v>8</v>
      </c>
    </row>
    <row r="85" spans="4:11" ht="39.75" customHeight="1" x14ac:dyDescent="0.3">
      <c r="D85" s="48" t="s">
        <v>245</v>
      </c>
      <c r="E85" s="49"/>
      <c r="F85" s="50" t="s">
        <v>163</v>
      </c>
      <c r="G85" s="51" t="s">
        <v>246</v>
      </c>
      <c r="H85" s="53">
        <v>1025</v>
      </c>
      <c r="I85" s="38">
        <v>46106</v>
      </c>
      <c r="J85" s="35">
        <v>46110</v>
      </c>
      <c r="K85" s="36" t="s">
        <v>8</v>
      </c>
    </row>
    <row r="86" spans="4:11" ht="39.75" customHeight="1" x14ac:dyDescent="0.3">
      <c r="D86" s="48" t="s">
        <v>247</v>
      </c>
      <c r="E86" s="49"/>
      <c r="F86" s="50" t="s">
        <v>163</v>
      </c>
      <c r="G86" s="51" t="s">
        <v>248</v>
      </c>
      <c r="H86" s="53">
        <v>1036</v>
      </c>
      <c r="I86" s="38">
        <v>46106</v>
      </c>
      <c r="J86" s="35">
        <v>46106</v>
      </c>
      <c r="K86" s="36" t="s">
        <v>8</v>
      </c>
    </row>
    <row r="87" spans="4:11" ht="39.75" customHeight="1" x14ac:dyDescent="0.3">
      <c r="D87" s="48" t="s">
        <v>249</v>
      </c>
      <c r="E87" s="49"/>
      <c r="F87" s="50" t="s">
        <v>163</v>
      </c>
      <c r="G87" s="51" t="s">
        <v>240</v>
      </c>
      <c r="H87" s="53">
        <v>1029</v>
      </c>
      <c r="I87" s="38">
        <v>46107</v>
      </c>
      <c r="J87" s="35">
        <v>46113</v>
      </c>
      <c r="K87" s="36" t="s">
        <v>8</v>
      </c>
    </row>
    <row r="88" spans="4:11" ht="39.75" customHeight="1" x14ac:dyDescent="0.3">
      <c r="D88" s="48" t="s">
        <v>250</v>
      </c>
      <c r="E88" s="49"/>
      <c r="F88" s="50" t="s">
        <v>163</v>
      </c>
      <c r="G88" s="51" t="s">
        <v>251</v>
      </c>
      <c r="H88" s="53">
        <v>1029</v>
      </c>
      <c r="I88" s="38">
        <v>46107</v>
      </c>
      <c r="J88" s="35">
        <v>46113</v>
      </c>
      <c r="K88" s="36" t="s">
        <v>8</v>
      </c>
    </row>
    <row r="89" spans="4:11" ht="39.75" customHeight="1" x14ac:dyDescent="0.3">
      <c r="D89" s="48" t="s">
        <v>252</v>
      </c>
      <c r="E89" s="49"/>
      <c r="F89" s="50" t="s">
        <v>163</v>
      </c>
      <c r="G89" s="51" t="s">
        <v>253</v>
      </c>
      <c r="H89" s="53">
        <v>1026</v>
      </c>
      <c r="I89" s="38">
        <v>46107</v>
      </c>
      <c r="J89" s="35">
        <v>46111</v>
      </c>
      <c r="K89" s="36" t="s">
        <v>8</v>
      </c>
    </row>
    <row r="90" spans="4:11" ht="39.75" customHeight="1" x14ac:dyDescent="0.3">
      <c r="D90" s="48" t="s">
        <v>254</v>
      </c>
      <c r="E90" s="49"/>
      <c r="F90" s="50" t="s">
        <v>163</v>
      </c>
      <c r="G90" s="51" t="s">
        <v>255</v>
      </c>
      <c r="H90" s="53">
        <v>1026</v>
      </c>
      <c r="I90" s="38">
        <v>46107</v>
      </c>
      <c r="J90" s="35">
        <v>46120</v>
      </c>
      <c r="K90" s="36" t="s">
        <v>8</v>
      </c>
    </row>
    <row r="91" spans="4:11" ht="39.75" customHeight="1" x14ac:dyDescent="0.3">
      <c r="D91" s="48" t="s">
        <v>256</v>
      </c>
      <c r="E91" s="49"/>
      <c r="F91" s="50" t="s">
        <v>163</v>
      </c>
      <c r="G91" s="51" t="s">
        <v>257</v>
      </c>
      <c r="H91" s="53">
        <v>1021</v>
      </c>
      <c r="I91" s="38">
        <v>46107</v>
      </c>
      <c r="J91" s="35">
        <v>46113</v>
      </c>
      <c r="K91" s="36" t="s">
        <v>8</v>
      </c>
    </row>
    <row r="92" spans="4:11" ht="39.75" customHeight="1" x14ac:dyDescent="0.3">
      <c r="D92" s="48" t="s">
        <v>258</v>
      </c>
      <c r="E92" s="49" t="s">
        <v>259</v>
      </c>
      <c r="F92" s="50" t="s">
        <v>163</v>
      </c>
      <c r="G92" s="51" t="s">
        <v>260</v>
      </c>
      <c r="H92" s="52" t="s">
        <v>193</v>
      </c>
      <c r="I92" s="38">
        <v>46110</v>
      </c>
      <c r="J92" s="35">
        <v>46113</v>
      </c>
      <c r="K92" s="36" t="s">
        <v>8</v>
      </c>
    </row>
    <row r="93" spans="4:11" ht="39.75" customHeight="1" x14ac:dyDescent="0.3">
      <c r="D93" s="48" t="s">
        <v>261</v>
      </c>
      <c r="E93" s="49"/>
      <c r="F93" s="50" t="s">
        <v>163</v>
      </c>
      <c r="G93" s="51" t="s">
        <v>262</v>
      </c>
      <c r="H93" s="53">
        <v>1047</v>
      </c>
      <c r="I93" s="38">
        <v>46111</v>
      </c>
      <c r="J93" s="35">
        <v>46111</v>
      </c>
      <c r="K93" s="36" t="s">
        <v>8</v>
      </c>
    </row>
    <row r="94" spans="4:11" ht="39.75" customHeight="1" x14ac:dyDescent="0.3">
      <c r="D94" s="48" t="s">
        <v>263</v>
      </c>
      <c r="E94" s="49"/>
      <c r="F94" s="50" t="s">
        <v>163</v>
      </c>
      <c r="G94" s="51" t="s">
        <v>264</v>
      </c>
      <c r="H94" s="53">
        <v>1047</v>
      </c>
      <c r="I94" s="38">
        <v>46112</v>
      </c>
      <c r="J94" s="35">
        <v>46114</v>
      </c>
      <c r="K94" s="36" t="s">
        <v>8</v>
      </c>
    </row>
    <row r="95" spans="4:11" ht="39.75" customHeight="1" x14ac:dyDescent="0.3">
      <c r="D95" s="48" t="s">
        <v>265</v>
      </c>
      <c r="E95" s="49"/>
      <c r="F95" s="50" t="s">
        <v>163</v>
      </c>
      <c r="G95" s="51" t="s">
        <v>251</v>
      </c>
      <c r="H95" s="53">
        <v>1029</v>
      </c>
      <c r="I95" s="38">
        <v>46112</v>
      </c>
      <c r="J95" s="35">
        <v>46119</v>
      </c>
      <c r="K95" s="36" t="s">
        <v>8</v>
      </c>
    </row>
    <row r="96" spans="4:11" ht="39.75" customHeight="1" x14ac:dyDescent="0.3">
      <c r="D96" s="48" t="s">
        <v>266</v>
      </c>
      <c r="E96" s="49"/>
      <c r="F96" s="50" t="s">
        <v>163</v>
      </c>
      <c r="G96" s="51" t="s">
        <v>267</v>
      </c>
      <c r="H96" s="53">
        <v>1026</v>
      </c>
      <c r="I96" s="38">
        <v>46113</v>
      </c>
      <c r="J96" s="35">
        <v>46114</v>
      </c>
      <c r="K96" s="36" t="s">
        <v>8</v>
      </c>
    </row>
    <row r="97" spans="4:11" ht="39.75" customHeight="1" x14ac:dyDescent="0.3">
      <c r="D97" s="48" t="s">
        <v>268</v>
      </c>
      <c r="E97" s="49"/>
      <c r="F97" s="50" t="s">
        <v>163</v>
      </c>
      <c r="G97" s="51" t="s">
        <v>269</v>
      </c>
      <c r="H97" s="53">
        <v>1026</v>
      </c>
      <c r="I97" s="38">
        <v>46113</v>
      </c>
      <c r="J97" s="35">
        <v>46117</v>
      </c>
      <c r="K97" s="36" t="s">
        <v>8</v>
      </c>
    </row>
    <row r="98" spans="4:11" ht="39.75" customHeight="1" x14ac:dyDescent="0.3">
      <c r="D98" s="48" t="s">
        <v>270</v>
      </c>
      <c r="E98" s="49"/>
      <c r="F98" s="50" t="s">
        <v>163</v>
      </c>
      <c r="G98" s="51" t="s">
        <v>271</v>
      </c>
      <c r="H98" s="52" t="s">
        <v>193</v>
      </c>
      <c r="I98" s="38">
        <v>46113</v>
      </c>
      <c r="J98" s="35">
        <v>46133</v>
      </c>
      <c r="K98" s="36" t="s">
        <v>8</v>
      </c>
    </row>
    <row r="99" spans="4:11" ht="39.75" customHeight="1" x14ac:dyDescent="0.3">
      <c r="D99" s="48" t="s">
        <v>272</v>
      </c>
      <c r="E99" s="49"/>
      <c r="F99" s="50" t="s">
        <v>163</v>
      </c>
      <c r="G99" s="51" t="s">
        <v>273</v>
      </c>
      <c r="H99" s="53">
        <v>1022</v>
      </c>
      <c r="I99" s="38">
        <v>46114</v>
      </c>
      <c r="J99" s="35">
        <v>46119</v>
      </c>
      <c r="K99" s="36" t="s">
        <v>8</v>
      </c>
    </row>
    <row r="100" spans="4:11" ht="39.75" customHeight="1" x14ac:dyDescent="0.3">
      <c r="D100" s="48" t="s">
        <v>274</v>
      </c>
      <c r="E100" s="49"/>
      <c r="F100" s="50" t="s">
        <v>163</v>
      </c>
      <c r="G100" s="51" t="s">
        <v>275</v>
      </c>
      <c r="H100" s="53">
        <v>1036</v>
      </c>
      <c r="I100" s="38">
        <v>46114</v>
      </c>
      <c r="J100" s="35">
        <v>46118</v>
      </c>
      <c r="K100" s="36" t="s">
        <v>8</v>
      </c>
    </row>
    <row r="101" spans="4:11" ht="39.75" customHeight="1" x14ac:dyDescent="0.3">
      <c r="D101" s="48" t="s">
        <v>276</v>
      </c>
      <c r="E101" s="49"/>
      <c r="F101" s="50" t="s">
        <v>163</v>
      </c>
      <c r="G101" s="51" t="s">
        <v>251</v>
      </c>
      <c r="H101" s="53">
        <v>1029</v>
      </c>
      <c r="I101" s="38">
        <v>46116</v>
      </c>
      <c r="J101" s="35">
        <v>46119</v>
      </c>
      <c r="K101" s="36" t="s">
        <v>8</v>
      </c>
    </row>
    <row r="102" spans="4:11" ht="39.75" customHeight="1" x14ac:dyDescent="0.3">
      <c r="D102" s="48" t="s">
        <v>277</v>
      </c>
      <c r="E102" s="49"/>
      <c r="F102" s="50" t="s">
        <v>163</v>
      </c>
      <c r="G102" s="51" t="s">
        <v>278</v>
      </c>
      <c r="H102" s="53">
        <v>1022</v>
      </c>
      <c r="I102" s="38">
        <v>46117</v>
      </c>
      <c r="J102" s="35">
        <v>46128</v>
      </c>
      <c r="K102" s="36" t="s">
        <v>8</v>
      </c>
    </row>
    <row r="103" spans="4:11" ht="39.75" customHeight="1" x14ac:dyDescent="0.3">
      <c r="D103" s="48" t="s">
        <v>279</v>
      </c>
      <c r="E103" s="49"/>
      <c r="F103" s="50" t="s">
        <v>163</v>
      </c>
      <c r="G103" s="51" t="s">
        <v>280</v>
      </c>
      <c r="H103" s="53">
        <v>1026</v>
      </c>
      <c r="I103" s="38">
        <v>46118</v>
      </c>
      <c r="J103" s="35">
        <v>46118</v>
      </c>
      <c r="K103" s="36" t="s">
        <v>8</v>
      </c>
    </row>
    <row r="104" spans="4:11" ht="39.75" customHeight="1" x14ac:dyDescent="0.3">
      <c r="D104" s="48" t="s">
        <v>281</v>
      </c>
      <c r="E104" s="49"/>
      <c r="F104" s="50" t="s">
        <v>163</v>
      </c>
      <c r="G104" s="51" t="s">
        <v>282</v>
      </c>
      <c r="H104" s="53">
        <v>1024</v>
      </c>
      <c r="I104" s="38">
        <v>46118</v>
      </c>
      <c r="J104" s="35">
        <v>46123</v>
      </c>
      <c r="K104" s="36" t="s">
        <v>8</v>
      </c>
    </row>
    <row r="105" spans="4:11" ht="39.75" customHeight="1" x14ac:dyDescent="0.3">
      <c r="D105" s="48" t="s">
        <v>283</v>
      </c>
      <c r="E105" s="49"/>
      <c r="F105" s="50" t="s">
        <v>163</v>
      </c>
      <c r="G105" s="51" t="s">
        <v>284</v>
      </c>
      <c r="H105" s="53">
        <v>1036</v>
      </c>
      <c r="I105" s="38">
        <v>46118</v>
      </c>
      <c r="J105" s="35">
        <v>46119</v>
      </c>
      <c r="K105" s="36" t="s">
        <v>8</v>
      </c>
    </row>
    <row r="106" spans="4:11" ht="39.75" customHeight="1" x14ac:dyDescent="0.3">
      <c r="D106" s="48" t="s">
        <v>285</v>
      </c>
      <c r="E106" s="49"/>
      <c r="F106" s="50" t="s">
        <v>163</v>
      </c>
      <c r="G106" s="51" t="s">
        <v>286</v>
      </c>
      <c r="H106" s="53">
        <v>1036</v>
      </c>
      <c r="I106" s="38">
        <v>46118</v>
      </c>
      <c r="J106" s="35">
        <v>46119</v>
      </c>
      <c r="K106" s="36" t="s">
        <v>8</v>
      </c>
    </row>
    <row r="107" spans="4:11" ht="39.75" customHeight="1" x14ac:dyDescent="0.3">
      <c r="D107" s="48" t="s">
        <v>287</v>
      </c>
      <c r="E107" s="49"/>
      <c r="F107" s="50" t="s">
        <v>163</v>
      </c>
      <c r="G107" s="51" t="s">
        <v>288</v>
      </c>
      <c r="H107" s="53">
        <v>1026</v>
      </c>
      <c r="I107" s="38">
        <v>46118</v>
      </c>
      <c r="J107" s="35">
        <v>46123</v>
      </c>
      <c r="K107" s="36" t="s">
        <v>8</v>
      </c>
    </row>
    <row r="108" spans="4:11" ht="39.75" customHeight="1" x14ac:dyDescent="0.3">
      <c r="D108" s="48" t="s">
        <v>289</v>
      </c>
      <c r="E108" s="49"/>
      <c r="F108" s="50" t="s">
        <v>163</v>
      </c>
      <c r="G108" s="51" t="s">
        <v>273</v>
      </c>
      <c r="H108" s="53">
        <v>1022</v>
      </c>
      <c r="I108" s="38">
        <v>46119</v>
      </c>
      <c r="J108" s="35">
        <v>46126</v>
      </c>
      <c r="K108" s="36" t="s">
        <v>8</v>
      </c>
    </row>
    <row r="109" spans="4:11" ht="39.75" customHeight="1" x14ac:dyDescent="0.3">
      <c r="D109" s="48" t="s">
        <v>290</v>
      </c>
      <c r="E109" s="49"/>
      <c r="F109" s="50" t="s">
        <v>163</v>
      </c>
      <c r="G109" s="51" t="s">
        <v>291</v>
      </c>
      <c r="H109" s="53">
        <v>1024</v>
      </c>
      <c r="I109" s="38">
        <v>46119</v>
      </c>
      <c r="J109" s="35">
        <v>46123</v>
      </c>
      <c r="K109" s="36" t="s">
        <v>8</v>
      </c>
    </row>
    <row r="110" spans="4:11" ht="39.75" customHeight="1" x14ac:dyDescent="0.3">
      <c r="D110" s="48" t="s">
        <v>292</v>
      </c>
      <c r="E110" s="49"/>
      <c r="F110" s="50" t="s">
        <v>163</v>
      </c>
      <c r="G110" s="51" t="s">
        <v>293</v>
      </c>
      <c r="H110" s="53">
        <v>1024</v>
      </c>
      <c r="I110" s="38">
        <v>46120</v>
      </c>
      <c r="J110" s="35">
        <v>46123</v>
      </c>
      <c r="K110" s="36" t="s">
        <v>8</v>
      </c>
    </row>
    <row r="111" spans="4:11" ht="39.75" customHeight="1" x14ac:dyDescent="0.3">
      <c r="D111" s="48" t="s">
        <v>294</v>
      </c>
      <c r="E111" s="49"/>
      <c r="F111" s="50" t="s">
        <v>163</v>
      </c>
      <c r="G111" s="51" t="s">
        <v>295</v>
      </c>
      <c r="H111" s="53">
        <v>1047</v>
      </c>
      <c r="I111" s="38">
        <v>46120</v>
      </c>
      <c r="J111" s="35">
        <v>46126</v>
      </c>
      <c r="K111" s="36" t="s">
        <v>8</v>
      </c>
    </row>
    <row r="112" spans="4:11" ht="39.75" customHeight="1" x14ac:dyDescent="0.3">
      <c r="D112" s="48" t="s">
        <v>296</v>
      </c>
      <c r="E112" s="49"/>
      <c r="F112" s="50" t="s">
        <v>163</v>
      </c>
      <c r="G112" s="51" t="s">
        <v>297</v>
      </c>
      <c r="H112" s="53">
        <v>1026</v>
      </c>
      <c r="I112" s="38">
        <v>46120</v>
      </c>
      <c r="J112" s="35">
        <v>46123</v>
      </c>
      <c r="K112" s="36" t="s">
        <v>8</v>
      </c>
    </row>
    <row r="113" spans="4:11" ht="39.75" customHeight="1" x14ac:dyDescent="0.3">
      <c r="D113" s="48" t="s">
        <v>298</v>
      </c>
      <c r="E113" s="49"/>
      <c r="F113" s="50" t="s">
        <v>163</v>
      </c>
      <c r="G113" s="51" t="s">
        <v>299</v>
      </c>
      <c r="H113" s="53">
        <v>1026</v>
      </c>
      <c r="I113" s="38">
        <v>46120</v>
      </c>
      <c r="J113" s="35">
        <v>46124</v>
      </c>
      <c r="K113" s="36" t="s">
        <v>8</v>
      </c>
    </row>
    <row r="114" spans="4:11" ht="39.75" customHeight="1" x14ac:dyDescent="0.3">
      <c r="D114" s="48" t="s">
        <v>300</v>
      </c>
      <c r="E114" s="49"/>
      <c r="F114" s="50" t="s">
        <v>163</v>
      </c>
      <c r="G114" s="51" t="s">
        <v>301</v>
      </c>
      <c r="H114" s="53">
        <v>1047</v>
      </c>
      <c r="I114" s="38">
        <v>46120</v>
      </c>
      <c r="J114" s="35">
        <v>46126</v>
      </c>
      <c r="K114" s="36" t="s">
        <v>8</v>
      </c>
    </row>
    <row r="115" spans="4:11" ht="39.75" customHeight="1" x14ac:dyDescent="0.3">
      <c r="D115" s="48" t="s">
        <v>302</v>
      </c>
      <c r="E115" s="49"/>
      <c r="F115" s="50" t="s">
        <v>163</v>
      </c>
      <c r="G115" s="51" t="s">
        <v>303</v>
      </c>
      <c r="H115" s="53">
        <v>1024</v>
      </c>
      <c r="I115" s="38">
        <v>46121</v>
      </c>
      <c r="J115" s="35">
        <v>46126</v>
      </c>
      <c r="K115" s="36" t="s">
        <v>8</v>
      </c>
    </row>
    <row r="116" spans="4:11" ht="39.75" customHeight="1" x14ac:dyDescent="0.3">
      <c r="D116" s="48" t="s">
        <v>304</v>
      </c>
      <c r="E116" s="49"/>
      <c r="F116" s="50" t="s">
        <v>163</v>
      </c>
      <c r="G116" s="51" t="s">
        <v>305</v>
      </c>
      <c r="H116" s="53">
        <v>1021</v>
      </c>
      <c r="I116" s="38">
        <v>46121</v>
      </c>
      <c r="J116" s="35">
        <v>46126</v>
      </c>
      <c r="K116" s="36" t="s">
        <v>8</v>
      </c>
    </row>
    <row r="117" spans="4:11" ht="39.75" customHeight="1" x14ac:dyDescent="0.3">
      <c r="D117" s="48" t="s">
        <v>306</v>
      </c>
      <c r="E117" s="49"/>
      <c r="F117" s="50" t="s">
        <v>163</v>
      </c>
      <c r="G117" s="51" t="s">
        <v>307</v>
      </c>
      <c r="H117" s="53">
        <v>1024</v>
      </c>
      <c r="I117" s="38">
        <v>46127</v>
      </c>
      <c r="J117" s="35">
        <v>46130</v>
      </c>
      <c r="K117" s="36" t="s">
        <v>8</v>
      </c>
    </row>
    <row r="118" spans="4:11" ht="39.75" customHeight="1" x14ac:dyDescent="0.3">
      <c r="D118" s="48" t="s">
        <v>308</v>
      </c>
      <c r="E118" s="49"/>
      <c r="F118" s="50" t="s">
        <v>163</v>
      </c>
      <c r="G118" s="51" t="s">
        <v>309</v>
      </c>
      <c r="H118" s="53">
        <v>1029</v>
      </c>
      <c r="I118" s="38">
        <v>46127</v>
      </c>
      <c r="J118" s="35">
        <v>46132</v>
      </c>
      <c r="K118" s="36" t="s">
        <v>8</v>
      </c>
    </row>
    <row r="119" spans="4:11" ht="39.75" customHeight="1" x14ac:dyDescent="0.3">
      <c r="D119" s="48" t="s">
        <v>310</v>
      </c>
      <c r="E119" s="49"/>
      <c r="F119" s="50" t="s">
        <v>163</v>
      </c>
      <c r="G119" s="51" t="s">
        <v>311</v>
      </c>
      <c r="H119" s="53">
        <v>1029</v>
      </c>
      <c r="I119" s="38">
        <v>46127</v>
      </c>
      <c r="J119" s="35">
        <v>46132</v>
      </c>
      <c r="K119" s="36" t="s">
        <v>8</v>
      </c>
    </row>
    <row r="120" spans="4:11" ht="39.75" customHeight="1" x14ac:dyDescent="0.3">
      <c r="D120" s="48" t="s">
        <v>312</v>
      </c>
      <c r="E120" s="49"/>
      <c r="F120" s="50" t="s">
        <v>163</v>
      </c>
      <c r="G120" s="51" t="s">
        <v>313</v>
      </c>
      <c r="H120" s="53">
        <v>1036</v>
      </c>
      <c r="I120" s="38">
        <v>46127</v>
      </c>
      <c r="J120" s="35">
        <v>46128</v>
      </c>
      <c r="K120" s="36" t="s">
        <v>8</v>
      </c>
    </row>
    <row r="121" spans="4:11" ht="39.75" customHeight="1" x14ac:dyDescent="0.3">
      <c r="D121" s="48" t="s">
        <v>314</v>
      </c>
      <c r="E121" s="49"/>
      <c r="F121" s="50" t="s">
        <v>163</v>
      </c>
      <c r="G121" s="51" t="s">
        <v>315</v>
      </c>
      <c r="H121" s="53">
        <v>1036</v>
      </c>
      <c r="I121" s="38">
        <v>46127</v>
      </c>
      <c r="J121" s="35">
        <v>46127</v>
      </c>
      <c r="K121" s="36" t="s">
        <v>8</v>
      </c>
    </row>
    <row r="122" spans="4:11" ht="39.75" customHeight="1" x14ac:dyDescent="0.3">
      <c r="D122" s="48" t="s">
        <v>316</v>
      </c>
      <c r="E122" s="49"/>
      <c r="F122" s="50" t="s">
        <v>163</v>
      </c>
      <c r="G122" s="51" t="s">
        <v>317</v>
      </c>
      <c r="H122" s="53">
        <v>1044</v>
      </c>
      <c r="I122" s="38">
        <v>46127</v>
      </c>
      <c r="J122" s="35">
        <v>46141</v>
      </c>
      <c r="K122" s="36" t="s">
        <v>8</v>
      </c>
    </row>
    <row r="123" spans="4:11" ht="39.75" customHeight="1" x14ac:dyDescent="0.3">
      <c r="D123" s="48" t="s">
        <v>318</v>
      </c>
      <c r="E123" s="49"/>
      <c r="F123" s="50" t="s">
        <v>163</v>
      </c>
      <c r="G123" s="51" t="s">
        <v>319</v>
      </c>
      <c r="H123" s="53">
        <v>1047</v>
      </c>
      <c r="I123" s="38">
        <v>46127</v>
      </c>
      <c r="J123" s="35">
        <v>46133</v>
      </c>
      <c r="K123" s="36" t="s">
        <v>8</v>
      </c>
    </row>
    <row r="124" spans="4:11" ht="39.75" customHeight="1" x14ac:dyDescent="0.3">
      <c r="D124" s="48" t="s">
        <v>320</v>
      </c>
      <c r="E124" s="49"/>
      <c r="F124" s="50" t="s">
        <v>163</v>
      </c>
      <c r="G124" s="51" t="s">
        <v>309</v>
      </c>
      <c r="H124" s="53">
        <v>1029</v>
      </c>
      <c r="I124" s="38">
        <v>46127</v>
      </c>
      <c r="J124" s="35">
        <v>46132</v>
      </c>
      <c r="K124" s="36" t="s">
        <v>8</v>
      </c>
    </row>
    <row r="125" spans="4:11" ht="39.75" customHeight="1" x14ac:dyDescent="0.3">
      <c r="D125" s="48" t="s">
        <v>321</v>
      </c>
      <c r="E125" s="49"/>
      <c r="F125" s="50" t="s">
        <v>163</v>
      </c>
      <c r="G125" s="51" t="s">
        <v>322</v>
      </c>
      <c r="H125" s="53">
        <v>1024</v>
      </c>
      <c r="I125" s="38">
        <v>46127</v>
      </c>
      <c r="J125" s="35">
        <v>46132</v>
      </c>
      <c r="K125" s="36" t="s">
        <v>8</v>
      </c>
    </row>
    <row r="126" spans="4:11" ht="39.75" customHeight="1" x14ac:dyDescent="0.3">
      <c r="D126" s="48" t="s">
        <v>323</v>
      </c>
      <c r="E126" s="49"/>
      <c r="F126" s="50" t="s">
        <v>163</v>
      </c>
      <c r="G126" s="51" t="s">
        <v>324</v>
      </c>
      <c r="H126" s="53">
        <v>1022</v>
      </c>
      <c r="I126" s="38">
        <v>46127</v>
      </c>
      <c r="J126" s="35">
        <v>46132</v>
      </c>
      <c r="K126" s="36" t="s">
        <v>8</v>
      </c>
    </row>
    <row r="127" spans="4:11" ht="39.75" customHeight="1" x14ac:dyDescent="0.3">
      <c r="D127" s="48" t="s">
        <v>325</v>
      </c>
      <c r="E127" s="49"/>
      <c r="F127" s="50" t="s">
        <v>163</v>
      </c>
      <c r="G127" s="51" t="s">
        <v>326</v>
      </c>
      <c r="H127" s="53">
        <v>1021</v>
      </c>
      <c r="I127" s="38">
        <v>46127</v>
      </c>
      <c r="J127" s="35">
        <v>46142</v>
      </c>
      <c r="K127" s="36" t="s">
        <v>8</v>
      </c>
    </row>
    <row r="128" spans="4:11" ht="39.75" customHeight="1" x14ac:dyDescent="0.3">
      <c r="D128" s="48" t="s">
        <v>327</v>
      </c>
      <c r="E128" s="49"/>
      <c r="F128" s="50" t="s">
        <v>163</v>
      </c>
      <c r="G128" s="51" t="s">
        <v>328</v>
      </c>
      <c r="H128" s="53">
        <v>1036</v>
      </c>
      <c r="I128" s="38">
        <v>46127</v>
      </c>
      <c r="J128" s="35">
        <v>46131</v>
      </c>
      <c r="K128" s="36" t="s">
        <v>8</v>
      </c>
    </row>
    <row r="129" spans="4:11" ht="39.75" customHeight="1" x14ac:dyDescent="0.3">
      <c r="D129" s="48" t="s">
        <v>329</v>
      </c>
      <c r="E129" s="49"/>
      <c r="F129" s="50" t="s">
        <v>163</v>
      </c>
      <c r="G129" s="51" t="s">
        <v>330</v>
      </c>
      <c r="H129" s="53">
        <v>1044</v>
      </c>
      <c r="I129" s="38">
        <v>46128</v>
      </c>
      <c r="J129" s="35">
        <v>46133</v>
      </c>
      <c r="K129" s="36" t="s">
        <v>8</v>
      </c>
    </row>
    <row r="130" spans="4:11" ht="39.75" customHeight="1" x14ac:dyDescent="0.3">
      <c r="D130" s="48" t="s">
        <v>331</v>
      </c>
      <c r="E130" s="49"/>
      <c r="F130" s="50" t="s">
        <v>163</v>
      </c>
      <c r="G130" s="51" t="s">
        <v>332</v>
      </c>
      <c r="H130" s="53">
        <v>1036</v>
      </c>
      <c r="I130" s="38">
        <v>46128</v>
      </c>
      <c r="J130" s="35">
        <v>46131</v>
      </c>
      <c r="K130" s="36" t="s">
        <v>8</v>
      </c>
    </row>
    <row r="131" spans="4:11" ht="39.75" customHeight="1" x14ac:dyDescent="0.3">
      <c r="D131" s="48" t="s">
        <v>333</v>
      </c>
      <c r="E131" s="49"/>
      <c r="F131" s="50" t="s">
        <v>163</v>
      </c>
      <c r="G131" s="51" t="s">
        <v>334</v>
      </c>
      <c r="H131" s="53">
        <v>1036</v>
      </c>
      <c r="I131" s="38">
        <v>46131</v>
      </c>
      <c r="J131" s="35">
        <v>46131</v>
      </c>
      <c r="K131" s="36" t="s">
        <v>8</v>
      </c>
    </row>
    <row r="132" spans="4:11" ht="39.75" customHeight="1" x14ac:dyDescent="0.3">
      <c r="D132" s="48" t="s">
        <v>335</v>
      </c>
      <c r="E132" s="49" t="s">
        <v>336</v>
      </c>
      <c r="F132" s="50" t="s">
        <v>163</v>
      </c>
      <c r="G132" s="51" t="s">
        <v>337</v>
      </c>
      <c r="H132" s="53">
        <v>1022</v>
      </c>
      <c r="I132" s="38">
        <v>46131</v>
      </c>
      <c r="J132" s="35">
        <v>46132</v>
      </c>
      <c r="K132" s="36" t="s">
        <v>8</v>
      </c>
    </row>
    <row r="133" spans="4:11" ht="39.75" customHeight="1" x14ac:dyDescent="0.3">
      <c r="D133" s="48" t="s">
        <v>338</v>
      </c>
      <c r="E133" s="49"/>
      <c r="F133" s="50" t="s">
        <v>163</v>
      </c>
      <c r="G133" s="51" t="s">
        <v>339</v>
      </c>
      <c r="H133" s="53">
        <v>1036</v>
      </c>
      <c r="I133" s="38">
        <v>46132</v>
      </c>
      <c r="J133" s="35">
        <v>46133</v>
      </c>
      <c r="K133" s="36" t="s">
        <v>8</v>
      </c>
    </row>
    <row r="134" spans="4:11" ht="39.75" customHeight="1" x14ac:dyDescent="0.3">
      <c r="D134" s="48" t="s">
        <v>340</v>
      </c>
      <c r="E134" s="49"/>
      <c r="F134" s="50" t="s">
        <v>163</v>
      </c>
      <c r="G134" s="51" t="s">
        <v>341</v>
      </c>
      <c r="H134" s="53">
        <v>1036</v>
      </c>
      <c r="I134" s="38">
        <v>46132</v>
      </c>
      <c r="J134" s="35">
        <v>46133</v>
      </c>
      <c r="K134" s="36" t="s">
        <v>8</v>
      </c>
    </row>
    <row r="135" spans="4:11" ht="39.75" customHeight="1" x14ac:dyDescent="0.3">
      <c r="D135" s="48" t="s">
        <v>342</v>
      </c>
      <c r="E135" s="49"/>
      <c r="F135" s="50" t="s">
        <v>163</v>
      </c>
      <c r="G135" s="51" t="s">
        <v>343</v>
      </c>
      <c r="H135" s="53">
        <v>1047</v>
      </c>
      <c r="I135" s="38">
        <v>46132</v>
      </c>
      <c r="J135" s="35">
        <v>46133</v>
      </c>
      <c r="K135" s="36" t="s">
        <v>8</v>
      </c>
    </row>
    <row r="136" spans="4:11" ht="39.75" customHeight="1" x14ac:dyDescent="0.3">
      <c r="D136" s="48" t="s">
        <v>344</v>
      </c>
      <c r="E136" s="49"/>
      <c r="F136" s="50" t="s">
        <v>163</v>
      </c>
      <c r="G136" s="51" t="s">
        <v>345</v>
      </c>
      <c r="H136" s="53">
        <v>1025</v>
      </c>
      <c r="I136" s="38">
        <v>46132</v>
      </c>
      <c r="J136" s="35">
        <v>46133</v>
      </c>
      <c r="K136" s="36" t="s">
        <v>8</v>
      </c>
    </row>
    <row r="137" spans="4:11" ht="39.75" customHeight="1" x14ac:dyDescent="0.3">
      <c r="D137" s="48" t="s">
        <v>346</v>
      </c>
      <c r="E137" s="49"/>
      <c r="F137" s="50" t="s">
        <v>163</v>
      </c>
      <c r="G137" s="51" t="s">
        <v>347</v>
      </c>
      <c r="H137" s="53">
        <v>1024</v>
      </c>
      <c r="I137" s="38">
        <v>46133</v>
      </c>
      <c r="J137" s="35">
        <v>46135</v>
      </c>
      <c r="K137" s="36" t="s">
        <v>8</v>
      </c>
    </row>
    <row r="138" spans="4:11" ht="39.75" customHeight="1" x14ac:dyDescent="0.3">
      <c r="D138" s="48" t="s">
        <v>348</v>
      </c>
      <c r="E138" s="49"/>
      <c r="F138" s="50" t="s">
        <v>163</v>
      </c>
      <c r="G138" s="51" t="s">
        <v>349</v>
      </c>
      <c r="H138" s="53">
        <v>1026</v>
      </c>
      <c r="I138" s="38">
        <v>46133</v>
      </c>
      <c r="J138" s="35">
        <v>46135</v>
      </c>
      <c r="K138" s="36" t="s">
        <v>8</v>
      </c>
    </row>
    <row r="139" spans="4:11" ht="39.75" customHeight="1" x14ac:dyDescent="0.3">
      <c r="D139" s="48" t="s">
        <v>350</v>
      </c>
      <c r="E139" s="49"/>
      <c r="F139" s="50" t="s">
        <v>163</v>
      </c>
      <c r="G139" s="51" t="s">
        <v>351</v>
      </c>
      <c r="H139" s="53">
        <v>1026</v>
      </c>
      <c r="I139" s="38">
        <v>46133</v>
      </c>
      <c r="J139" s="35">
        <v>46135</v>
      </c>
      <c r="K139" s="36" t="s">
        <v>8</v>
      </c>
    </row>
    <row r="140" spans="4:11" ht="39.75" customHeight="1" x14ac:dyDescent="0.3">
      <c r="D140" s="48" t="s">
        <v>352</v>
      </c>
      <c r="E140" s="49"/>
      <c r="F140" s="50" t="s">
        <v>163</v>
      </c>
      <c r="G140" s="51" t="s">
        <v>353</v>
      </c>
      <c r="H140" s="53">
        <v>1026</v>
      </c>
      <c r="I140" s="38">
        <v>46133</v>
      </c>
      <c r="J140" s="35">
        <v>46135</v>
      </c>
      <c r="K140" s="36" t="s">
        <v>8</v>
      </c>
    </row>
    <row r="141" spans="4:11" ht="39.75" customHeight="1" x14ac:dyDescent="0.3">
      <c r="D141" s="48" t="s">
        <v>354</v>
      </c>
      <c r="E141" s="49"/>
      <c r="F141" s="50" t="s">
        <v>163</v>
      </c>
      <c r="G141" s="51" t="s">
        <v>355</v>
      </c>
      <c r="H141" s="53">
        <v>1036</v>
      </c>
      <c r="I141" s="38">
        <v>46133</v>
      </c>
      <c r="J141" s="35">
        <v>46135</v>
      </c>
      <c r="K141" s="36" t="s">
        <v>8</v>
      </c>
    </row>
    <row r="142" spans="4:11" ht="39.75" customHeight="1" x14ac:dyDescent="0.3">
      <c r="D142" s="48" t="s">
        <v>356</v>
      </c>
      <c r="E142" s="49"/>
      <c r="F142" s="50" t="s">
        <v>163</v>
      </c>
      <c r="G142" s="51" t="s">
        <v>357</v>
      </c>
      <c r="H142" s="53">
        <v>1036</v>
      </c>
      <c r="I142" s="38">
        <v>46133</v>
      </c>
      <c r="J142" s="35">
        <v>46135</v>
      </c>
      <c r="K142" s="36" t="s">
        <v>8</v>
      </c>
    </row>
    <row r="143" spans="4:11" ht="39.75" customHeight="1" x14ac:dyDescent="0.3">
      <c r="D143" s="48" t="s">
        <v>358</v>
      </c>
      <c r="E143" s="49"/>
      <c r="F143" s="50" t="s">
        <v>163</v>
      </c>
      <c r="G143" s="51" t="s">
        <v>359</v>
      </c>
      <c r="H143" s="53">
        <v>1047</v>
      </c>
      <c r="I143" s="38">
        <v>46133</v>
      </c>
      <c r="J143" s="35">
        <v>46135</v>
      </c>
      <c r="K143" s="36" t="s">
        <v>8</v>
      </c>
    </row>
    <row r="144" spans="4:11" ht="39.75" customHeight="1" x14ac:dyDescent="0.3">
      <c r="D144" s="48" t="s">
        <v>360</v>
      </c>
      <c r="E144" s="49"/>
      <c r="F144" s="50" t="s">
        <v>163</v>
      </c>
      <c r="G144" s="51" t="s">
        <v>361</v>
      </c>
      <c r="H144" s="52" t="s">
        <v>193</v>
      </c>
      <c r="I144" s="38">
        <v>46133</v>
      </c>
      <c r="J144" s="35">
        <v>46142</v>
      </c>
      <c r="K144" s="36" t="s">
        <v>8</v>
      </c>
    </row>
    <row r="145" spans="4:11" ht="39.75" customHeight="1" x14ac:dyDescent="0.3">
      <c r="D145" s="48" t="s">
        <v>362</v>
      </c>
      <c r="E145" s="49"/>
      <c r="F145" s="50" t="s">
        <v>163</v>
      </c>
      <c r="G145" s="51" t="s">
        <v>363</v>
      </c>
      <c r="H145" s="53">
        <v>1036</v>
      </c>
      <c r="I145" s="38">
        <v>46134</v>
      </c>
      <c r="J145" s="35">
        <v>46135</v>
      </c>
      <c r="K145" s="36" t="s">
        <v>8</v>
      </c>
    </row>
    <row r="146" spans="4:11" ht="39.75" customHeight="1" x14ac:dyDescent="0.3">
      <c r="D146" s="48" t="s">
        <v>364</v>
      </c>
      <c r="E146" s="49"/>
      <c r="F146" s="50" t="s">
        <v>163</v>
      </c>
      <c r="G146" s="51" t="s">
        <v>365</v>
      </c>
      <c r="H146" s="53">
        <v>1024</v>
      </c>
      <c r="I146" s="38">
        <v>46135</v>
      </c>
      <c r="J146" s="35">
        <v>46139</v>
      </c>
      <c r="K146" s="36" t="s">
        <v>8</v>
      </c>
    </row>
    <row r="147" spans="4:11" ht="39.75" customHeight="1" x14ac:dyDescent="0.3">
      <c r="D147" s="48" t="s">
        <v>366</v>
      </c>
      <c r="E147" s="49"/>
      <c r="F147" s="50" t="s">
        <v>163</v>
      </c>
      <c r="G147" s="51" t="s">
        <v>367</v>
      </c>
      <c r="H147" s="53">
        <v>1029</v>
      </c>
      <c r="I147" s="38">
        <v>46135</v>
      </c>
      <c r="J147" s="35">
        <v>46142</v>
      </c>
      <c r="K147" s="36" t="s">
        <v>8</v>
      </c>
    </row>
    <row r="148" spans="4:11" ht="39.75" customHeight="1" x14ac:dyDescent="0.3">
      <c r="D148" s="48" t="s">
        <v>368</v>
      </c>
      <c r="E148" s="49"/>
      <c r="F148" s="50" t="s">
        <v>163</v>
      </c>
      <c r="G148" s="51" t="s">
        <v>369</v>
      </c>
      <c r="H148" s="53">
        <v>1031</v>
      </c>
      <c r="I148" s="38">
        <v>46135</v>
      </c>
      <c r="J148" s="35">
        <v>46145</v>
      </c>
      <c r="K148" s="36" t="s">
        <v>8</v>
      </c>
    </row>
    <row r="149" spans="4:11" ht="39.75" customHeight="1" x14ac:dyDescent="0.3">
      <c r="D149" s="48" t="s">
        <v>370</v>
      </c>
      <c r="E149" s="49"/>
      <c r="F149" s="50" t="s">
        <v>163</v>
      </c>
      <c r="G149" s="51" t="s">
        <v>371</v>
      </c>
      <c r="H149" s="53">
        <v>1031</v>
      </c>
      <c r="I149" s="38">
        <v>46135</v>
      </c>
      <c r="J149" s="35">
        <v>46145</v>
      </c>
      <c r="K149" s="36" t="s">
        <v>8</v>
      </c>
    </row>
    <row r="150" spans="4:11" ht="39.75" customHeight="1" x14ac:dyDescent="0.3">
      <c r="D150" s="48" t="s">
        <v>372</v>
      </c>
      <c r="E150" s="49"/>
      <c r="F150" s="50" t="s">
        <v>163</v>
      </c>
      <c r="G150" s="51" t="s">
        <v>373</v>
      </c>
      <c r="H150" s="53">
        <v>1060</v>
      </c>
      <c r="I150" s="38">
        <v>46135</v>
      </c>
      <c r="J150" s="35">
        <v>46141</v>
      </c>
      <c r="K150" s="36" t="s">
        <v>8</v>
      </c>
    </row>
    <row r="151" spans="4:11" ht="39.75" customHeight="1" x14ac:dyDescent="0.3">
      <c r="D151" s="48" t="s">
        <v>374</v>
      </c>
      <c r="E151" s="49"/>
      <c r="F151" s="50" t="s">
        <v>163</v>
      </c>
      <c r="G151" s="51" t="s">
        <v>375</v>
      </c>
      <c r="H151" s="53">
        <v>1060</v>
      </c>
      <c r="I151" s="38">
        <v>46135</v>
      </c>
      <c r="J151" s="35">
        <v>46141</v>
      </c>
      <c r="K151" s="36" t="s">
        <v>8</v>
      </c>
    </row>
    <row r="152" spans="4:11" ht="39.75" customHeight="1" x14ac:dyDescent="0.3">
      <c r="D152" s="48" t="s">
        <v>376</v>
      </c>
      <c r="E152" s="49"/>
      <c r="F152" s="50" t="s">
        <v>163</v>
      </c>
      <c r="G152" s="51" t="s">
        <v>377</v>
      </c>
      <c r="H152" s="53">
        <v>1029</v>
      </c>
      <c r="I152" s="38">
        <v>46137</v>
      </c>
      <c r="J152" s="35">
        <v>46141</v>
      </c>
      <c r="K152" s="36" t="s">
        <v>8</v>
      </c>
    </row>
    <row r="153" spans="4:11" ht="39.75" customHeight="1" x14ac:dyDescent="0.3">
      <c r="D153" s="48" t="s">
        <v>378</v>
      </c>
      <c r="E153" s="49"/>
      <c r="F153" s="50" t="s">
        <v>163</v>
      </c>
      <c r="G153" s="51" t="s">
        <v>379</v>
      </c>
      <c r="H153" s="53">
        <v>1024</v>
      </c>
      <c r="I153" s="38">
        <v>46138</v>
      </c>
      <c r="J153" s="35">
        <v>46145</v>
      </c>
      <c r="K153" s="36" t="s">
        <v>8</v>
      </c>
    </row>
    <row r="154" spans="4:11" ht="39.75" customHeight="1" x14ac:dyDescent="0.3">
      <c r="D154" s="48" t="s">
        <v>380</v>
      </c>
      <c r="E154" s="49"/>
      <c r="F154" s="50" t="s">
        <v>163</v>
      </c>
      <c r="G154" s="51" t="s">
        <v>381</v>
      </c>
      <c r="H154" s="53">
        <v>1026</v>
      </c>
      <c r="I154" s="38">
        <v>46138</v>
      </c>
      <c r="J154" s="35">
        <v>46142</v>
      </c>
      <c r="K154" s="36" t="s">
        <v>8</v>
      </c>
    </row>
    <row r="155" spans="4:11" ht="39.75" customHeight="1" x14ac:dyDescent="0.3">
      <c r="D155" s="48" t="s">
        <v>382</v>
      </c>
      <c r="E155" s="49"/>
      <c r="F155" s="50" t="s">
        <v>163</v>
      </c>
      <c r="G155" s="51" t="s">
        <v>383</v>
      </c>
      <c r="H155" s="53">
        <v>1060</v>
      </c>
      <c r="I155" s="38">
        <v>46139</v>
      </c>
      <c r="J155" s="35">
        <v>46154</v>
      </c>
      <c r="K155" s="36" t="s">
        <v>8</v>
      </c>
    </row>
    <row r="156" spans="4:11" ht="39.75" customHeight="1" x14ac:dyDescent="0.3">
      <c r="D156" s="48" t="s">
        <v>384</v>
      </c>
      <c r="E156" s="49"/>
      <c r="F156" s="50" t="s">
        <v>163</v>
      </c>
      <c r="G156" s="51" t="s">
        <v>385</v>
      </c>
      <c r="H156" s="53">
        <v>1060</v>
      </c>
      <c r="I156" s="38">
        <v>46139</v>
      </c>
      <c r="J156" s="35">
        <v>46154</v>
      </c>
      <c r="K156" s="36" t="s">
        <v>8</v>
      </c>
    </row>
    <row r="157" spans="4:11" ht="39.75" customHeight="1" x14ac:dyDescent="0.3">
      <c r="D157" s="48" t="s">
        <v>386</v>
      </c>
      <c r="E157" s="49"/>
      <c r="F157" s="50" t="s">
        <v>163</v>
      </c>
      <c r="G157" s="51" t="s">
        <v>387</v>
      </c>
      <c r="H157" s="53">
        <v>1024</v>
      </c>
      <c r="I157" s="38">
        <v>46139</v>
      </c>
      <c r="J157" s="35">
        <v>46142</v>
      </c>
      <c r="K157" s="36" t="s">
        <v>8</v>
      </c>
    </row>
    <row r="158" spans="4:11" ht="39.75" customHeight="1" x14ac:dyDescent="0.3">
      <c r="D158" s="48" t="s">
        <v>388</v>
      </c>
      <c r="E158" s="49" t="s">
        <v>389</v>
      </c>
      <c r="F158" s="50" t="s">
        <v>163</v>
      </c>
      <c r="G158" s="51" t="s">
        <v>390</v>
      </c>
      <c r="H158" s="53">
        <v>1044</v>
      </c>
      <c r="I158" s="38">
        <v>46139</v>
      </c>
      <c r="J158" s="35">
        <v>46148</v>
      </c>
      <c r="K158" s="36" t="s">
        <v>8</v>
      </c>
    </row>
    <row r="159" spans="4:11" ht="39.75" customHeight="1" x14ac:dyDescent="0.3">
      <c r="D159" s="48" t="s">
        <v>391</v>
      </c>
      <c r="E159" s="49" t="s">
        <v>392</v>
      </c>
      <c r="F159" s="50" t="s">
        <v>163</v>
      </c>
      <c r="G159" s="51" t="s">
        <v>393</v>
      </c>
      <c r="H159" s="53">
        <v>1047</v>
      </c>
      <c r="I159" s="38">
        <v>46139</v>
      </c>
      <c r="J159" s="35">
        <v>46142</v>
      </c>
      <c r="K159" s="36" t="s">
        <v>8</v>
      </c>
    </row>
    <row r="160" spans="4:11" ht="39.75" customHeight="1" x14ac:dyDescent="0.3">
      <c r="D160" s="48" t="s">
        <v>394</v>
      </c>
      <c r="E160" s="49" t="s">
        <v>395</v>
      </c>
      <c r="F160" s="50" t="s">
        <v>163</v>
      </c>
      <c r="G160" s="51" t="s">
        <v>396</v>
      </c>
      <c r="H160" s="53">
        <v>1043</v>
      </c>
      <c r="I160" s="38">
        <v>46140</v>
      </c>
      <c r="J160" s="35">
        <v>46142</v>
      </c>
      <c r="K160" s="36" t="s">
        <v>8</v>
      </c>
    </row>
    <row r="161" spans="4:11" ht="39.75" customHeight="1" x14ac:dyDescent="0.3">
      <c r="D161" s="48" t="s">
        <v>397</v>
      </c>
      <c r="E161" s="49" t="s">
        <v>398</v>
      </c>
      <c r="F161" s="50" t="s">
        <v>163</v>
      </c>
      <c r="G161" s="51" t="s">
        <v>399</v>
      </c>
      <c r="H161" s="53">
        <v>1043</v>
      </c>
      <c r="I161" s="38">
        <v>46140</v>
      </c>
      <c r="J161" s="35">
        <v>46142</v>
      </c>
      <c r="K161" s="36" t="s">
        <v>8</v>
      </c>
    </row>
    <row r="162" spans="4:11" ht="39.75" customHeight="1" x14ac:dyDescent="0.3">
      <c r="D162" s="48" t="s">
        <v>400</v>
      </c>
      <c r="E162" s="49" t="s">
        <v>401</v>
      </c>
      <c r="F162" s="50" t="s">
        <v>163</v>
      </c>
      <c r="G162" s="51" t="s">
        <v>402</v>
      </c>
      <c r="H162" s="53">
        <v>1043</v>
      </c>
      <c r="I162" s="38">
        <v>46140</v>
      </c>
      <c r="J162" s="35">
        <v>46145</v>
      </c>
      <c r="K162" s="36" t="s">
        <v>8</v>
      </c>
    </row>
    <row r="163" spans="4:11" ht="39.75" customHeight="1" x14ac:dyDescent="0.3">
      <c r="D163" s="48" t="s">
        <v>403</v>
      </c>
      <c r="E163" s="49" t="s">
        <v>404</v>
      </c>
      <c r="F163" s="50" t="s">
        <v>163</v>
      </c>
      <c r="G163" s="51" t="s">
        <v>405</v>
      </c>
      <c r="H163" s="53">
        <v>1043</v>
      </c>
      <c r="I163" s="38">
        <v>46140</v>
      </c>
      <c r="J163" s="35">
        <v>46162</v>
      </c>
      <c r="K163" s="36" t="s">
        <v>8</v>
      </c>
    </row>
    <row r="164" spans="4:11" ht="39.75" customHeight="1" x14ac:dyDescent="0.3">
      <c r="D164" s="48" t="s">
        <v>406</v>
      </c>
      <c r="E164" s="49" t="s">
        <v>407</v>
      </c>
      <c r="F164" s="50" t="s">
        <v>163</v>
      </c>
      <c r="G164" s="51" t="s">
        <v>408</v>
      </c>
      <c r="H164" s="53">
        <v>1026</v>
      </c>
      <c r="I164" s="38">
        <v>46140</v>
      </c>
      <c r="J164" s="35">
        <v>46145</v>
      </c>
      <c r="K164" s="36" t="s">
        <v>8</v>
      </c>
    </row>
    <row r="165" spans="4:11" ht="39.75" customHeight="1" x14ac:dyDescent="0.3">
      <c r="D165" s="48" t="s">
        <v>409</v>
      </c>
      <c r="E165" s="49" t="s">
        <v>410</v>
      </c>
      <c r="F165" s="50" t="s">
        <v>163</v>
      </c>
      <c r="G165" s="51" t="s">
        <v>367</v>
      </c>
      <c r="H165" s="53">
        <v>1029</v>
      </c>
      <c r="I165" s="38">
        <v>46140</v>
      </c>
      <c r="J165" s="35">
        <v>46148</v>
      </c>
      <c r="K165" s="36" t="s">
        <v>8</v>
      </c>
    </row>
    <row r="166" spans="4:11" ht="39.75" customHeight="1" x14ac:dyDescent="0.3">
      <c r="D166" s="48" t="s">
        <v>411</v>
      </c>
      <c r="E166" s="49" t="s">
        <v>412</v>
      </c>
      <c r="F166" s="50" t="s">
        <v>163</v>
      </c>
      <c r="G166" s="51" t="s">
        <v>413</v>
      </c>
      <c r="H166" s="53">
        <v>1029</v>
      </c>
      <c r="I166" s="38">
        <v>46140</v>
      </c>
      <c r="J166" s="35">
        <v>46147</v>
      </c>
      <c r="K166" s="36" t="s">
        <v>8</v>
      </c>
    </row>
    <row r="167" spans="4:11" ht="39.75" customHeight="1" x14ac:dyDescent="0.3">
      <c r="D167" s="48" t="s">
        <v>414</v>
      </c>
      <c r="E167" s="49" t="s">
        <v>415</v>
      </c>
      <c r="F167" s="50" t="s">
        <v>163</v>
      </c>
      <c r="G167" s="51" t="s">
        <v>416</v>
      </c>
      <c r="H167" s="53">
        <v>1044</v>
      </c>
      <c r="I167" s="38">
        <v>46140</v>
      </c>
      <c r="J167" s="35">
        <v>46148</v>
      </c>
      <c r="K167" s="36" t="s">
        <v>8</v>
      </c>
    </row>
    <row r="168" spans="4:11" ht="39.75" customHeight="1" x14ac:dyDescent="0.3">
      <c r="D168" s="48" t="s">
        <v>417</v>
      </c>
      <c r="E168" s="49" t="s">
        <v>418</v>
      </c>
      <c r="F168" s="50" t="s">
        <v>163</v>
      </c>
      <c r="G168" s="51" t="s">
        <v>419</v>
      </c>
      <c r="H168" s="53">
        <v>1044</v>
      </c>
      <c r="I168" s="38">
        <v>46140</v>
      </c>
      <c r="J168" s="35">
        <v>46160</v>
      </c>
      <c r="K168" s="36" t="s">
        <v>8</v>
      </c>
    </row>
    <row r="169" spans="4:11" ht="39.75" customHeight="1" x14ac:dyDescent="0.3">
      <c r="D169" s="48" t="s">
        <v>420</v>
      </c>
      <c r="E169" s="49" t="s">
        <v>421</v>
      </c>
      <c r="F169" s="50" t="s">
        <v>163</v>
      </c>
      <c r="G169" s="51" t="s">
        <v>422</v>
      </c>
      <c r="H169" s="53">
        <v>1021</v>
      </c>
      <c r="I169" s="38">
        <v>46142</v>
      </c>
      <c r="J169" s="35">
        <v>46156</v>
      </c>
      <c r="K169" s="36" t="s">
        <v>8</v>
      </c>
    </row>
    <row r="170" spans="4:11" ht="39.75" customHeight="1" x14ac:dyDescent="0.3">
      <c r="D170" s="48" t="s">
        <v>423</v>
      </c>
      <c r="E170" s="49" t="s">
        <v>424</v>
      </c>
      <c r="F170" s="50" t="s">
        <v>163</v>
      </c>
      <c r="G170" s="51" t="s">
        <v>425</v>
      </c>
      <c r="H170" s="53">
        <v>1024</v>
      </c>
      <c r="I170" s="38">
        <v>46142</v>
      </c>
      <c r="J170" s="35">
        <v>46147</v>
      </c>
      <c r="K170" s="36" t="s">
        <v>8</v>
      </c>
    </row>
    <row r="171" spans="4:11" ht="39.75" customHeight="1" x14ac:dyDescent="0.3">
      <c r="D171" s="48" t="s">
        <v>426</v>
      </c>
      <c r="E171" s="49"/>
      <c r="F171" s="50" t="s">
        <v>163</v>
      </c>
      <c r="G171" s="51" t="s">
        <v>427</v>
      </c>
      <c r="H171" s="53">
        <v>1026</v>
      </c>
      <c r="I171" s="38">
        <v>46142</v>
      </c>
      <c r="J171" s="35">
        <v>46159</v>
      </c>
      <c r="K171" s="36" t="s">
        <v>8</v>
      </c>
    </row>
    <row r="172" spans="4:11" ht="39.75" customHeight="1" x14ac:dyDescent="0.3">
      <c r="D172" s="48" t="s">
        <v>428</v>
      </c>
      <c r="E172" s="49" t="s">
        <v>429</v>
      </c>
      <c r="F172" s="50" t="s">
        <v>163</v>
      </c>
      <c r="G172" s="51" t="s">
        <v>427</v>
      </c>
      <c r="H172" s="53">
        <v>1026</v>
      </c>
      <c r="I172" s="38">
        <v>46142</v>
      </c>
      <c r="J172" s="35">
        <v>46159</v>
      </c>
      <c r="K172" s="36" t="s">
        <v>8</v>
      </c>
    </row>
    <row r="173" spans="4:11" ht="39.75" customHeight="1" x14ac:dyDescent="0.3">
      <c r="D173" s="48" t="s">
        <v>430</v>
      </c>
      <c r="E173" s="49" t="s">
        <v>431</v>
      </c>
      <c r="F173" s="50" t="s">
        <v>163</v>
      </c>
      <c r="G173" s="51" t="s">
        <v>432</v>
      </c>
      <c r="H173" s="53">
        <v>1028</v>
      </c>
      <c r="I173" s="38">
        <v>46142</v>
      </c>
      <c r="J173" s="35">
        <v>46149</v>
      </c>
      <c r="K173" s="36" t="s">
        <v>8</v>
      </c>
    </row>
    <row r="174" spans="4:11" ht="39.75" customHeight="1" x14ac:dyDescent="0.3">
      <c r="D174" s="48" t="s">
        <v>433</v>
      </c>
      <c r="E174" s="49"/>
      <c r="F174" s="50" t="s">
        <v>163</v>
      </c>
      <c r="G174" s="51" t="s">
        <v>434</v>
      </c>
      <c r="H174" s="53">
        <v>1028</v>
      </c>
      <c r="I174" s="38">
        <v>46142</v>
      </c>
      <c r="J174" s="35">
        <v>46147</v>
      </c>
      <c r="K174" s="36" t="s">
        <v>8</v>
      </c>
    </row>
    <row r="175" spans="4:11" ht="39.75" customHeight="1" x14ac:dyDescent="0.3">
      <c r="D175" s="48" t="s">
        <v>435</v>
      </c>
      <c r="E175" s="49" t="s">
        <v>436</v>
      </c>
      <c r="F175" s="50" t="s">
        <v>163</v>
      </c>
      <c r="G175" s="51" t="s">
        <v>437</v>
      </c>
      <c r="H175" s="53">
        <v>1028</v>
      </c>
      <c r="I175" s="38">
        <v>46142</v>
      </c>
      <c r="J175" s="35">
        <v>46153</v>
      </c>
      <c r="K175" s="36" t="s">
        <v>8</v>
      </c>
    </row>
    <row r="176" spans="4:11" ht="39.75" customHeight="1" x14ac:dyDescent="0.3">
      <c r="D176" s="48" t="s">
        <v>438</v>
      </c>
      <c r="E176" s="49" t="s">
        <v>439</v>
      </c>
      <c r="F176" s="50" t="s">
        <v>163</v>
      </c>
      <c r="G176" s="51" t="s">
        <v>367</v>
      </c>
      <c r="H176" s="53">
        <v>1029</v>
      </c>
      <c r="I176" s="38">
        <v>46142</v>
      </c>
      <c r="J176" s="35">
        <v>46153</v>
      </c>
      <c r="K176" s="36" t="s">
        <v>8</v>
      </c>
    </row>
    <row r="177" spans="4:11" ht="39.75" customHeight="1" x14ac:dyDescent="0.3">
      <c r="D177" s="48" t="s">
        <v>440</v>
      </c>
      <c r="E177" s="49" t="s">
        <v>441</v>
      </c>
      <c r="F177" s="50" t="s">
        <v>163</v>
      </c>
      <c r="G177" s="51" t="s">
        <v>367</v>
      </c>
      <c r="H177" s="53">
        <v>1029</v>
      </c>
      <c r="I177" s="38">
        <v>46142</v>
      </c>
      <c r="J177" s="35">
        <v>46153</v>
      </c>
      <c r="K177" s="36" t="s">
        <v>8</v>
      </c>
    </row>
    <row r="178" spans="4:11" ht="39.75" customHeight="1" x14ac:dyDescent="0.3">
      <c r="D178" s="48" t="s">
        <v>442</v>
      </c>
      <c r="E178" s="49" t="s">
        <v>443</v>
      </c>
      <c r="F178" s="50" t="s">
        <v>163</v>
      </c>
      <c r="G178" s="51" t="s">
        <v>444</v>
      </c>
      <c r="H178" s="53">
        <v>1044</v>
      </c>
      <c r="I178" s="38">
        <v>46142</v>
      </c>
      <c r="J178" s="35">
        <v>46153</v>
      </c>
      <c r="K178" s="36" t="s">
        <v>8</v>
      </c>
    </row>
    <row r="179" spans="4:11" ht="39.75" customHeight="1" x14ac:dyDescent="0.3">
      <c r="D179" s="48" t="s">
        <v>445</v>
      </c>
      <c r="E179" s="49" t="s">
        <v>446</v>
      </c>
      <c r="F179" s="50" t="s">
        <v>163</v>
      </c>
      <c r="G179" s="51" t="s">
        <v>447</v>
      </c>
      <c r="H179" s="53">
        <v>1044</v>
      </c>
      <c r="I179" s="38">
        <v>46142</v>
      </c>
      <c r="J179" s="35">
        <v>46153</v>
      </c>
      <c r="K179" s="36" t="s">
        <v>8</v>
      </c>
    </row>
    <row r="180" spans="4:11" ht="39.75" customHeight="1" x14ac:dyDescent="0.3">
      <c r="D180" s="48" t="s">
        <v>448</v>
      </c>
      <c r="E180" s="49" t="s">
        <v>449</v>
      </c>
      <c r="F180" s="50" t="s">
        <v>163</v>
      </c>
      <c r="G180" s="51" t="s">
        <v>450</v>
      </c>
      <c r="H180" s="53">
        <v>1060</v>
      </c>
      <c r="I180" s="38">
        <v>46142</v>
      </c>
      <c r="J180" s="35">
        <v>46147</v>
      </c>
      <c r="K180" s="36" t="s">
        <v>8</v>
      </c>
    </row>
    <row r="181" spans="4:11" ht="39.75" customHeight="1" x14ac:dyDescent="0.3">
      <c r="D181" s="48" t="s">
        <v>451</v>
      </c>
      <c r="E181" s="49" t="s">
        <v>452</v>
      </c>
      <c r="F181" s="50" t="s">
        <v>163</v>
      </c>
      <c r="G181" s="51" t="s">
        <v>453</v>
      </c>
      <c r="H181" s="53">
        <v>1060</v>
      </c>
      <c r="I181" s="38">
        <v>46142</v>
      </c>
      <c r="J181" s="35">
        <v>46149</v>
      </c>
      <c r="K181" s="36" t="s">
        <v>8</v>
      </c>
    </row>
    <row r="182" spans="4:11" ht="39.75" customHeight="1" x14ac:dyDescent="0.3">
      <c r="D182" s="48" t="s">
        <v>454</v>
      </c>
      <c r="E182" s="49" t="s">
        <v>455</v>
      </c>
      <c r="F182" s="50" t="s">
        <v>163</v>
      </c>
      <c r="G182" s="51" t="s">
        <v>456</v>
      </c>
      <c r="H182" s="53">
        <v>1025</v>
      </c>
      <c r="I182" s="38">
        <v>46144</v>
      </c>
      <c r="J182" s="35">
        <v>46149</v>
      </c>
      <c r="K182" s="36" t="s">
        <v>8</v>
      </c>
    </row>
    <row r="183" spans="4:11" ht="39.75" customHeight="1" x14ac:dyDescent="0.3">
      <c r="D183" s="48" t="s">
        <v>457</v>
      </c>
      <c r="E183" s="49" t="s">
        <v>458</v>
      </c>
      <c r="F183" s="50" t="s">
        <v>163</v>
      </c>
      <c r="G183" s="51" t="s">
        <v>377</v>
      </c>
      <c r="H183" s="53">
        <v>1029</v>
      </c>
      <c r="I183" s="38">
        <v>46144</v>
      </c>
      <c r="J183" s="35">
        <v>46149</v>
      </c>
      <c r="K183" s="36" t="s">
        <v>8</v>
      </c>
    </row>
    <row r="184" spans="4:11" ht="39.75" customHeight="1" x14ac:dyDescent="0.3">
      <c r="D184" s="48" t="s">
        <v>459</v>
      </c>
      <c r="E184" s="49" t="s">
        <v>460</v>
      </c>
      <c r="F184" s="50" t="s">
        <v>163</v>
      </c>
      <c r="G184" s="51" t="s">
        <v>461</v>
      </c>
      <c r="H184" s="53">
        <v>1047</v>
      </c>
      <c r="I184" s="38">
        <v>46145</v>
      </c>
      <c r="J184" s="35">
        <v>46166</v>
      </c>
      <c r="K184" s="36" t="s">
        <v>8</v>
      </c>
    </row>
    <row r="185" spans="4:11" ht="39.75" customHeight="1" x14ac:dyDescent="0.3">
      <c r="D185" s="48" t="s">
        <v>462</v>
      </c>
      <c r="E185" s="49" t="s">
        <v>463</v>
      </c>
      <c r="F185" s="50" t="s">
        <v>163</v>
      </c>
      <c r="G185" s="51" t="s">
        <v>464</v>
      </c>
      <c r="H185" s="53">
        <v>1060</v>
      </c>
      <c r="I185" s="38">
        <v>46145</v>
      </c>
      <c r="J185" s="35">
        <v>46158</v>
      </c>
      <c r="K185" s="36" t="s">
        <v>8</v>
      </c>
    </row>
    <row r="186" spans="4:11" ht="39.75" customHeight="1" x14ac:dyDescent="0.3">
      <c r="D186" s="48" t="s">
        <v>465</v>
      </c>
      <c r="E186" s="49" t="s">
        <v>466</v>
      </c>
      <c r="F186" s="50" t="s">
        <v>163</v>
      </c>
      <c r="G186" s="51" t="s">
        <v>467</v>
      </c>
      <c r="H186" s="53">
        <v>1060</v>
      </c>
      <c r="I186" s="38">
        <v>46145</v>
      </c>
      <c r="J186" s="35">
        <v>46155</v>
      </c>
      <c r="K186" s="36" t="s">
        <v>8</v>
      </c>
    </row>
    <row r="187" spans="4:11" ht="39.75" customHeight="1" x14ac:dyDescent="0.3">
      <c r="D187" s="48" t="s">
        <v>468</v>
      </c>
      <c r="E187" s="49" t="s">
        <v>469</v>
      </c>
      <c r="F187" s="50" t="s">
        <v>163</v>
      </c>
      <c r="G187" s="51" t="s">
        <v>470</v>
      </c>
      <c r="H187" s="53">
        <v>1026</v>
      </c>
      <c r="I187" s="38">
        <v>46146</v>
      </c>
      <c r="J187" s="35">
        <v>46149</v>
      </c>
      <c r="K187" s="36" t="s">
        <v>8</v>
      </c>
    </row>
    <row r="188" spans="4:11" ht="39.75" customHeight="1" x14ac:dyDescent="0.3">
      <c r="D188" s="48" t="s">
        <v>471</v>
      </c>
      <c r="E188" s="49" t="s">
        <v>472</v>
      </c>
      <c r="F188" s="50" t="s">
        <v>163</v>
      </c>
      <c r="G188" s="51" t="s">
        <v>473</v>
      </c>
      <c r="H188" s="53">
        <v>1024</v>
      </c>
      <c r="I188" s="38">
        <v>46147</v>
      </c>
      <c r="J188" s="35">
        <v>46153</v>
      </c>
      <c r="K188" s="36" t="s">
        <v>8</v>
      </c>
    </row>
    <row r="189" spans="4:11" ht="39.75" customHeight="1" x14ac:dyDescent="0.3">
      <c r="D189" s="48" t="s">
        <v>474</v>
      </c>
      <c r="E189" s="49" t="s">
        <v>475</v>
      </c>
      <c r="F189" s="50" t="s">
        <v>163</v>
      </c>
      <c r="G189" s="51" t="s">
        <v>476</v>
      </c>
      <c r="H189" s="53">
        <v>1028</v>
      </c>
      <c r="I189" s="38">
        <v>46147</v>
      </c>
      <c r="J189" s="35">
        <v>46153</v>
      </c>
      <c r="K189" s="36" t="s">
        <v>8</v>
      </c>
    </row>
    <row r="190" spans="4:11" ht="39.75" customHeight="1" x14ac:dyDescent="0.3">
      <c r="D190" s="48" t="s">
        <v>477</v>
      </c>
      <c r="E190" s="49" t="s">
        <v>478</v>
      </c>
      <c r="F190" s="50" t="s">
        <v>163</v>
      </c>
      <c r="G190" s="51" t="s">
        <v>479</v>
      </c>
      <c r="H190" s="53">
        <v>1036</v>
      </c>
      <c r="I190" s="38">
        <v>46147</v>
      </c>
      <c r="J190" s="35">
        <v>46155</v>
      </c>
      <c r="K190" s="36" t="s">
        <v>8</v>
      </c>
    </row>
    <row r="191" spans="4:11" ht="39.75" customHeight="1" x14ac:dyDescent="0.3">
      <c r="D191" s="48" t="s">
        <v>480</v>
      </c>
      <c r="E191" s="49" t="s">
        <v>481</v>
      </c>
      <c r="F191" s="50" t="s">
        <v>163</v>
      </c>
      <c r="G191" s="51" t="s">
        <v>479</v>
      </c>
      <c r="H191" s="53">
        <v>1036</v>
      </c>
      <c r="I191" s="38">
        <v>46147</v>
      </c>
      <c r="J191" s="35">
        <v>46153</v>
      </c>
      <c r="K191" s="36" t="s">
        <v>8</v>
      </c>
    </row>
    <row r="192" spans="4:11" ht="39.75" customHeight="1" x14ac:dyDescent="0.3">
      <c r="D192" s="48" t="s">
        <v>482</v>
      </c>
      <c r="E192" s="49" t="s">
        <v>483</v>
      </c>
      <c r="F192" s="50" t="s">
        <v>163</v>
      </c>
      <c r="G192" s="51" t="s">
        <v>484</v>
      </c>
      <c r="H192" s="53">
        <v>1036</v>
      </c>
      <c r="I192" s="38">
        <v>46147</v>
      </c>
      <c r="J192" s="35">
        <v>46153</v>
      </c>
      <c r="K192" s="36" t="s">
        <v>8</v>
      </c>
    </row>
    <row r="193" spans="4:11" ht="39.75" customHeight="1" x14ac:dyDescent="0.3">
      <c r="D193" s="48" t="s">
        <v>485</v>
      </c>
      <c r="E193" s="49" t="s">
        <v>486</v>
      </c>
      <c r="F193" s="50" t="s">
        <v>163</v>
      </c>
      <c r="G193" s="51" t="s">
        <v>487</v>
      </c>
      <c r="H193" s="53">
        <v>1021</v>
      </c>
      <c r="I193" s="38">
        <v>46148</v>
      </c>
      <c r="J193" s="35">
        <v>46155</v>
      </c>
      <c r="K193" s="36" t="s">
        <v>8</v>
      </c>
    </row>
    <row r="194" spans="4:11" ht="39.75" customHeight="1" x14ac:dyDescent="0.3">
      <c r="D194" s="48" t="s">
        <v>488</v>
      </c>
      <c r="E194" s="49" t="s">
        <v>489</v>
      </c>
      <c r="F194" s="50" t="s">
        <v>163</v>
      </c>
      <c r="G194" s="51" t="s">
        <v>490</v>
      </c>
      <c r="H194" s="53">
        <v>1021</v>
      </c>
      <c r="I194" s="38">
        <v>46148</v>
      </c>
      <c r="J194" s="35">
        <v>46154</v>
      </c>
      <c r="K194" s="36" t="s">
        <v>8</v>
      </c>
    </row>
    <row r="195" spans="4:11" ht="39.75" customHeight="1" x14ac:dyDescent="0.3">
      <c r="D195" s="48" t="s">
        <v>491</v>
      </c>
      <c r="E195" s="49" t="s">
        <v>492</v>
      </c>
      <c r="F195" s="50" t="s">
        <v>163</v>
      </c>
      <c r="G195" s="51" t="s">
        <v>493</v>
      </c>
      <c r="H195" s="53">
        <v>1026</v>
      </c>
      <c r="I195" s="38">
        <v>46148</v>
      </c>
      <c r="J195" s="35">
        <v>46155</v>
      </c>
      <c r="K195" s="36" t="s">
        <v>8</v>
      </c>
    </row>
    <row r="196" spans="4:11" ht="39.75" customHeight="1" x14ac:dyDescent="0.3">
      <c r="D196" s="48" t="s">
        <v>494</v>
      </c>
      <c r="E196" s="49" t="s">
        <v>495</v>
      </c>
      <c r="F196" s="50" t="s">
        <v>163</v>
      </c>
      <c r="G196" s="51" t="s">
        <v>496</v>
      </c>
      <c r="H196" s="53">
        <v>1026</v>
      </c>
      <c r="I196" s="38">
        <v>46148</v>
      </c>
      <c r="J196" s="35">
        <v>46160</v>
      </c>
      <c r="K196" s="36" t="s">
        <v>8</v>
      </c>
    </row>
    <row r="197" spans="4:11" ht="39.75" customHeight="1" x14ac:dyDescent="0.3">
      <c r="D197" s="48" t="s">
        <v>497</v>
      </c>
      <c r="E197" s="49" t="s">
        <v>498</v>
      </c>
      <c r="F197" s="50" t="s">
        <v>163</v>
      </c>
      <c r="G197" s="51" t="s">
        <v>499</v>
      </c>
      <c r="H197" s="53">
        <v>1026</v>
      </c>
      <c r="I197" s="38">
        <v>46166</v>
      </c>
      <c r="J197" s="35">
        <v>46176</v>
      </c>
      <c r="K197" s="36" t="s">
        <v>8</v>
      </c>
    </row>
    <row r="198" spans="4:11" ht="39.75" customHeight="1" x14ac:dyDescent="0.3">
      <c r="D198" s="48" t="s">
        <v>500</v>
      </c>
      <c r="E198" s="49" t="s">
        <v>501</v>
      </c>
      <c r="F198" s="50" t="s">
        <v>163</v>
      </c>
      <c r="G198" s="51" t="s">
        <v>502</v>
      </c>
      <c r="H198" s="53">
        <v>1029</v>
      </c>
      <c r="I198" s="38">
        <v>46148</v>
      </c>
      <c r="J198" s="35">
        <v>46153</v>
      </c>
      <c r="K198" s="36" t="s">
        <v>8</v>
      </c>
    </row>
    <row r="199" spans="4:11" ht="39.75" customHeight="1" x14ac:dyDescent="0.3">
      <c r="D199" s="48" t="s">
        <v>503</v>
      </c>
      <c r="E199" s="49" t="s">
        <v>504</v>
      </c>
      <c r="F199" s="50" t="s">
        <v>163</v>
      </c>
      <c r="G199" s="51" t="s">
        <v>505</v>
      </c>
      <c r="H199" s="53">
        <v>1031</v>
      </c>
      <c r="I199" s="38">
        <v>46148</v>
      </c>
      <c r="J199" s="35">
        <v>46156</v>
      </c>
      <c r="K199" s="36" t="s">
        <v>8</v>
      </c>
    </row>
    <row r="200" spans="4:11" ht="39.75" customHeight="1" x14ac:dyDescent="0.3">
      <c r="D200" s="48" t="s">
        <v>506</v>
      </c>
      <c r="E200" s="49" t="s">
        <v>507</v>
      </c>
      <c r="F200" s="50" t="s">
        <v>163</v>
      </c>
      <c r="G200" s="51" t="s">
        <v>508</v>
      </c>
      <c r="H200" s="53">
        <v>1036</v>
      </c>
      <c r="I200" s="38">
        <v>46148</v>
      </c>
      <c r="J200" s="35">
        <v>46149</v>
      </c>
      <c r="K200" s="36" t="s">
        <v>8</v>
      </c>
    </row>
    <row r="201" spans="4:11" ht="39.75" customHeight="1" x14ac:dyDescent="0.3">
      <c r="D201" s="48" t="s">
        <v>509</v>
      </c>
      <c r="E201" s="49" t="s">
        <v>510</v>
      </c>
      <c r="F201" s="50" t="s">
        <v>163</v>
      </c>
      <c r="G201" s="51" t="s">
        <v>511</v>
      </c>
      <c r="H201" s="53">
        <v>1043</v>
      </c>
      <c r="I201" s="38">
        <v>46148</v>
      </c>
      <c r="J201" s="35">
        <v>46154</v>
      </c>
      <c r="K201" s="36" t="s">
        <v>8</v>
      </c>
    </row>
    <row r="202" spans="4:11" ht="39.75" customHeight="1" x14ac:dyDescent="0.3">
      <c r="D202" s="48" t="s">
        <v>512</v>
      </c>
      <c r="E202" s="49" t="s">
        <v>513</v>
      </c>
      <c r="F202" s="50" t="s">
        <v>163</v>
      </c>
      <c r="G202" s="51" t="s">
        <v>514</v>
      </c>
      <c r="H202" s="53">
        <v>1043</v>
      </c>
      <c r="I202" s="38">
        <v>46148</v>
      </c>
      <c r="J202" s="35">
        <v>46149</v>
      </c>
      <c r="K202" s="36" t="s">
        <v>8</v>
      </c>
    </row>
    <row r="203" spans="4:11" ht="39.75" customHeight="1" x14ac:dyDescent="0.3">
      <c r="D203" s="48" t="s">
        <v>515</v>
      </c>
      <c r="E203" s="49" t="s">
        <v>516</v>
      </c>
      <c r="F203" s="50" t="s">
        <v>163</v>
      </c>
      <c r="G203" s="51" t="s">
        <v>517</v>
      </c>
      <c r="H203" s="53">
        <v>1044</v>
      </c>
      <c r="I203" s="38">
        <v>46148</v>
      </c>
      <c r="J203" s="35">
        <v>46175</v>
      </c>
      <c r="K203" s="36" t="s">
        <v>8</v>
      </c>
    </row>
    <row r="204" spans="4:11" ht="39.75" customHeight="1" x14ac:dyDescent="0.3">
      <c r="D204" s="48" t="s">
        <v>518</v>
      </c>
      <c r="E204" s="49" t="s">
        <v>519</v>
      </c>
      <c r="F204" s="50" t="s">
        <v>163</v>
      </c>
      <c r="G204" s="51" t="s">
        <v>520</v>
      </c>
      <c r="H204" s="52" t="s">
        <v>193</v>
      </c>
      <c r="I204" s="38">
        <v>46148</v>
      </c>
      <c r="J204" s="35">
        <v>46153</v>
      </c>
      <c r="K204" s="36" t="s">
        <v>8</v>
      </c>
    </row>
    <row r="205" spans="4:11" ht="39.75" customHeight="1" x14ac:dyDescent="0.3">
      <c r="D205" s="48" t="s">
        <v>521</v>
      </c>
      <c r="E205" s="49" t="s">
        <v>522</v>
      </c>
      <c r="F205" s="50" t="s">
        <v>163</v>
      </c>
      <c r="G205" s="51" t="s">
        <v>523</v>
      </c>
      <c r="H205" s="53">
        <v>1036</v>
      </c>
      <c r="I205" s="38">
        <v>46151</v>
      </c>
      <c r="J205" s="35">
        <v>46153</v>
      </c>
      <c r="K205" s="36" t="s">
        <v>8</v>
      </c>
    </row>
    <row r="206" spans="4:11" ht="39.75" customHeight="1" x14ac:dyDescent="0.3">
      <c r="D206" s="48" t="s">
        <v>524</v>
      </c>
      <c r="E206" s="49" t="s">
        <v>525</v>
      </c>
      <c r="F206" s="50" t="s">
        <v>163</v>
      </c>
      <c r="G206" s="51" t="s">
        <v>526</v>
      </c>
      <c r="H206" s="53">
        <v>1047</v>
      </c>
      <c r="I206" s="38">
        <v>46151</v>
      </c>
      <c r="J206" s="35">
        <v>46153</v>
      </c>
      <c r="K206" s="36" t="s">
        <v>8</v>
      </c>
    </row>
    <row r="207" spans="4:11" ht="39.75" customHeight="1" x14ac:dyDescent="0.3">
      <c r="D207" s="48" t="s">
        <v>527</v>
      </c>
      <c r="E207" s="49" t="s">
        <v>528</v>
      </c>
      <c r="F207" s="50" t="s">
        <v>163</v>
      </c>
      <c r="G207" s="51" t="s">
        <v>529</v>
      </c>
      <c r="H207" s="53">
        <v>1027</v>
      </c>
      <c r="I207" s="38">
        <v>46151</v>
      </c>
      <c r="J207" s="35">
        <v>46166</v>
      </c>
      <c r="K207" s="36" t="s">
        <v>8</v>
      </c>
    </row>
    <row r="208" spans="4:11" ht="39.75" customHeight="1" x14ac:dyDescent="0.3">
      <c r="D208" s="48" t="s">
        <v>530</v>
      </c>
      <c r="E208" s="49" t="s">
        <v>531</v>
      </c>
      <c r="F208" s="50" t="s">
        <v>163</v>
      </c>
      <c r="G208" s="51" t="s">
        <v>532</v>
      </c>
      <c r="H208" s="53">
        <v>1036</v>
      </c>
      <c r="I208" s="38">
        <v>46152</v>
      </c>
      <c r="J208" s="35">
        <v>46153</v>
      </c>
      <c r="K208" s="36" t="s">
        <v>8</v>
      </c>
    </row>
    <row r="209" spans="4:11" ht="39.75" customHeight="1" x14ac:dyDescent="0.3">
      <c r="D209" s="48" t="s">
        <v>533</v>
      </c>
      <c r="E209" s="49" t="s">
        <v>534</v>
      </c>
      <c r="F209" s="50" t="s">
        <v>163</v>
      </c>
      <c r="G209" s="51" t="s">
        <v>535</v>
      </c>
      <c r="H209" s="53">
        <v>1043</v>
      </c>
      <c r="I209" s="38">
        <v>46152</v>
      </c>
      <c r="J209" s="35">
        <v>46155</v>
      </c>
      <c r="K209" s="36" t="s">
        <v>8</v>
      </c>
    </row>
    <row r="210" spans="4:11" ht="39.75" customHeight="1" x14ac:dyDescent="0.3">
      <c r="D210" s="48" t="s">
        <v>536</v>
      </c>
      <c r="E210" s="49" t="s">
        <v>537</v>
      </c>
      <c r="F210" s="50" t="s">
        <v>163</v>
      </c>
      <c r="G210" s="51" t="s">
        <v>538</v>
      </c>
      <c r="H210" s="53">
        <v>1022</v>
      </c>
      <c r="I210" s="38">
        <v>46152</v>
      </c>
      <c r="J210" s="35">
        <v>46156</v>
      </c>
      <c r="K210" s="36" t="s">
        <v>8</v>
      </c>
    </row>
    <row r="211" spans="4:11" ht="39.75" customHeight="1" x14ac:dyDescent="0.3">
      <c r="D211" s="48" t="s">
        <v>539</v>
      </c>
      <c r="E211" s="49" t="s">
        <v>540</v>
      </c>
      <c r="F211" s="50" t="s">
        <v>163</v>
      </c>
      <c r="G211" s="51" t="s">
        <v>541</v>
      </c>
      <c r="H211" s="53">
        <v>1024</v>
      </c>
      <c r="I211" s="38">
        <v>46152</v>
      </c>
      <c r="J211" s="35">
        <v>46153</v>
      </c>
      <c r="K211" s="36" t="s">
        <v>8</v>
      </c>
    </row>
    <row r="212" spans="4:11" ht="39.75" customHeight="1" x14ac:dyDescent="0.3">
      <c r="D212" s="48" t="s">
        <v>542</v>
      </c>
      <c r="E212" s="49" t="s">
        <v>543</v>
      </c>
      <c r="F212" s="50" t="s">
        <v>163</v>
      </c>
      <c r="G212" s="51" t="s">
        <v>544</v>
      </c>
      <c r="H212" s="53">
        <v>1036</v>
      </c>
      <c r="I212" s="38">
        <v>46152</v>
      </c>
      <c r="J212" s="35">
        <v>46153</v>
      </c>
      <c r="K212" s="36" t="s">
        <v>8</v>
      </c>
    </row>
    <row r="213" spans="4:11" ht="39.75" customHeight="1" x14ac:dyDescent="0.3">
      <c r="D213" s="48" t="s">
        <v>545</v>
      </c>
      <c r="E213" s="49" t="s">
        <v>546</v>
      </c>
      <c r="F213" s="50" t="s">
        <v>163</v>
      </c>
      <c r="G213" s="51" t="s">
        <v>547</v>
      </c>
      <c r="H213" s="53">
        <v>1036</v>
      </c>
      <c r="I213" s="38">
        <v>46152</v>
      </c>
      <c r="J213" s="35">
        <v>46155</v>
      </c>
      <c r="K213" s="36" t="s">
        <v>8</v>
      </c>
    </row>
    <row r="214" spans="4:11" ht="39.75" customHeight="1" x14ac:dyDescent="0.3">
      <c r="D214" s="48" t="s">
        <v>548</v>
      </c>
      <c r="E214" s="49" t="s">
        <v>549</v>
      </c>
      <c r="F214" s="50" t="s">
        <v>163</v>
      </c>
      <c r="G214" s="51" t="s">
        <v>550</v>
      </c>
      <c r="H214" s="53">
        <v>1043</v>
      </c>
      <c r="I214" s="38">
        <v>46152</v>
      </c>
      <c r="J214" s="35">
        <v>46159</v>
      </c>
      <c r="K214" s="36" t="s">
        <v>8</v>
      </c>
    </row>
    <row r="215" spans="4:11" ht="39.75" customHeight="1" x14ac:dyDescent="0.3">
      <c r="D215" s="48" t="s">
        <v>551</v>
      </c>
      <c r="E215" s="49" t="s">
        <v>552</v>
      </c>
      <c r="F215" s="50" t="s">
        <v>163</v>
      </c>
      <c r="G215" s="51" t="s">
        <v>553</v>
      </c>
      <c r="H215" s="53">
        <v>1060</v>
      </c>
      <c r="I215" s="38">
        <v>46152</v>
      </c>
      <c r="J215" s="35">
        <v>46155</v>
      </c>
      <c r="K215" s="36" t="s">
        <v>8</v>
      </c>
    </row>
    <row r="216" spans="4:11" ht="39.75" customHeight="1" x14ac:dyDescent="0.3">
      <c r="D216" s="48" t="s">
        <v>554</v>
      </c>
      <c r="E216" s="49" t="s">
        <v>555</v>
      </c>
      <c r="F216" s="50" t="s">
        <v>163</v>
      </c>
      <c r="G216" s="51" t="s">
        <v>556</v>
      </c>
      <c r="H216" s="53">
        <v>1024</v>
      </c>
      <c r="I216" s="38">
        <v>46153</v>
      </c>
      <c r="J216" s="35">
        <v>46160</v>
      </c>
      <c r="K216" s="36" t="s">
        <v>8</v>
      </c>
    </row>
    <row r="217" spans="4:11" ht="39.75" customHeight="1" x14ac:dyDescent="0.3">
      <c r="D217" s="48" t="s">
        <v>557</v>
      </c>
      <c r="E217" s="49" t="s">
        <v>558</v>
      </c>
      <c r="F217" s="50" t="s">
        <v>163</v>
      </c>
      <c r="G217" s="51" t="s">
        <v>559</v>
      </c>
      <c r="H217" s="53">
        <v>1029</v>
      </c>
      <c r="I217" s="38">
        <v>46153</v>
      </c>
      <c r="J217" s="35">
        <v>46162</v>
      </c>
      <c r="K217" s="36" t="s">
        <v>8</v>
      </c>
    </row>
    <row r="218" spans="4:11" ht="39.75" customHeight="1" x14ac:dyDescent="0.3">
      <c r="D218" s="48" t="s">
        <v>560</v>
      </c>
      <c r="E218" s="49" t="s">
        <v>561</v>
      </c>
      <c r="F218" s="50" t="s">
        <v>163</v>
      </c>
      <c r="G218" s="51" t="s">
        <v>547</v>
      </c>
      <c r="H218" s="53">
        <v>1036</v>
      </c>
      <c r="I218" s="38">
        <v>46153</v>
      </c>
      <c r="J218" s="35">
        <v>46154</v>
      </c>
      <c r="K218" s="36" t="s">
        <v>8</v>
      </c>
    </row>
    <row r="219" spans="4:11" ht="39.75" customHeight="1" x14ac:dyDescent="0.3">
      <c r="D219" s="48" t="s">
        <v>562</v>
      </c>
      <c r="E219" s="49" t="s">
        <v>563</v>
      </c>
      <c r="F219" s="50" t="s">
        <v>163</v>
      </c>
      <c r="G219" s="51" t="s">
        <v>564</v>
      </c>
      <c r="H219" s="53">
        <v>1036</v>
      </c>
      <c r="I219" s="38">
        <v>46153</v>
      </c>
      <c r="J219" s="35">
        <v>46159</v>
      </c>
      <c r="K219" s="36" t="s">
        <v>8</v>
      </c>
    </row>
    <row r="220" spans="4:11" ht="39.75" customHeight="1" x14ac:dyDescent="0.3">
      <c r="D220" s="48" t="s">
        <v>565</v>
      </c>
      <c r="E220" s="49" t="s">
        <v>566</v>
      </c>
      <c r="F220" s="50" t="s">
        <v>163</v>
      </c>
      <c r="G220" s="51" t="s">
        <v>567</v>
      </c>
      <c r="H220" s="53">
        <v>1036</v>
      </c>
      <c r="I220" s="38">
        <v>46153</v>
      </c>
      <c r="J220" s="35">
        <v>46154</v>
      </c>
      <c r="K220" s="36" t="s">
        <v>8</v>
      </c>
    </row>
    <row r="221" spans="4:11" ht="39.75" customHeight="1" x14ac:dyDescent="0.3">
      <c r="D221" s="48" t="s">
        <v>568</v>
      </c>
      <c r="E221" s="49" t="s">
        <v>569</v>
      </c>
      <c r="F221" s="50" t="s">
        <v>163</v>
      </c>
      <c r="G221" s="51" t="s">
        <v>570</v>
      </c>
      <c r="H221" s="53">
        <v>1024</v>
      </c>
      <c r="I221" s="38">
        <v>46153</v>
      </c>
      <c r="J221" s="35">
        <v>46156</v>
      </c>
      <c r="K221" s="36" t="s">
        <v>8</v>
      </c>
    </row>
    <row r="222" spans="4:11" ht="39.75" customHeight="1" x14ac:dyDescent="0.3">
      <c r="D222" s="48" t="s">
        <v>571</v>
      </c>
      <c r="E222" s="49" t="s">
        <v>572</v>
      </c>
      <c r="F222" s="50" t="s">
        <v>163</v>
      </c>
      <c r="G222" s="51" t="s">
        <v>573</v>
      </c>
      <c r="H222" s="53">
        <v>1029</v>
      </c>
      <c r="I222" s="38">
        <v>46153</v>
      </c>
      <c r="J222" s="35">
        <v>46183</v>
      </c>
      <c r="K222" s="36" t="s">
        <v>8</v>
      </c>
    </row>
    <row r="223" spans="4:11" ht="39.75" customHeight="1" x14ac:dyDescent="0.3">
      <c r="D223" s="48" t="s">
        <v>574</v>
      </c>
      <c r="E223" s="49" t="s">
        <v>575</v>
      </c>
      <c r="F223" s="50" t="s">
        <v>163</v>
      </c>
      <c r="G223" s="51" t="s">
        <v>576</v>
      </c>
      <c r="H223" s="53">
        <v>1029</v>
      </c>
      <c r="I223" s="38">
        <v>46153</v>
      </c>
      <c r="J223" s="35">
        <v>46162</v>
      </c>
      <c r="K223" s="36" t="s">
        <v>8</v>
      </c>
    </row>
    <row r="224" spans="4:11" ht="39.75" customHeight="1" x14ac:dyDescent="0.3">
      <c r="D224" s="48" t="s">
        <v>577</v>
      </c>
      <c r="E224" s="49" t="s">
        <v>578</v>
      </c>
      <c r="F224" s="50" t="s">
        <v>163</v>
      </c>
      <c r="G224" s="51" t="s">
        <v>579</v>
      </c>
      <c r="H224" s="53">
        <v>1029</v>
      </c>
      <c r="I224" s="38">
        <v>46153</v>
      </c>
      <c r="J224" s="35">
        <v>46158</v>
      </c>
      <c r="K224" s="36" t="s">
        <v>8</v>
      </c>
    </row>
    <row r="225" spans="4:11" ht="39.75" customHeight="1" x14ac:dyDescent="0.3">
      <c r="D225" s="48" t="s">
        <v>580</v>
      </c>
      <c r="E225" s="49" t="s">
        <v>581</v>
      </c>
      <c r="F225" s="50" t="s">
        <v>163</v>
      </c>
      <c r="G225" s="51" t="s">
        <v>582</v>
      </c>
      <c r="H225" s="53">
        <v>1044</v>
      </c>
      <c r="I225" s="38">
        <v>46153</v>
      </c>
      <c r="J225" s="35">
        <v>46160</v>
      </c>
      <c r="K225" s="36" t="s">
        <v>8</v>
      </c>
    </row>
    <row r="226" spans="4:11" ht="39.75" customHeight="1" x14ac:dyDescent="0.3">
      <c r="D226" s="48" t="s">
        <v>583</v>
      </c>
      <c r="E226" s="49" t="s">
        <v>584</v>
      </c>
      <c r="F226" s="50" t="s">
        <v>163</v>
      </c>
      <c r="G226" s="51" t="s">
        <v>585</v>
      </c>
      <c r="H226" s="53">
        <v>1029</v>
      </c>
      <c r="I226" s="38">
        <v>46154</v>
      </c>
      <c r="J226" s="35">
        <v>46156</v>
      </c>
      <c r="K226" s="36" t="s">
        <v>8</v>
      </c>
    </row>
    <row r="227" spans="4:11" ht="39.75" customHeight="1" x14ac:dyDescent="0.3">
      <c r="D227" s="48" t="s">
        <v>586</v>
      </c>
      <c r="E227" s="49" t="s">
        <v>587</v>
      </c>
      <c r="F227" s="50" t="s">
        <v>163</v>
      </c>
      <c r="G227" s="51" t="s">
        <v>588</v>
      </c>
      <c r="H227" s="53">
        <v>1029</v>
      </c>
      <c r="I227" s="38">
        <v>46154</v>
      </c>
      <c r="J227" s="35">
        <v>46162</v>
      </c>
      <c r="K227" s="36" t="s">
        <v>8</v>
      </c>
    </row>
    <row r="228" spans="4:11" ht="39.75" customHeight="1" x14ac:dyDescent="0.3">
      <c r="D228" s="48" t="s">
        <v>589</v>
      </c>
      <c r="E228" s="49" t="s">
        <v>590</v>
      </c>
      <c r="F228" s="50" t="s">
        <v>163</v>
      </c>
      <c r="G228" s="51" t="s">
        <v>591</v>
      </c>
      <c r="H228" s="53">
        <v>1060</v>
      </c>
      <c r="I228" s="38">
        <v>46154</v>
      </c>
      <c r="J228" s="35">
        <v>46156</v>
      </c>
      <c r="K228" s="36" t="s">
        <v>8</v>
      </c>
    </row>
    <row r="229" spans="4:11" ht="39.75" customHeight="1" x14ac:dyDescent="0.3">
      <c r="D229" s="48" t="s">
        <v>592</v>
      </c>
      <c r="E229" s="49" t="s">
        <v>593</v>
      </c>
      <c r="F229" s="50" t="s">
        <v>163</v>
      </c>
      <c r="G229" s="51" t="s">
        <v>594</v>
      </c>
      <c r="H229" s="53">
        <v>1060</v>
      </c>
      <c r="I229" s="38">
        <v>46154</v>
      </c>
      <c r="J229" s="35">
        <v>46154</v>
      </c>
      <c r="K229" s="36" t="s">
        <v>8</v>
      </c>
    </row>
    <row r="230" spans="4:11" ht="39.75" customHeight="1" x14ac:dyDescent="0.3">
      <c r="D230" s="48" t="s">
        <v>595</v>
      </c>
      <c r="E230" s="49" t="s">
        <v>596</v>
      </c>
      <c r="F230" s="50" t="s">
        <v>163</v>
      </c>
      <c r="G230" s="51" t="s">
        <v>594</v>
      </c>
      <c r="H230" s="53">
        <v>1060</v>
      </c>
      <c r="I230" s="38">
        <v>46154</v>
      </c>
      <c r="J230" s="35">
        <v>46156</v>
      </c>
      <c r="K230" s="36" t="s">
        <v>8</v>
      </c>
    </row>
    <row r="231" spans="4:11" ht="39.75" customHeight="1" x14ac:dyDescent="0.3">
      <c r="D231" s="48" t="s">
        <v>597</v>
      </c>
      <c r="E231" s="49" t="s">
        <v>598</v>
      </c>
      <c r="F231" s="50" t="s">
        <v>163</v>
      </c>
      <c r="G231" s="51" t="s">
        <v>599</v>
      </c>
      <c r="H231" s="52" t="s">
        <v>193</v>
      </c>
      <c r="I231" s="38">
        <v>46154</v>
      </c>
      <c r="J231" s="35">
        <v>46160</v>
      </c>
      <c r="K231" s="36" t="s">
        <v>8</v>
      </c>
    </row>
    <row r="232" spans="4:11" ht="39.75" customHeight="1" x14ac:dyDescent="0.3">
      <c r="D232" s="48" t="s">
        <v>600</v>
      </c>
      <c r="E232" s="49" t="s">
        <v>601</v>
      </c>
      <c r="F232" s="50" t="s">
        <v>163</v>
      </c>
      <c r="G232" s="51" t="s">
        <v>602</v>
      </c>
      <c r="H232" s="53">
        <v>1022</v>
      </c>
      <c r="I232" s="38">
        <v>46154</v>
      </c>
      <c r="J232" s="35">
        <v>46163</v>
      </c>
      <c r="K232" s="36" t="s">
        <v>8</v>
      </c>
    </row>
    <row r="233" spans="4:11" ht="39.75" customHeight="1" x14ac:dyDescent="0.3">
      <c r="D233" s="48" t="s">
        <v>603</v>
      </c>
      <c r="E233" s="49" t="s">
        <v>604</v>
      </c>
      <c r="F233" s="50" t="s">
        <v>163</v>
      </c>
      <c r="G233" s="51" t="s">
        <v>605</v>
      </c>
      <c r="H233" s="53">
        <v>1036</v>
      </c>
      <c r="I233" s="38">
        <v>46154</v>
      </c>
      <c r="J233" s="35">
        <v>46156</v>
      </c>
      <c r="K233" s="36" t="s">
        <v>8</v>
      </c>
    </row>
    <row r="234" spans="4:11" ht="39.75" customHeight="1" x14ac:dyDescent="0.3">
      <c r="D234" s="48" t="s">
        <v>606</v>
      </c>
      <c r="E234" s="49" t="s">
        <v>607</v>
      </c>
      <c r="F234" s="50" t="s">
        <v>163</v>
      </c>
      <c r="G234" s="51" t="s">
        <v>608</v>
      </c>
      <c r="H234" s="53">
        <v>1036</v>
      </c>
      <c r="I234" s="38">
        <v>46155</v>
      </c>
      <c r="J234" s="35">
        <v>46156</v>
      </c>
      <c r="K234" s="36" t="s">
        <v>8</v>
      </c>
    </row>
    <row r="235" spans="4:11" ht="39.75" customHeight="1" x14ac:dyDescent="0.3">
      <c r="D235" s="48" t="s">
        <v>609</v>
      </c>
      <c r="E235" s="49" t="s">
        <v>610</v>
      </c>
      <c r="F235" s="50" t="s">
        <v>163</v>
      </c>
      <c r="G235" s="51" t="s">
        <v>611</v>
      </c>
      <c r="H235" s="53">
        <v>1036</v>
      </c>
      <c r="I235" s="38">
        <v>46155</v>
      </c>
      <c r="J235" s="35">
        <v>46156</v>
      </c>
      <c r="K235" s="36" t="s">
        <v>8</v>
      </c>
    </row>
    <row r="236" spans="4:11" ht="39.75" customHeight="1" x14ac:dyDescent="0.3">
      <c r="D236" s="48" t="s">
        <v>612</v>
      </c>
      <c r="E236" s="49" t="s">
        <v>613</v>
      </c>
      <c r="F236" s="50" t="s">
        <v>163</v>
      </c>
      <c r="G236" s="51" t="s">
        <v>614</v>
      </c>
      <c r="H236" s="53">
        <v>1036</v>
      </c>
      <c r="I236" s="38">
        <v>46155</v>
      </c>
      <c r="J236" s="35">
        <v>46156</v>
      </c>
      <c r="K236" s="36" t="s">
        <v>8</v>
      </c>
    </row>
    <row r="237" spans="4:11" ht="39.75" customHeight="1" x14ac:dyDescent="0.3">
      <c r="D237" s="48" t="s">
        <v>615</v>
      </c>
      <c r="E237" s="49" t="s">
        <v>616</v>
      </c>
      <c r="F237" s="50" t="s">
        <v>163</v>
      </c>
      <c r="G237" s="51" t="s">
        <v>538</v>
      </c>
      <c r="H237" s="53">
        <v>1022</v>
      </c>
      <c r="I237" s="38">
        <v>46155</v>
      </c>
      <c r="J237" s="35">
        <v>46163</v>
      </c>
      <c r="K237" s="36" t="s">
        <v>8</v>
      </c>
    </row>
    <row r="238" spans="4:11" ht="39.75" customHeight="1" x14ac:dyDescent="0.3">
      <c r="D238" s="48" t="s">
        <v>617</v>
      </c>
      <c r="E238" s="49" t="s">
        <v>618</v>
      </c>
      <c r="F238" s="50" t="s">
        <v>163</v>
      </c>
      <c r="G238" s="51" t="s">
        <v>619</v>
      </c>
      <c r="H238" s="53">
        <v>1060</v>
      </c>
      <c r="I238" s="38">
        <v>46155</v>
      </c>
      <c r="J238" s="35">
        <v>46158</v>
      </c>
      <c r="K238" s="36" t="s">
        <v>8</v>
      </c>
    </row>
    <row r="239" spans="4:11" ht="39.75" customHeight="1" x14ac:dyDescent="0.3">
      <c r="D239" s="48" t="s">
        <v>620</v>
      </c>
      <c r="E239" s="49" t="s">
        <v>621</v>
      </c>
      <c r="F239" s="50" t="s">
        <v>163</v>
      </c>
      <c r="G239" s="51" t="s">
        <v>622</v>
      </c>
      <c r="H239" s="53">
        <v>1027</v>
      </c>
      <c r="I239" s="38">
        <v>46155</v>
      </c>
      <c r="J239" s="35">
        <v>46158</v>
      </c>
      <c r="K239" s="36" t="s">
        <v>8</v>
      </c>
    </row>
    <row r="240" spans="4:11" ht="39.75" customHeight="1" x14ac:dyDescent="0.3">
      <c r="D240" s="48" t="s">
        <v>623</v>
      </c>
      <c r="E240" s="49" t="s">
        <v>624</v>
      </c>
      <c r="F240" s="50" t="s">
        <v>163</v>
      </c>
      <c r="G240" s="51" t="s">
        <v>538</v>
      </c>
      <c r="H240" s="53">
        <v>1022</v>
      </c>
      <c r="I240" s="38">
        <v>46156</v>
      </c>
      <c r="J240" s="35">
        <v>46163</v>
      </c>
      <c r="K240" s="36" t="s">
        <v>8</v>
      </c>
    </row>
    <row r="241" spans="4:11" ht="39.75" customHeight="1" x14ac:dyDescent="0.3">
      <c r="D241" s="48" t="s">
        <v>625</v>
      </c>
      <c r="E241" s="49" t="s">
        <v>626</v>
      </c>
      <c r="F241" s="50" t="s">
        <v>163</v>
      </c>
      <c r="G241" s="51" t="s">
        <v>627</v>
      </c>
      <c r="H241" s="53">
        <v>1025</v>
      </c>
      <c r="I241" s="38">
        <v>46156</v>
      </c>
      <c r="J241" s="35">
        <v>46160</v>
      </c>
      <c r="K241" s="36" t="s">
        <v>8</v>
      </c>
    </row>
    <row r="242" spans="4:11" ht="39.75" customHeight="1" x14ac:dyDescent="0.3">
      <c r="D242" s="48" t="s">
        <v>628</v>
      </c>
      <c r="E242" s="49" t="s">
        <v>629</v>
      </c>
      <c r="F242" s="50" t="s">
        <v>163</v>
      </c>
      <c r="G242" s="51" t="s">
        <v>630</v>
      </c>
      <c r="H242" s="53">
        <v>1047</v>
      </c>
      <c r="I242" s="38">
        <v>46156</v>
      </c>
      <c r="J242" s="35">
        <v>46160</v>
      </c>
      <c r="K242" s="36" t="s">
        <v>8</v>
      </c>
    </row>
    <row r="243" spans="4:11" ht="39.75" customHeight="1" x14ac:dyDescent="0.3">
      <c r="D243" s="48" t="s">
        <v>631</v>
      </c>
      <c r="E243" s="49" t="s">
        <v>632</v>
      </c>
      <c r="F243" s="50" t="s">
        <v>163</v>
      </c>
      <c r="G243" s="51" t="s">
        <v>633</v>
      </c>
      <c r="H243" s="53">
        <v>1060</v>
      </c>
      <c r="I243" s="38">
        <v>46156</v>
      </c>
      <c r="J243" s="35">
        <v>46160</v>
      </c>
      <c r="K243" s="36" t="s">
        <v>8</v>
      </c>
    </row>
    <row r="244" spans="4:11" ht="39.75" customHeight="1" x14ac:dyDescent="0.3">
      <c r="D244" s="48" t="s">
        <v>634</v>
      </c>
      <c r="E244" s="49" t="s">
        <v>635</v>
      </c>
      <c r="F244" s="50" t="s">
        <v>163</v>
      </c>
      <c r="G244" s="51" t="s">
        <v>633</v>
      </c>
      <c r="H244" s="53">
        <v>1060</v>
      </c>
      <c r="I244" s="38">
        <v>46156</v>
      </c>
      <c r="J244" s="35">
        <v>46160</v>
      </c>
      <c r="K244" s="36" t="s">
        <v>8</v>
      </c>
    </row>
    <row r="245" spans="4:11" ht="39.75" customHeight="1" x14ac:dyDescent="0.3">
      <c r="D245" s="48" t="s">
        <v>636</v>
      </c>
      <c r="E245" s="49" t="s">
        <v>637</v>
      </c>
      <c r="F245" s="50" t="s">
        <v>163</v>
      </c>
      <c r="G245" s="51" t="s">
        <v>638</v>
      </c>
      <c r="H245" s="53">
        <v>1031</v>
      </c>
      <c r="I245" s="38">
        <v>46158</v>
      </c>
      <c r="J245" s="35">
        <v>46161</v>
      </c>
      <c r="K245" s="36" t="s">
        <v>8</v>
      </c>
    </row>
    <row r="246" spans="4:11" ht="39.75" customHeight="1" x14ac:dyDescent="0.3">
      <c r="D246" s="48" t="s">
        <v>639</v>
      </c>
      <c r="E246" s="49" t="s">
        <v>640</v>
      </c>
      <c r="F246" s="50" t="s">
        <v>163</v>
      </c>
      <c r="G246" s="51" t="s">
        <v>641</v>
      </c>
      <c r="H246" s="53">
        <v>1036</v>
      </c>
      <c r="I246" s="38">
        <v>46158</v>
      </c>
      <c r="J246" s="35">
        <v>46159</v>
      </c>
      <c r="K246" s="36" t="s">
        <v>8</v>
      </c>
    </row>
    <row r="247" spans="4:11" ht="39.75" customHeight="1" x14ac:dyDescent="0.3">
      <c r="D247" s="48" t="s">
        <v>642</v>
      </c>
      <c r="E247" s="49" t="s">
        <v>643</v>
      </c>
      <c r="F247" s="50" t="s">
        <v>163</v>
      </c>
      <c r="G247" s="51" t="s">
        <v>538</v>
      </c>
      <c r="H247" s="53">
        <v>1022</v>
      </c>
      <c r="I247" s="38">
        <v>46158</v>
      </c>
      <c r="J247" s="35">
        <v>46163</v>
      </c>
      <c r="K247" s="36" t="s">
        <v>8</v>
      </c>
    </row>
    <row r="248" spans="4:11" ht="39.75" customHeight="1" x14ac:dyDescent="0.3">
      <c r="D248" s="48" t="s">
        <v>644</v>
      </c>
      <c r="E248" s="49" t="s">
        <v>645</v>
      </c>
      <c r="F248" s="50" t="s">
        <v>163</v>
      </c>
      <c r="G248" s="51" t="s">
        <v>538</v>
      </c>
      <c r="H248" s="53">
        <v>1022</v>
      </c>
      <c r="I248" s="38">
        <v>46158</v>
      </c>
      <c r="J248" s="35">
        <v>46163</v>
      </c>
      <c r="K248" s="36" t="s">
        <v>8</v>
      </c>
    </row>
    <row r="249" spans="4:11" ht="39.75" customHeight="1" x14ac:dyDescent="0.3">
      <c r="D249" s="48" t="s">
        <v>646</v>
      </c>
      <c r="E249" s="49" t="s">
        <v>647</v>
      </c>
      <c r="F249" s="50" t="s">
        <v>163</v>
      </c>
      <c r="G249" s="51" t="s">
        <v>648</v>
      </c>
      <c r="H249" s="53">
        <v>1044</v>
      </c>
      <c r="I249" s="38">
        <v>46159</v>
      </c>
      <c r="J249" s="35">
        <v>46180</v>
      </c>
      <c r="K249" s="36" t="s">
        <v>8</v>
      </c>
    </row>
    <row r="250" spans="4:11" ht="39.75" customHeight="1" x14ac:dyDescent="0.3">
      <c r="D250" s="48" t="s">
        <v>649</v>
      </c>
      <c r="E250" s="49" t="s">
        <v>650</v>
      </c>
      <c r="F250" s="50" t="s">
        <v>163</v>
      </c>
      <c r="G250" s="51" t="s">
        <v>651</v>
      </c>
      <c r="H250" s="53">
        <v>1043</v>
      </c>
      <c r="I250" s="38">
        <v>46159</v>
      </c>
      <c r="J250" s="35">
        <v>46162</v>
      </c>
      <c r="K250" s="36" t="s">
        <v>8</v>
      </c>
    </row>
    <row r="251" spans="4:11" ht="39.75" customHeight="1" x14ac:dyDescent="0.3">
      <c r="D251" s="48" t="s">
        <v>652</v>
      </c>
      <c r="E251" s="49" t="s">
        <v>653</v>
      </c>
      <c r="F251" s="50" t="s">
        <v>163</v>
      </c>
      <c r="G251" s="51" t="s">
        <v>654</v>
      </c>
      <c r="H251" s="53">
        <v>1036</v>
      </c>
      <c r="I251" s="38">
        <v>46159</v>
      </c>
      <c r="J251" s="35">
        <v>46161</v>
      </c>
      <c r="K251" s="36" t="s">
        <v>8</v>
      </c>
    </row>
    <row r="252" spans="4:11" ht="39.75" customHeight="1" x14ac:dyDescent="0.3">
      <c r="D252" s="48" t="s">
        <v>655</v>
      </c>
      <c r="E252" s="49" t="s">
        <v>656</v>
      </c>
      <c r="F252" s="50" t="s">
        <v>163</v>
      </c>
      <c r="G252" s="51" t="s">
        <v>657</v>
      </c>
      <c r="H252" s="53">
        <v>1024</v>
      </c>
      <c r="I252" s="38">
        <v>46159</v>
      </c>
      <c r="J252" s="35">
        <v>46162</v>
      </c>
      <c r="K252" s="36" t="s">
        <v>8</v>
      </c>
    </row>
    <row r="253" spans="4:11" ht="39.75" customHeight="1" x14ac:dyDescent="0.3">
      <c r="D253" s="48" t="s">
        <v>658</v>
      </c>
      <c r="E253" s="49" t="s">
        <v>659</v>
      </c>
      <c r="F253" s="50" t="s">
        <v>163</v>
      </c>
      <c r="G253" s="51" t="s">
        <v>660</v>
      </c>
      <c r="H253" s="53">
        <v>1021</v>
      </c>
      <c r="I253" s="38">
        <v>46159</v>
      </c>
      <c r="J253" s="35">
        <v>46162</v>
      </c>
      <c r="K253" s="36" t="s">
        <v>8</v>
      </c>
    </row>
    <row r="254" spans="4:11" ht="39.75" customHeight="1" x14ac:dyDescent="0.3">
      <c r="D254" s="48" t="s">
        <v>661</v>
      </c>
      <c r="E254" s="49" t="s">
        <v>662</v>
      </c>
      <c r="F254" s="50" t="s">
        <v>163</v>
      </c>
      <c r="G254" s="51" t="s">
        <v>663</v>
      </c>
      <c r="H254" s="53">
        <v>1036</v>
      </c>
      <c r="I254" s="38">
        <v>46160</v>
      </c>
      <c r="J254" s="35">
        <v>46161</v>
      </c>
      <c r="K254" s="36" t="s">
        <v>8</v>
      </c>
    </row>
    <row r="255" spans="4:11" ht="39.75" customHeight="1" x14ac:dyDescent="0.3">
      <c r="D255" s="48" t="s">
        <v>664</v>
      </c>
      <c r="E255" s="49" t="s">
        <v>665</v>
      </c>
      <c r="F255" s="50" t="s">
        <v>163</v>
      </c>
      <c r="G255" s="51" t="s">
        <v>666</v>
      </c>
      <c r="H255" s="53">
        <v>1028</v>
      </c>
      <c r="I255" s="38">
        <v>46160</v>
      </c>
      <c r="J255" s="35">
        <v>46162</v>
      </c>
      <c r="K255" s="36" t="s">
        <v>8</v>
      </c>
    </row>
    <row r="256" spans="4:11" ht="39.75" customHeight="1" x14ac:dyDescent="0.3">
      <c r="D256" s="48" t="s">
        <v>667</v>
      </c>
      <c r="E256" s="49" t="s">
        <v>668</v>
      </c>
      <c r="F256" s="50" t="s">
        <v>163</v>
      </c>
      <c r="G256" s="51" t="s">
        <v>669</v>
      </c>
      <c r="H256" s="53">
        <v>1029</v>
      </c>
      <c r="I256" s="38">
        <v>46160</v>
      </c>
      <c r="J256" s="35">
        <v>46166</v>
      </c>
      <c r="K256" s="36" t="s">
        <v>8</v>
      </c>
    </row>
    <row r="257" spans="4:11" ht="39.75" customHeight="1" x14ac:dyDescent="0.3">
      <c r="D257" s="48" t="s">
        <v>670</v>
      </c>
      <c r="E257" s="49" t="s">
        <v>671</v>
      </c>
      <c r="F257" s="50" t="s">
        <v>163</v>
      </c>
      <c r="G257" s="51" t="s">
        <v>672</v>
      </c>
      <c r="H257" s="53">
        <v>1021</v>
      </c>
      <c r="I257" s="38">
        <v>46161</v>
      </c>
      <c r="J257" s="35">
        <v>46163</v>
      </c>
      <c r="K257" s="36" t="s">
        <v>8</v>
      </c>
    </row>
    <row r="258" spans="4:11" ht="39.75" customHeight="1" x14ac:dyDescent="0.3">
      <c r="D258" s="48" t="s">
        <v>673</v>
      </c>
      <c r="E258" s="49" t="s">
        <v>674</v>
      </c>
      <c r="F258" s="50" t="s">
        <v>163</v>
      </c>
      <c r="G258" s="51" t="s">
        <v>538</v>
      </c>
      <c r="H258" s="53">
        <v>1022</v>
      </c>
      <c r="I258" s="38">
        <v>46161</v>
      </c>
      <c r="J258" s="35">
        <v>46174</v>
      </c>
      <c r="K258" s="36" t="s">
        <v>8</v>
      </c>
    </row>
    <row r="259" spans="4:11" ht="39.75" customHeight="1" x14ac:dyDescent="0.3">
      <c r="D259" s="48" t="s">
        <v>675</v>
      </c>
      <c r="E259" s="49" t="s">
        <v>676</v>
      </c>
      <c r="F259" s="50" t="s">
        <v>163</v>
      </c>
      <c r="G259" s="51" t="s">
        <v>538</v>
      </c>
      <c r="H259" s="53">
        <v>1022</v>
      </c>
      <c r="I259" s="38">
        <v>46161</v>
      </c>
      <c r="J259" s="35">
        <v>46174</v>
      </c>
      <c r="K259" s="36" t="s">
        <v>8</v>
      </c>
    </row>
    <row r="260" spans="4:11" ht="39.75" customHeight="1" x14ac:dyDescent="0.3">
      <c r="D260" s="48" t="s">
        <v>677</v>
      </c>
      <c r="E260" s="49" t="s">
        <v>678</v>
      </c>
      <c r="F260" s="50" t="s">
        <v>163</v>
      </c>
      <c r="G260" s="51" t="s">
        <v>679</v>
      </c>
      <c r="H260" s="53">
        <v>1023</v>
      </c>
      <c r="I260" s="38">
        <v>46161</v>
      </c>
      <c r="J260" s="35">
        <v>46188</v>
      </c>
      <c r="K260" s="36" t="s">
        <v>8</v>
      </c>
    </row>
    <row r="261" spans="4:11" ht="39.75" customHeight="1" x14ac:dyDescent="0.3">
      <c r="D261" s="48" t="s">
        <v>680</v>
      </c>
      <c r="E261" s="49" t="s">
        <v>681</v>
      </c>
      <c r="F261" s="50" t="s">
        <v>163</v>
      </c>
      <c r="G261" s="51" t="s">
        <v>682</v>
      </c>
      <c r="H261" s="53">
        <v>1036</v>
      </c>
      <c r="I261" s="38">
        <v>46161</v>
      </c>
      <c r="J261" s="35">
        <v>46162</v>
      </c>
      <c r="K261" s="36" t="s">
        <v>8</v>
      </c>
    </row>
    <row r="262" spans="4:11" ht="39.75" customHeight="1" x14ac:dyDescent="0.3">
      <c r="D262" s="48" t="s">
        <v>683</v>
      </c>
      <c r="E262" s="49" t="s">
        <v>684</v>
      </c>
      <c r="F262" s="50" t="s">
        <v>163</v>
      </c>
      <c r="G262" s="51" t="s">
        <v>685</v>
      </c>
      <c r="H262" s="53">
        <v>1036</v>
      </c>
      <c r="I262" s="38">
        <v>46161</v>
      </c>
      <c r="J262" s="35">
        <v>46162</v>
      </c>
      <c r="K262" s="36" t="s">
        <v>8</v>
      </c>
    </row>
    <row r="263" spans="4:11" ht="39.75" customHeight="1" x14ac:dyDescent="0.3">
      <c r="D263" s="48" t="s">
        <v>686</v>
      </c>
      <c r="E263" s="49" t="s">
        <v>687</v>
      </c>
      <c r="F263" s="50" t="s">
        <v>163</v>
      </c>
      <c r="G263" s="51" t="s">
        <v>688</v>
      </c>
      <c r="H263" s="53">
        <v>1028</v>
      </c>
      <c r="I263" s="38">
        <v>46162</v>
      </c>
      <c r="J263" s="35">
        <v>46166</v>
      </c>
      <c r="K263" s="36" t="s">
        <v>8</v>
      </c>
    </row>
    <row r="264" spans="4:11" ht="39.75" customHeight="1" x14ac:dyDescent="0.3">
      <c r="D264" s="48" t="s">
        <v>689</v>
      </c>
      <c r="E264" s="49" t="s">
        <v>690</v>
      </c>
      <c r="F264" s="50" t="s">
        <v>163</v>
      </c>
      <c r="G264" s="51" t="s">
        <v>691</v>
      </c>
      <c r="H264" s="53">
        <v>1028</v>
      </c>
      <c r="I264" s="38">
        <v>46162</v>
      </c>
      <c r="J264" s="35">
        <v>46166</v>
      </c>
      <c r="K264" s="36" t="s">
        <v>8</v>
      </c>
    </row>
    <row r="265" spans="4:11" ht="39.75" customHeight="1" x14ac:dyDescent="0.3">
      <c r="D265" s="48" t="s">
        <v>692</v>
      </c>
      <c r="E265" s="49" t="s">
        <v>693</v>
      </c>
      <c r="F265" s="50" t="s">
        <v>163</v>
      </c>
      <c r="G265" s="51" t="s">
        <v>694</v>
      </c>
      <c r="H265" s="53">
        <v>1028</v>
      </c>
      <c r="I265" s="38">
        <v>46162</v>
      </c>
      <c r="J265" s="35">
        <v>46166</v>
      </c>
      <c r="K265" s="36" t="s">
        <v>8</v>
      </c>
    </row>
    <row r="266" spans="4:11" ht="39.75" customHeight="1" x14ac:dyDescent="0.3">
      <c r="D266" s="48" t="s">
        <v>695</v>
      </c>
      <c r="E266" s="49" t="s">
        <v>696</v>
      </c>
      <c r="F266" s="50" t="s">
        <v>163</v>
      </c>
      <c r="G266" s="51" t="s">
        <v>697</v>
      </c>
      <c r="H266" s="53">
        <v>1029</v>
      </c>
      <c r="I266" s="38">
        <v>46162</v>
      </c>
      <c r="J266" s="35">
        <v>46174</v>
      </c>
      <c r="K266" s="36" t="s">
        <v>8</v>
      </c>
    </row>
    <row r="267" spans="4:11" ht="39.75" customHeight="1" x14ac:dyDescent="0.3">
      <c r="D267" s="48" t="s">
        <v>698</v>
      </c>
      <c r="E267" s="49" t="s">
        <v>699</v>
      </c>
      <c r="F267" s="50" t="s">
        <v>163</v>
      </c>
      <c r="G267" s="51" t="s">
        <v>700</v>
      </c>
      <c r="H267" s="53">
        <v>1041</v>
      </c>
      <c r="I267" s="38">
        <v>46162</v>
      </c>
      <c r="J267" s="35">
        <v>46180</v>
      </c>
      <c r="K267" s="36" t="s">
        <v>8</v>
      </c>
    </row>
    <row r="268" spans="4:11" ht="39.75" customHeight="1" x14ac:dyDescent="0.3">
      <c r="D268" s="48" t="s">
        <v>701</v>
      </c>
      <c r="E268" s="49" t="s">
        <v>702</v>
      </c>
      <c r="F268" s="50" t="s">
        <v>163</v>
      </c>
      <c r="G268" s="51" t="s">
        <v>703</v>
      </c>
      <c r="H268" s="53">
        <v>1047</v>
      </c>
      <c r="I268" s="38">
        <v>46162</v>
      </c>
      <c r="J268" s="35">
        <v>46166</v>
      </c>
      <c r="K268" s="36" t="s">
        <v>8</v>
      </c>
    </row>
    <row r="269" spans="4:11" ht="39.75" customHeight="1" x14ac:dyDescent="0.3">
      <c r="D269" s="48" t="s">
        <v>704</v>
      </c>
      <c r="E269" s="49" t="s">
        <v>705</v>
      </c>
      <c r="F269" s="50" t="s">
        <v>163</v>
      </c>
      <c r="G269" s="51" t="s">
        <v>706</v>
      </c>
      <c r="H269" s="53">
        <v>1047</v>
      </c>
      <c r="I269" s="38">
        <v>46162</v>
      </c>
      <c r="J269" s="35">
        <v>46166</v>
      </c>
      <c r="K269" s="36" t="s">
        <v>8</v>
      </c>
    </row>
    <row r="270" spans="4:11" ht="39.75" customHeight="1" x14ac:dyDescent="0.3">
      <c r="D270" s="48" t="s">
        <v>707</v>
      </c>
      <c r="E270" s="49" t="s">
        <v>708</v>
      </c>
      <c r="F270" s="50" t="s">
        <v>163</v>
      </c>
      <c r="G270" s="51" t="s">
        <v>709</v>
      </c>
      <c r="H270" s="53">
        <v>1060</v>
      </c>
      <c r="I270" s="38">
        <v>46162</v>
      </c>
      <c r="J270" s="35">
        <v>46163</v>
      </c>
      <c r="K270" s="36" t="s">
        <v>8</v>
      </c>
    </row>
    <row r="271" spans="4:11" ht="39.75" customHeight="1" x14ac:dyDescent="0.3">
      <c r="D271" s="48" t="s">
        <v>710</v>
      </c>
      <c r="E271" s="49" t="s">
        <v>711</v>
      </c>
      <c r="F271" s="50" t="s">
        <v>163</v>
      </c>
      <c r="G271" s="51" t="s">
        <v>712</v>
      </c>
      <c r="H271" s="53">
        <v>1020</v>
      </c>
      <c r="I271" s="38">
        <v>46163</v>
      </c>
      <c r="J271" s="35">
        <v>46174</v>
      </c>
      <c r="K271" s="36" t="s">
        <v>8</v>
      </c>
    </row>
    <row r="272" spans="4:11" ht="39.75" customHeight="1" x14ac:dyDescent="0.3">
      <c r="D272" s="48" t="s">
        <v>713</v>
      </c>
      <c r="E272" s="49" t="s">
        <v>714</v>
      </c>
      <c r="F272" s="50" t="s">
        <v>163</v>
      </c>
      <c r="G272" s="51" t="s">
        <v>715</v>
      </c>
      <c r="H272" s="53">
        <v>1028</v>
      </c>
      <c r="I272" s="38">
        <v>46163</v>
      </c>
      <c r="J272" s="35">
        <v>46166</v>
      </c>
      <c r="K272" s="36" t="s">
        <v>8</v>
      </c>
    </row>
    <row r="273" spans="4:11" ht="39.75" customHeight="1" x14ac:dyDescent="0.3">
      <c r="D273" s="48" t="s">
        <v>716</v>
      </c>
      <c r="E273" s="49" t="s">
        <v>717</v>
      </c>
      <c r="F273" s="50" t="s">
        <v>163</v>
      </c>
      <c r="G273" s="51" t="s">
        <v>718</v>
      </c>
      <c r="H273" s="53">
        <v>1036</v>
      </c>
      <c r="I273" s="38">
        <v>46163</v>
      </c>
      <c r="J273" s="35">
        <v>46163</v>
      </c>
      <c r="K273" s="36" t="s">
        <v>8</v>
      </c>
    </row>
    <row r="274" spans="4:11" ht="39.75" customHeight="1" x14ac:dyDescent="0.3">
      <c r="D274" s="48" t="s">
        <v>719</v>
      </c>
      <c r="E274" s="49" t="s">
        <v>720</v>
      </c>
      <c r="F274" s="50" t="s">
        <v>163</v>
      </c>
      <c r="G274" s="51" t="s">
        <v>721</v>
      </c>
      <c r="H274" s="53">
        <v>1044</v>
      </c>
      <c r="I274" s="38">
        <v>46163</v>
      </c>
      <c r="J274" s="35">
        <v>46174</v>
      </c>
      <c r="K274" s="36" t="s">
        <v>8</v>
      </c>
    </row>
    <row r="275" spans="4:11" ht="39.75" customHeight="1" x14ac:dyDescent="0.3">
      <c r="D275" s="48" t="s">
        <v>722</v>
      </c>
      <c r="E275" s="49" t="s">
        <v>723</v>
      </c>
      <c r="F275" s="50" t="s">
        <v>163</v>
      </c>
      <c r="G275" s="51" t="s">
        <v>724</v>
      </c>
      <c r="H275" s="53">
        <v>1047</v>
      </c>
      <c r="I275" s="38">
        <v>46163</v>
      </c>
      <c r="J275" s="35">
        <v>46166</v>
      </c>
      <c r="K275" s="36" t="s">
        <v>8</v>
      </c>
    </row>
    <row r="276" spans="4:11" ht="39.75" customHeight="1" x14ac:dyDescent="0.3">
      <c r="D276" s="48" t="s">
        <v>725</v>
      </c>
      <c r="E276" s="49" t="s">
        <v>726</v>
      </c>
      <c r="F276" s="50" t="s">
        <v>163</v>
      </c>
      <c r="G276" s="51" t="s">
        <v>727</v>
      </c>
      <c r="H276" s="53">
        <v>1060</v>
      </c>
      <c r="I276" s="38">
        <v>46163</v>
      </c>
      <c r="J276" s="35">
        <v>46166</v>
      </c>
      <c r="K276" s="36" t="s">
        <v>8</v>
      </c>
    </row>
    <row r="277" spans="4:11" ht="39.75" customHeight="1" x14ac:dyDescent="0.3">
      <c r="D277" s="48" t="s">
        <v>728</v>
      </c>
      <c r="E277" s="49" t="s">
        <v>729</v>
      </c>
      <c r="F277" s="50" t="s">
        <v>163</v>
      </c>
      <c r="G277" s="51" t="s">
        <v>730</v>
      </c>
      <c r="H277" s="53">
        <v>1022</v>
      </c>
      <c r="I277" s="38">
        <v>46163</v>
      </c>
      <c r="J277" s="35">
        <v>46174</v>
      </c>
      <c r="K277" s="36" t="s">
        <v>8</v>
      </c>
    </row>
    <row r="278" spans="4:11" ht="39.75" customHeight="1" x14ac:dyDescent="0.3">
      <c r="D278" s="48" t="s">
        <v>731</v>
      </c>
      <c r="E278" s="49" t="s">
        <v>732</v>
      </c>
      <c r="F278" s="50" t="s">
        <v>163</v>
      </c>
      <c r="G278" s="51" t="s">
        <v>733</v>
      </c>
      <c r="H278" s="53">
        <v>1028</v>
      </c>
      <c r="I278" s="38">
        <v>46164</v>
      </c>
      <c r="J278" s="35">
        <v>46166</v>
      </c>
      <c r="K278" s="36" t="s">
        <v>8</v>
      </c>
    </row>
    <row r="279" spans="4:11" ht="39.75" customHeight="1" x14ac:dyDescent="0.3">
      <c r="D279" s="48" t="s">
        <v>734</v>
      </c>
      <c r="E279" s="49" t="s">
        <v>735</v>
      </c>
      <c r="F279" s="50" t="s">
        <v>163</v>
      </c>
      <c r="G279" s="51" t="s">
        <v>736</v>
      </c>
      <c r="H279" s="53">
        <v>1028</v>
      </c>
      <c r="I279" s="38">
        <v>46164</v>
      </c>
      <c r="J279" s="35">
        <v>46166</v>
      </c>
      <c r="K279" s="36" t="s">
        <v>8</v>
      </c>
    </row>
    <row r="280" spans="4:11" ht="39.75" customHeight="1" x14ac:dyDescent="0.3">
      <c r="D280" s="48" t="s">
        <v>737</v>
      </c>
      <c r="E280" s="49" t="s">
        <v>738</v>
      </c>
      <c r="F280" s="50" t="s">
        <v>163</v>
      </c>
      <c r="G280" s="51" t="s">
        <v>739</v>
      </c>
      <c r="H280" s="53">
        <v>1036</v>
      </c>
      <c r="I280" s="38">
        <v>46164</v>
      </c>
      <c r="J280" s="35">
        <v>46176</v>
      </c>
      <c r="K280" s="36" t="s">
        <v>8</v>
      </c>
    </row>
    <row r="281" spans="4:11" ht="39.75" customHeight="1" x14ac:dyDescent="0.3">
      <c r="D281" s="48" t="s">
        <v>740</v>
      </c>
      <c r="E281" s="49" t="s">
        <v>741</v>
      </c>
      <c r="F281" s="50" t="s">
        <v>163</v>
      </c>
      <c r="G281" s="51" t="s">
        <v>742</v>
      </c>
      <c r="H281" s="53">
        <v>1029</v>
      </c>
      <c r="I281" s="38">
        <v>46165</v>
      </c>
      <c r="J281" s="35">
        <v>46174</v>
      </c>
      <c r="K281" s="36" t="s">
        <v>8</v>
      </c>
    </row>
    <row r="282" spans="4:11" ht="39.75" customHeight="1" x14ac:dyDescent="0.3">
      <c r="D282" s="48" t="s">
        <v>743</v>
      </c>
      <c r="E282" s="49" t="s">
        <v>744</v>
      </c>
      <c r="F282" s="50" t="s">
        <v>163</v>
      </c>
      <c r="G282" s="51" t="s">
        <v>745</v>
      </c>
      <c r="H282" s="53">
        <v>1029</v>
      </c>
      <c r="I282" s="38">
        <v>46165</v>
      </c>
      <c r="J282" s="35">
        <v>46174</v>
      </c>
      <c r="K282" s="36" t="s">
        <v>8</v>
      </c>
    </row>
    <row r="283" spans="4:11" ht="39.75" customHeight="1" x14ac:dyDescent="0.3">
      <c r="D283" s="48" t="s">
        <v>746</v>
      </c>
      <c r="E283" s="49" t="s">
        <v>747</v>
      </c>
      <c r="F283" s="50" t="s">
        <v>163</v>
      </c>
      <c r="G283" s="51" t="s">
        <v>748</v>
      </c>
      <c r="H283" s="53">
        <v>1029</v>
      </c>
      <c r="I283" s="38">
        <v>46165</v>
      </c>
      <c r="J283" s="35">
        <v>46174</v>
      </c>
      <c r="K283" s="36" t="s">
        <v>8</v>
      </c>
    </row>
    <row r="284" spans="4:11" ht="39.75" customHeight="1" x14ac:dyDescent="0.3">
      <c r="D284" s="48" t="s">
        <v>749</v>
      </c>
      <c r="E284" s="49" t="s">
        <v>750</v>
      </c>
      <c r="F284" s="50" t="s">
        <v>163</v>
      </c>
      <c r="G284" s="51" t="s">
        <v>751</v>
      </c>
      <c r="H284" s="53">
        <v>1023</v>
      </c>
      <c r="I284" s="38">
        <v>46166</v>
      </c>
      <c r="J284" s="35">
        <v>46176</v>
      </c>
      <c r="K284" s="36" t="s">
        <v>8</v>
      </c>
    </row>
    <row r="285" spans="4:11" ht="39.75" customHeight="1" x14ac:dyDescent="0.3">
      <c r="D285" s="48" t="s">
        <v>752</v>
      </c>
      <c r="E285" s="49" t="s">
        <v>753</v>
      </c>
      <c r="F285" s="50" t="s">
        <v>163</v>
      </c>
      <c r="G285" s="51" t="s">
        <v>754</v>
      </c>
      <c r="H285" s="53">
        <v>1036</v>
      </c>
      <c r="I285" s="38">
        <v>46166</v>
      </c>
      <c r="J285" s="35">
        <v>46167</v>
      </c>
      <c r="K285" s="36" t="s">
        <v>8</v>
      </c>
    </row>
    <row r="286" spans="4:11" ht="39.75" customHeight="1" x14ac:dyDescent="0.3">
      <c r="D286" s="48" t="s">
        <v>755</v>
      </c>
      <c r="E286" s="49" t="s">
        <v>756</v>
      </c>
      <c r="F286" s="50" t="s">
        <v>163</v>
      </c>
      <c r="G286" s="51" t="s">
        <v>757</v>
      </c>
      <c r="H286" s="53">
        <v>1024</v>
      </c>
      <c r="I286" s="38">
        <v>46166</v>
      </c>
      <c r="J286" s="35">
        <v>46174</v>
      </c>
      <c r="K286" s="36" t="s">
        <v>8</v>
      </c>
    </row>
    <row r="287" spans="4:11" ht="39.75" customHeight="1" x14ac:dyDescent="0.3">
      <c r="D287" s="48" t="s">
        <v>758</v>
      </c>
      <c r="E287" s="49" t="s">
        <v>759</v>
      </c>
      <c r="F287" s="50" t="s">
        <v>163</v>
      </c>
      <c r="G287" s="51" t="s">
        <v>760</v>
      </c>
      <c r="H287" s="53">
        <v>1024</v>
      </c>
      <c r="I287" s="38">
        <v>46166</v>
      </c>
      <c r="J287" s="35">
        <v>46174</v>
      </c>
      <c r="K287" s="36" t="s">
        <v>8</v>
      </c>
    </row>
    <row r="288" spans="4:11" ht="39.75" customHeight="1" x14ac:dyDescent="0.3">
      <c r="D288" s="48" t="s">
        <v>761</v>
      </c>
      <c r="E288" s="49" t="s">
        <v>762</v>
      </c>
      <c r="F288" s="50" t="s">
        <v>163</v>
      </c>
      <c r="G288" s="51" t="s">
        <v>763</v>
      </c>
      <c r="H288" s="53">
        <v>1029</v>
      </c>
      <c r="I288" s="38">
        <v>46166</v>
      </c>
      <c r="J288" s="35">
        <v>46174</v>
      </c>
      <c r="K288" s="36" t="s">
        <v>8</v>
      </c>
    </row>
    <row r="289" spans="4:11" ht="39.75" customHeight="1" x14ac:dyDescent="0.3">
      <c r="D289" s="48" t="s">
        <v>764</v>
      </c>
      <c r="E289" s="49" t="s">
        <v>765</v>
      </c>
      <c r="F289" s="50" t="s">
        <v>163</v>
      </c>
      <c r="G289" s="51" t="s">
        <v>766</v>
      </c>
      <c r="H289" s="53">
        <v>1029</v>
      </c>
      <c r="I289" s="38">
        <v>46166</v>
      </c>
      <c r="J289" s="35">
        <v>46177</v>
      </c>
      <c r="K289" s="36" t="s">
        <v>8</v>
      </c>
    </row>
    <row r="290" spans="4:11" ht="39.75" customHeight="1" x14ac:dyDescent="0.3">
      <c r="D290" s="48" t="s">
        <v>767</v>
      </c>
      <c r="E290" s="49" t="s">
        <v>768</v>
      </c>
      <c r="F290" s="50" t="s">
        <v>163</v>
      </c>
      <c r="G290" s="51" t="s">
        <v>769</v>
      </c>
      <c r="H290" s="53">
        <v>1043</v>
      </c>
      <c r="I290" s="38">
        <v>46167</v>
      </c>
      <c r="J290" s="35">
        <v>46174</v>
      </c>
      <c r="K290" s="36" t="s">
        <v>8</v>
      </c>
    </row>
    <row r="291" spans="4:11" ht="39.75" customHeight="1" x14ac:dyDescent="0.3">
      <c r="D291" s="48" t="s">
        <v>770</v>
      </c>
      <c r="E291" s="49" t="s">
        <v>771</v>
      </c>
      <c r="F291" s="50" t="s">
        <v>163</v>
      </c>
      <c r="G291" s="51" t="s">
        <v>772</v>
      </c>
      <c r="H291" s="53">
        <v>1023</v>
      </c>
      <c r="I291" s="38">
        <v>46167</v>
      </c>
      <c r="J291" s="35">
        <v>46184</v>
      </c>
      <c r="K291" s="36" t="s">
        <v>8</v>
      </c>
    </row>
    <row r="292" spans="4:11" ht="39.75" customHeight="1" x14ac:dyDescent="0.3">
      <c r="D292" s="48" t="s">
        <v>773</v>
      </c>
      <c r="E292" s="49" t="s">
        <v>774</v>
      </c>
      <c r="F292" s="50" t="s">
        <v>163</v>
      </c>
      <c r="G292" s="51" t="s">
        <v>775</v>
      </c>
      <c r="H292" s="53">
        <v>1026</v>
      </c>
      <c r="I292" s="38">
        <v>46167</v>
      </c>
      <c r="J292" s="35">
        <v>46177</v>
      </c>
      <c r="K292" s="36" t="s">
        <v>8</v>
      </c>
    </row>
    <row r="293" spans="4:11" ht="39.75" customHeight="1" x14ac:dyDescent="0.3">
      <c r="D293" s="48" t="s">
        <v>776</v>
      </c>
      <c r="E293" s="49" t="s">
        <v>777</v>
      </c>
      <c r="F293" s="50" t="s">
        <v>163</v>
      </c>
      <c r="G293" s="51" t="s">
        <v>778</v>
      </c>
      <c r="H293" s="53">
        <v>1027</v>
      </c>
      <c r="I293" s="38">
        <v>46167</v>
      </c>
      <c r="J293" s="35">
        <v>46176</v>
      </c>
      <c r="K293" s="36" t="s">
        <v>8</v>
      </c>
    </row>
    <row r="294" spans="4:11" ht="39.75" customHeight="1" x14ac:dyDescent="0.3">
      <c r="D294" s="48" t="s">
        <v>779</v>
      </c>
      <c r="E294" s="49" t="s">
        <v>780</v>
      </c>
      <c r="F294" s="50" t="s">
        <v>163</v>
      </c>
      <c r="G294" s="51" t="s">
        <v>781</v>
      </c>
      <c r="H294" s="53">
        <v>1029</v>
      </c>
      <c r="I294" s="38">
        <v>46167</v>
      </c>
      <c r="J294" s="35">
        <v>46174</v>
      </c>
      <c r="K294" s="36" t="s">
        <v>8</v>
      </c>
    </row>
    <row r="295" spans="4:11" ht="39.75" customHeight="1" x14ac:dyDescent="0.3">
      <c r="D295" s="48" t="s">
        <v>782</v>
      </c>
      <c r="E295" s="49" t="s">
        <v>783</v>
      </c>
      <c r="F295" s="50" t="s">
        <v>163</v>
      </c>
      <c r="G295" s="51" t="s">
        <v>784</v>
      </c>
      <c r="H295" s="53">
        <v>1029</v>
      </c>
      <c r="I295" s="38">
        <v>46167</v>
      </c>
      <c r="J295" s="35">
        <v>46177</v>
      </c>
      <c r="K295" s="36" t="s">
        <v>8</v>
      </c>
    </row>
    <row r="296" spans="4:11" ht="39.75" customHeight="1" x14ac:dyDescent="0.3">
      <c r="D296" s="48" t="s">
        <v>785</v>
      </c>
      <c r="E296" s="49"/>
      <c r="F296" s="50" t="s">
        <v>163</v>
      </c>
      <c r="G296" s="51" t="s">
        <v>786</v>
      </c>
      <c r="H296" s="53">
        <v>1031</v>
      </c>
      <c r="I296" s="38">
        <v>46167</v>
      </c>
      <c r="J296" s="35">
        <v>46180</v>
      </c>
      <c r="K296" s="36" t="s">
        <v>8</v>
      </c>
    </row>
    <row r="297" spans="4:11" ht="39.75" customHeight="1" x14ac:dyDescent="0.3">
      <c r="D297" s="48" t="s">
        <v>787</v>
      </c>
      <c r="E297" s="49" t="s">
        <v>788</v>
      </c>
      <c r="F297" s="50" t="s">
        <v>163</v>
      </c>
      <c r="G297" s="51" t="s">
        <v>789</v>
      </c>
      <c r="H297" s="53">
        <v>1044</v>
      </c>
      <c r="I297" s="38">
        <v>46167</v>
      </c>
      <c r="J297" s="35">
        <v>46176</v>
      </c>
      <c r="K297" s="36" t="s">
        <v>8</v>
      </c>
    </row>
    <row r="298" spans="4:11" ht="39.75" customHeight="1" x14ac:dyDescent="0.3">
      <c r="D298" s="48" t="s">
        <v>790</v>
      </c>
      <c r="E298" s="49" t="s">
        <v>791</v>
      </c>
      <c r="F298" s="50" t="s">
        <v>163</v>
      </c>
      <c r="G298" s="51" t="s">
        <v>792</v>
      </c>
      <c r="H298" s="53">
        <v>1044</v>
      </c>
      <c r="I298" s="38">
        <v>46167</v>
      </c>
      <c r="J298" s="35">
        <v>46177</v>
      </c>
      <c r="K298" s="36" t="s">
        <v>8</v>
      </c>
    </row>
    <row r="299" spans="4:11" ht="39.75" customHeight="1" x14ac:dyDescent="0.3">
      <c r="D299" s="48" t="s">
        <v>793</v>
      </c>
      <c r="E299" s="49" t="s">
        <v>794</v>
      </c>
      <c r="F299" s="50" t="s">
        <v>163</v>
      </c>
      <c r="G299" s="51" t="s">
        <v>795</v>
      </c>
      <c r="H299" s="53">
        <v>1023</v>
      </c>
      <c r="I299" s="38">
        <v>46167</v>
      </c>
      <c r="J299" s="35">
        <v>46182</v>
      </c>
      <c r="K299" s="36" t="s">
        <v>8</v>
      </c>
    </row>
    <row r="300" spans="4:11" ht="39.75" customHeight="1" x14ac:dyDescent="0.3">
      <c r="D300" s="48" t="s">
        <v>796</v>
      </c>
      <c r="E300" s="49" t="s">
        <v>797</v>
      </c>
      <c r="F300" s="50" t="s">
        <v>163</v>
      </c>
      <c r="G300" s="51" t="s">
        <v>798</v>
      </c>
      <c r="H300" s="53">
        <v>1023</v>
      </c>
      <c r="I300" s="38">
        <v>46175</v>
      </c>
      <c r="J300" s="35">
        <v>46184</v>
      </c>
      <c r="K300" s="36" t="s">
        <v>8</v>
      </c>
    </row>
    <row r="301" spans="4:11" ht="39.75" customHeight="1" x14ac:dyDescent="0.3">
      <c r="D301" s="48" t="s">
        <v>799</v>
      </c>
      <c r="E301" s="49" t="s">
        <v>800</v>
      </c>
      <c r="F301" s="50" t="s">
        <v>163</v>
      </c>
      <c r="G301" s="51" t="s">
        <v>801</v>
      </c>
      <c r="H301" s="53">
        <v>1021</v>
      </c>
      <c r="I301" s="38">
        <v>46175</v>
      </c>
      <c r="J301" s="35">
        <v>46176</v>
      </c>
      <c r="K301" s="36" t="s">
        <v>8</v>
      </c>
    </row>
    <row r="302" spans="4:11" ht="39.75" customHeight="1" x14ac:dyDescent="0.3">
      <c r="D302" s="48" t="s">
        <v>802</v>
      </c>
      <c r="E302" s="49" t="s">
        <v>803</v>
      </c>
      <c r="F302" s="50" t="s">
        <v>163</v>
      </c>
      <c r="G302" s="51" t="s">
        <v>804</v>
      </c>
      <c r="H302" s="53">
        <v>1021</v>
      </c>
      <c r="I302" s="38">
        <v>46175</v>
      </c>
      <c r="J302" s="35">
        <v>46183</v>
      </c>
      <c r="K302" s="36" t="s">
        <v>8</v>
      </c>
    </row>
    <row r="303" spans="4:11" ht="39.75" customHeight="1" x14ac:dyDescent="0.3">
      <c r="D303" s="48" t="s">
        <v>805</v>
      </c>
      <c r="E303" s="49" t="s">
        <v>806</v>
      </c>
      <c r="F303" s="50" t="s">
        <v>163</v>
      </c>
      <c r="G303" s="51" t="s">
        <v>807</v>
      </c>
      <c r="H303" s="53">
        <v>1022</v>
      </c>
      <c r="I303" s="38">
        <v>46175</v>
      </c>
      <c r="J303" s="35">
        <v>46177</v>
      </c>
      <c r="K303" s="36" t="s">
        <v>8</v>
      </c>
    </row>
    <row r="304" spans="4:11" ht="39.75" customHeight="1" x14ac:dyDescent="0.3">
      <c r="D304" s="48" t="s">
        <v>808</v>
      </c>
      <c r="E304" s="49" t="s">
        <v>809</v>
      </c>
      <c r="F304" s="50" t="s">
        <v>163</v>
      </c>
      <c r="G304" s="51" t="s">
        <v>810</v>
      </c>
      <c r="H304" s="53">
        <v>1029</v>
      </c>
      <c r="I304" s="38">
        <v>46175</v>
      </c>
      <c r="J304" s="35">
        <v>46177</v>
      </c>
      <c r="K304" s="36" t="s">
        <v>8</v>
      </c>
    </row>
    <row r="305" spans="4:11" ht="39.75" customHeight="1" x14ac:dyDescent="0.3">
      <c r="D305" s="48" t="s">
        <v>811</v>
      </c>
      <c r="E305" s="49" t="s">
        <v>812</v>
      </c>
      <c r="F305" s="50" t="s">
        <v>163</v>
      </c>
      <c r="G305" s="51" t="s">
        <v>810</v>
      </c>
      <c r="H305" s="53">
        <v>1029</v>
      </c>
      <c r="I305" s="38">
        <v>46175</v>
      </c>
      <c r="J305" s="35">
        <v>46177</v>
      </c>
      <c r="K305" s="36" t="s">
        <v>8</v>
      </c>
    </row>
    <row r="306" spans="4:11" ht="39.75" customHeight="1" x14ac:dyDescent="0.3">
      <c r="D306" s="48" t="s">
        <v>813</v>
      </c>
      <c r="E306" s="49" t="s">
        <v>814</v>
      </c>
      <c r="F306" s="50" t="s">
        <v>163</v>
      </c>
      <c r="G306" s="51" t="s">
        <v>810</v>
      </c>
      <c r="H306" s="53">
        <v>1029</v>
      </c>
      <c r="I306" s="38">
        <v>46175</v>
      </c>
      <c r="J306" s="35">
        <v>46177</v>
      </c>
      <c r="K306" s="36" t="s">
        <v>8</v>
      </c>
    </row>
    <row r="307" spans="4:11" ht="39.75" customHeight="1" x14ac:dyDescent="0.3">
      <c r="D307" s="48" t="s">
        <v>815</v>
      </c>
      <c r="E307" s="49" t="s">
        <v>816</v>
      </c>
      <c r="F307" s="50" t="s">
        <v>163</v>
      </c>
      <c r="G307" s="51" t="s">
        <v>810</v>
      </c>
      <c r="H307" s="53">
        <v>1029</v>
      </c>
      <c r="I307" s="38">
        <v>46175</v>
      </c>
      <c r="J307" s="35">
        <v>46177</v>
      </c>
      <c r="K307" s="36" t="s">
        <v>8</v>
      </c>
    </row>
    <row r="308" spans="4:11" ht="39.75" customHeight="1" x14ac:dyDescent="0.3">
      <c r="D308" s="48" t="s">
        <v>817</v>
      </c>
      <c r="E308" s="49" t="s">
        <v>818</v>
      </c>
      <c r="F308" s="50" t="s">
        <v>163</v>
      </c>
      <c r="G308" s="51" t="s">
        <v>819</v>
      </c>
      <c r="H308" s="53">
        <v>1029</v>
      </c>
      <c r="I308" s="38">
        <v>46175</v>
      </c>
      <c r="J308" s="35">
        <v>46177</v>
      </c>
      <c r="K308" s="36" t="s">
        <v>8</v>
      </c>
    </row>
    <row r="309" spans="4:11" ht="39.75" customHeight="1" x14ac:dyDescent="0.3">
      <c r="D309" s="48" t="s">
        <v>820</v>
      </c>
      <c r="E309" s="49" t="s">
        <v>821</v>
      </c>
      <c r="F309" s="50" t="s">
        <v>163</v>
      </c>
      <c r="G309" s="51" t="s">
        <v>822</v>
      </c>
      <c r="H309" s="53">
        <v>1060</v>
      </c>
      <c r="I309" s="38">
        <v>46175</v>
      </c>
      <c r="J309" s="35">
        <v>46183</v>
      </c>
      <c r="K309" s="36" t="s">
        <v>8</v>
      </c>
    </row>
    <row r="310" spans="4:11" ht="39.75" customHeight="1" x14ac:dyDescent="0.3">
      <c r="D310" s="48" t="s">
        <v>823</v>
      </c>
      <c r="E310" s="49" t="s">
        <v>824</v>
      </c>
      <c r="F310" s="50" t="s">
        <v>163</v>
      </c>
      <c r="G310" s="51" t="s">
        <v>825</v>
      </c>
      <c r="H310" s="53">
        <v>1060</v>
      </c>
      <c r="I310" s="38">
        <v>46175</v>
      </c>
      <c r="J310" s="35">
        <v>46177</v>
      </c>
      <c r="K310" s="36" t="s">
        <v>8</v>
      </c>
    </row>
    <row r="311" spans="4:11" ht="39.75" customHeight="1" x14ac:dyDescent="0.3">
      <c r="D311" s="48" t="s">
        <v>826</v>
      </c>
      <c r="E311" s="49" t="s">
        <v>827</v>
      </c>
      <c r="F311" s="50" t="s">
        <v>163</v>
      </c>
      <c r="G311" s="51" t="s">
        <v>828</v>
      </c>
      <c r="H311" s="53">
        <v>1029</v>
      </c>
      <c r="I311" s="38">
        <v>46176</v>
      </c>
      <c r="J311" s="35">
        <v>46182</v>
      </c>
      <c r="K311" s="36" t="s">
        <v>8</v>
      </c>
    </row>
    <row r="312" spans="4:11" ht="39.75" customHeight="1" x14ac:dyDescent="0.3">
      <c r="D312" s="48" t="s">
        <v>829</v>
      </c>
      <c r="E312" s="49" t="s">
        <v>830</v>
      </c>
      <c r="F312" s="50" t="s">
        <v>163</v>
      </c>
      <c r="G312" s="51" t="s">
        <v>831</v>
      </c>
      <c r="H312" s="53">
        <v>1044</v>
      </c>
      <c r="I312" s="38">
        <v>46176</v>
      </c>
      <c r="J312" s="35">
        <v>46188</v>
      </c>
      <c r="K312" s="36" t="s">
        <v>8</v>
      </c>
    </row>
    <row r="313" spans="4:11" ht="39.75" customHeight="1" x14ac:dyDescent="0.3">
      <c r="D313" s="48" t="s">
        <v>832</v>
      </c>
      <c r="E313" s="49" t="s">
        <v>833</v>
      </c>
      <c r="F313" s="50" t="s">
        <v>163</v>
      </c>
      <c r="G313" s="51" t="s">
        <v>834</v>
      </c>
      <c r="H313" s="53">
        <v>1044</v>
      </c>
      <c r="I313" s="38">
        <v>46176</v>
      </c>
      <c r="J313" s="35">
        <v>46183</v>
      </c>
      <c r="K313" s="36" t="s">
        <v>8</v>
      </c>
    </row>
    <row r="314" spans="4:11" ht="39.75" customHeight="1" x14ac:dyDescent="0.3">
      <c r="D314" s="48" t="s">
        <v>835</v>
      </c>
      <c r="E314" s="49" t="s">
        <v>836</v>
      </c>
      <c r="F314" s="50" t="s">
        <v>163</v>
      </c>
      <c r="G314" s="51" t="s">
        <v>837</v>
      </c>
      <c r="H314" s="53">
        <v>1044</v>
      </c>
      <c r="I314" s="38">
        <v>46176</v>
      </c>
      <c r="J314" s="35">
        <v>46189</v>
      </c>
      <c r="K314" s="36" t="s">
        <v>8</v>
      </c>
    </row>
    <row r="315" spans="4:11" ht="39.75" customHeight="1" x14ac:dyDescent="0.3">
      <c r="D315" s="48" t="s">
        <v>838</v>
      </c>
      <c r="E315" s="49"/>
      <c r="F315" s="50" t="s">
        <v>163</v>
      </c>
      <c r="G315" s="51" t="s">
        <v>837</v>
      </c>
      <c r="H315" s="53">
        <v>1044</v>
      </c>
      <c r="I315" s="38">
        <v>46176</v>
      </c>
      <c r="J315" s="35">
        <v>46183</v>
      </c>
      <c r="K315" s="36" t="s">
        <v>8</v>
      </c>
    </row>
    <row r="316" spans="4:11" ht="39.75" customHeight="1" x14ac:dyDescent="0.3">
      <c r="D316" s="48" t="s">
        <v>839</v>
      </c>
      <c r="E316" s="49"/>
      <c r="F316" s="50" t="s">
        <v>163</v>
      </c>
      <c r="G316" s="51" t="s">
        <v>837</v>
      </c>
      <c r="H316" s="53">
        <v>1044</v>
      </c>
      <c r="I316" s="38">
        <v>46176</v>
      </c>
      <c r="J316" s="35">
        <v>46189</v>
      </c>
      <c r="K316" s="36" t="s">
        <v>8</v>
      </c>
    </row>
    <row r="317" spans="4:11" ht="39.75" customHeight="1" x14ac:dyDescent="0.3">
      <c r="D317" s="48" t="s">
        <v>840</v>
      </c>
      <c r="E317" s="49"/>
      <c r="F317" s="50" t="s">
        <v>163</v>
      </c>
      <c r="G317" s="51" t="s">
        <v>841</v>
      </c>
      <c r="H317" s="53">
        <v>1044</v>
      </c>
      <c r="I317" s="38">
        <v>46176</v>
      </c>
      <c r="J317" s="35">
        <v>46183</v>
      </c>
      <c r="K317" s="36" t="s">
        <v>8</v>
      </c>
    </row>
    <row r="318" spans="4:11" ht="39.75" customHeight="1" x14ac:dyDescent="0.3">
      <c r="D318" s="48" t="s">
        <v>842</v>
      </c>
      <c r="E318" s="49" t="s">
        <v>843</v>
      </c>
      <c r="F318" s="50" t="s">
        <v>163</v>
      </c>
      <c r="G318" s="51" t="s">
        <v>844</v>
      </c>
      <c r="H318" s="53">
        <v>1041</v>
      </c>
      <c r="I318" s="38">
        <v>46176</v>
      </c>
      <c r="J318" s="35">
        <v>46187</v>
      </c>
      <c r="K318" s="36" t="s">
        <v>8</v>
      </c>
    </row>
    <row r="319" spans="4:11" ht="39.75" customHeight="1" x14ac:dyDescent="0.3">
      <c r="D319" s="48" t="s">
        <v>845</v>
      </c>
      <c r="E319" s="49" t="s">
        <v>846</v>
      </c>
      <c r="F319" s="50" t="s">
        <v>163</v>
      </c>
      <c r="G319" s="51" t="s">
        <v>847</v>
      </c>
      <c r="H319" s="53">
        <v>1041</v>
      </c>
      <c r="I319" s="38">
        <v>46177</v>
      </c>
      <c r="J319" s="35">
        <v>46184</v>
      </c>
      <c r="K319" s="36" t="s">
        <v>8</v>
      </c>
    </row>
    <row r="320" spans="4:11" ht="39.75" customHeight="1" x14ac:dyDescent="0.3">
      <c r="D320" s="48" t="s">
        <v>848</v>
      </c>
      <c r="E320" s="49" t="s">
        <v>849</v>
      </c>
      <c r="F320" s="50" t="s">
        <v>163</v>
      </c>
      <c r="G320" s="51" t="s">
        <v>850</v>
      </c>
      <c r="H320" s="53">
        <v>1023</v>
      </c>
      <c r="I320" s="38">
        <v>46177</v>
      </c>
      <c r="J320" s="35">
        <v>46182</v>
      </c>
      <c r="K320" s="36" t="s">
        <v>8</v>
      </c>
    </row>
    <row r="321" spans="4:11" ht="39.75" customHeight="1" x14ac:dyDescent="0.3">
      <c r="D321" s="48" t="s">
        <v>851</v>
      </c>
      <c r="E321" s="49" t="s">
        <v>852</v>
      </c>
      <c r="F321" s="50" t="s">
        <v>163</v>
      </c>
      <c r="G321" s="51" t="s">
        <v>853</v>
      </c>
      <c r="H321" s="53">
        <v>1024</v>
      </c>
      <c r="I321" s="38">
        <v>46177</v>
      </c>
      <c r="J321" s="35">
        <v>46183</v>
      </c>
      <c r="K321" s="36" t="s">
        <v>8</v>
      </c>
    </row>
    <row r="322" spans="4:11" ht="39.75" customHeight="1" x14ac:dyDescent="0.3">
      <c r="D322" s="48" t="s">
        <v>854</v>
      </c>
      <c r="E322" s="49" t="s">
        <v>855</v>
      </c>
      <c r="F322" s="50" t="s">
        <v>163</v>
      </c>
      <c r="G322" s="51" t="s">
        <v>493</v>
      </c>
      <c r="H322" s="53">
        <v>1026</v>
      </c>
      <c r="I322" s="38">
        <v>46177</v>
      </c>
      <c r="J322" s="35">
        <v>46181</v>
      </c>
      <c r="K322" s="36" t="s">
        <v>8</v>
      </c>
    </row>
    <row r="323" spans="4:11" ht="39.75" customHeight="1" x14ac:dyDescent="0.3">
      <c r="D323" s="48" t="s">
        <v>856</v>
      </c>
      <c r="E323" s="49" t="s">
        <v>857</v>
      </c>
      <c r="F323" s="50" t="s">
        <v>163</v>
      </c>
      <c r="G323" s="51" t="s">
        <v>858</v>
      </c>
      <c r="H323" s="53">
        <v>1027</v>
      </c>
      <c r="I323" s="38">
        <v>46177</v>
      </c>
      <c r="J323" s="35">
        <v>46196</v>
      </c>
      <c r="K323" s="36" t="s">
        <v>8</v>
      </c>
    </row>
    <row r="324" spans="4:11" ht="39.75" customHeight="1" x14ac:dyDescent="0.3">
      <c r="D324" s="48" t="s">
        <v>859</v>
      </c>
      <c r="E324" s="49" t="s">
        <v>860</v>
      </c>
      <c r="F324" s="50" t="s">
        <v>163</v>
      </c>
      <c r="G324" s="51" t="s">
        <v>861</v>
      </c>
      <c r="H324" s="53">
        <v>1027</v>
      </c>
      <c r="I324" s="38">
        <v>46177</v>
      </c>
      <c r="J324" s="35">
        <v>46190</v>
      </c>
      <c r="K324" s="36" t="s">
        <v>8</v>
      </c>
    </row>
    <row r="325" spans="4:11" ht="39.75" customHeight="1" x14ac:dyDescent="0.3">
      <c r="D325" s="48" t="s">
        <v>862</v>
      </c>
      <c r="E325" s="49"/>
      <c r="F325" s="50" t="s">
        <v>163</v>
      </c>
      <c r="G325" s="51" t="s">
        <v>863</v>
      </c>
      <c r="H325" s="53">
        <v>1044</v>
      </c>
      <c r="I325" s="38">
        <v>46177</v>
      </c>
      <c r="J325" s="35">
        <v>46187</v>
      </c>
      <c r="K325" s="36" t="s">
        <v>8</v>
      </c>
    </row>
    <row r="326" spans="4:11" ht="39.75" customHeight="1" x14ac:dyDescent="0.3">
      <c r="D326" s="48" t="s">
        <v>864</v>
      </c>
      <c r="E326" s="49" t="s">
        <v>865</v>
      </c>
      <c r="F326" s="50" t="s">
        <v>163</v>
      </c>
      <c r="G326" s="51" t="s">
        <v>866</v>
      </c>
      <c r="H326" s="53">
        <v>1029</v>
      </c>
      <c r="I326" s="38">
        <v>46177</v>
      </c>
      <c r="J326" s="35">
        <v>46184</v>
      </c>
      <c r="K326" s="36" t="s">
        <v>8</v>
      </c>
    </row>
    <row r="327" spans="4:11" ht="39.75" customHeight="1" x14ac:dyDescent="0.3">
      <c r="D327" s="48" t="s">
        <v>867</v>
      </c>
      <c r="E327" s="49" t="s">
        <v>868</v>
      </c>
      <c r="F327" s="50" t="s">
        <v>163</v>
      </c>
      <c r="G327" s="51" t="s">
        <v>869</v>
      </c>
      <c r="H327" s="53">
        <v>1029</v>
      </c>
      <c r="I327" s="38">
        <v>46177</v>
      </c>
      <c r="J327" s="35">
        <v>46188</v>
      </c>
      <c r="K327" s="36" t="s">
        <v>8</v>
      </c>
    </row>
    <row r="328" spans="4:11" ht="39.75" customHeight="1" x14ac:dyDescent="0.3">
      <c r="D328" s="48" t="s">
        <v>870</v>
      </c>
      <c r="E328" s="49" t="s">
        <v>871</v>
      </c>
      <c r="F328" s="50" t="s">
        <v>163</v>
      </c>
      <c r="G328" s="51" t="s">
        <v>872</v>
      </c>
      <c r="H328" s="53">
        <v>1029</v>
      </c>
      <c r="I328" s="38">
        <v>46177</v>
      </c>
      <c r="J328" s="35">
        <v>46187</v>
      </c>
      <c r="K328" s="36" t="s">
        <v>8</v>
      </c>
    </row>
    <row r="329" spans="4:11" ht="39.75" customHeight="1" x14ac:dyDescent="0.3">
      <c r="D329" s="48" t="s">
        <v>873</v>
      </c>
      <c r="E329" s="49" t="s">
        <v>874</v>
      </c>
      <c r="F329" s="50" t="s">
        <v>163</v>
      </c>
      <c r="G329" s="51" t="s">
        <v>875</v>
      </c>
      <c r="H329" s="53">
        <v>1029</v>
      </c>
      <c r="I329" s="38">
        <v>46179</v>
      </c>
      <c r="J329" s="35">
        <v>46187</v>
      </c>
      <c r="K329" s="36" t="s">
        <v>8</v>
      </c>
    </row>
    <row r="330" spans="4:11" ht="39.75" customHeight="1" x14ac:dyDescent="0.3">
      <c r="D330" s="48" t="s">
        <v>876</v>
      </c>
      <c r="E330" s="49" t="s">
        <v>877</v>
      </c>
      <c r="F330" s="50" t="s">
        <v>163</v>
      </c>
      <c r="G330" s="51" t="s">
        <v>878</v>
      </c>
      <c r="H330" s="53">
        <v>1029</v>
      </c>
      <c r="I330" s="38">
        <v>46179</v>
      </c>
      <c r="J330" s="35">
        <v>46184</v>
      </c>
      <c r="K330" s="36" t="s">
        <v>8</v>
      </c>
    </row>
    <row r="331" spans="4:11" ht="39.75" customHeight="1" x14ac:dyDescent="0.3">
      <c r="D331" s="48" t="s">
        <v>879</v>
      </c>
      <c r="E331" s="49" t="s">
        <v>880</v>
      </c>
      <c r="F331" s="50" t="s">
        <v>163</v>
      </c>
      <c r="G331" s="51" t="s">
        <v>881</v>
      </c>
      <c r="H331" s="53">
        <v>1036</v>
      </c>
      <c r="I331" s="38">
        <v>46179</v>
      </c>
      <c r="J331" s="35">
        <v>46181</v>
      </c>
      <c r="K331" s="36" t="s">
        <v>8</v>
      </c>
    </row>
    <row r="332" spans="4:11" ht="39.75" customHeight="1" x14ac:dyDescent="0.3">
      <c r="D332" s="48" t="s">
        <v>882</v>
      </c>
      <c r="E332" s="49" t="s">
        <v>883</v>
      </c>
      <c r="F332" s="50" t="s">
        <v>163</v>
      </c>
      <c r="G332" s="51" t="s">
        <v>884</v>
      </c>
      <c r="H332" s="53">
        <v>1036</v>
      </c>
      <c r="I332" s="38">
        <v>46179</v>
      </c>
      <c r="J332" s="35">
        <v>46181</v>
      </c>
      <c r="K332" s="36" t="s">
        <v>8</v>
      </c>
    </row>
    <row r="333" spans="4:11" ht="39.75" customHeight="1" x14ac:dyDescent="0.3">
      <c r="D333" s="48" t="s">
        <v>885</v>
      </c>
      <c r="E333" s="49" t="s">
        <v>886</v>
      </c>
      <c r="F333" s="50" t="s">
        <v>163</v>
      </c>
      <c r="G333" s="51" t="s">
        <v>887</v>
      </c>
      <c r="H333" s="53">
        <v>1029</v>
      </c>
      <c r="I333" s="38">
        <v>46180</v>
      </c>
      <c r="J333" s="35">
        <v>46187</v>
      </c>
      <c r="K333" s="36" t="s">
        <v>8</v>
      </c>
    </row>
    <row r="334" spans="4:11" ht="39.75" customHeight="1" x14ac:dyDescent="0.3">
      <c r="D334" s="48" t="s">
        <v>888</v>
      </c>
      <c r="E334" s="49" t="s">
        <v>889</v>
      </c>
      <c r="F334" s="50" t="s">
        <v>163</v>
      </c>
      <c r="G334" s="51" t="s">
        <v>890</v>
      </c>
      <c r="H334" s="53">
        <v>1029</v>
      </c>
      <c r="I334" s="38">
        <v>46180</v>
      </c>
      <c r="J334" s="35">
        <v>46184</v>
      </c>
      <c r="K334" s="36" t="s">
        <v>8</v>
      </c>
    </row>
    <row r="335" spans="4:11" ht="39.75" customHeight="1" x14ac:dyDescent="0.3">
      <c r="D335" s="48" t="s">
        <v>891</v>
      </c>
      <c r="E335" s="49" t="s">
        <v>892</v>
      </c>
      <c r="F335" s="50" t="s">
        <v>163</v>
      </c>
      <c r="G335" s="51" t="s">
        <v>887</v>
      </c>
      <c r="H335" s="53">
        <v>1029</v>
      </c>
      <c r="I335" s="38">
        <v>46180</v>
      </c>
      <c r="J335" s="35">
        <v>46181</v>
      </c>
      <c r="K335" s="36" t="s">
        <v>8</v>
      </c>
    </row>
    <row r="336" spans="4:11" ht="39.75" customHeight="1" x14ac:dyDescent="0.3">
      <c r="D336" s="48" t="s">
        <v>893</v>
      </c>
      <c r="E336" s="49" t="s">
        <v>894</v>
      </c>
      <c r="F336" s="50" t="s">
        <v>163</v>
      </c>
      <c r="G336" s="51" t="s">
        <v>895</v>
      </c>
      <c r="H336" s="53">
        <v>1026</v>
      </c>
      <c r="I336" s="38">
        <v>46180</v>
      </c>
      <c r="J336" s="35">
        <v>46181</v>
      </c>
      <c r="K336" s="36" t="s">
        <v>8</v>
      </c>
    </row>
    <row r="337" spans="4:11" ht="39.75" customHeight="1" x14ac:dyDescent="0.3">
      <c r="D337" s="48" t="s">
        <v>896</v>
      </c>
      <c r="E337" s="49" t="s">
        <v>897</v>
      </c>
      <c r="F337" s="50" t="s">
        <v>163</v>
      </c>
      <c r="G337" s="51" t="s">
        <v>688</v>
      </c>
      <c r="H337" s="53">
        <v>1028</v>
      </c>
      <c r="I337" s="38">
        <v>46180</v>
      </c>
      <c r="J337" s="35">
        <v>46187</v>
      </c>
      <c r="K337" s="36" t="s">
        <v>8</v>
      </c>
    </row>
    <row r="338" spans="4:11" ht="39.75" customHeight="1" x14ac:dyDescent="0.3">
      <c r="D338" s="48" t="s">
        <v>898</v>
      </c>
      <c r="E338" s="49" t="s">
        <v>899</v>
      </c>
      <c r="F338" s="50" t="s">
        <v>163</v>
      </c>
      <c r="G338" s="51" t="s">
        <v>900</v>
      </c>
      <c r="H338" s="53">
        <v>1029</v>
      </c>
      <c r="I338" s="38">
        <v>46180</v>
      </c>
      <c r="J338" s="35">
        <v>46184</v>
      </c>
      <c r="K338" s="36" t="s">
        <v>8</v>
      </c>
    </row>
    <row r="339" spans="4:11" ht="39.75" customHeight="1" x14ac:dyDescent="0.3">
      <c r="D339" s="48" t="s">
        <v>901</v>
      </c>
      <c r="E339" s="49" t="s">
        <v>902</v>
      </c>
      <c r="F339" s="50" t="s">
        <v>163</v>
      </c>
      <c r="G339" s="51" t="s">
        <v>903</v>
      </c>
      <c r="H339" s="53">
        <v>1029</v>
      </c>
      <c r="I339" s="38">
        <v>46180</v>
      </c>
      <c r="J339" s="35">
        <v>46184</v>
      </c>
      <c r="K339" s="36" t="s">
        <v>8</v>
      </c>
    </row>
    <row r="340" spans="4:11" ht="39.75" customHeight="1" x14ac:dyDescent="0.3">
      <c r="D340" s="48" t="s">
        <v>904</v>
      </c>
      <c r="E340" s="49" t="s">
        <v>905</v>
      </c>
      <c r="F340" s="50" t="s">
        <v>163</v>
      </c>
      <c r="G340" s="51" t="s">
        <v>906</v>
      </c>
      <c r="H340" s="53">
        <v>1060</v>
      </c>
      <c r="I340" s="38">
        <v>46181</v>
      </c>
      <c r="J340" s="35">
        <v>46181</v>
      </c>
      <c r="K340" s="36" t="s">
        <v>8</v>
      </c>
    </row>
    <row r="341" spans="4:11" ht="39.75" customHeight="1" x14ac:dyDescent="0.3">
      <c r="D341" s="48" t="s">
        <v>907</v>
      </c>
      <c r="E341" s="49" t="s">
        <v>908</v>
      </c>
      <c r="F341" s="50" t="s">
        <v>163</v>
      </c>
      <c r="G341" s="51" t="s">
        <v>909</v>
      </c>
      <c r="H341" s="53">
        <v>1060</v>
      </c>
      <c r="I341" s="38">
        <v>46181</v>
      </c>
      <c r="J341" s="35">
        <v>46181</v>
      </c>
      <c r="K341" s="36" t="s">
        <v>8</v>
      </c>
    </row>
    <row r="342" spans="4:11" ht="39.75" customHeight="1" x14ac:dyDescent="0.3">
      <c r="D342" s="48" t="s">
        <v>910</v>
      </c>
      <c r="E342" s="49" t="s">
        <v>911</v>
      </c>
      <c r="F342" s="50" t="s">
        <v>163</v>
      </c>
      <c r="G342" s="51" t="s">
        <v>912</v>
      </c>
      <c r="H342" s="53">
        <v>1021</v>
      </c>
      <c r="I342" s="38">
        <v>46181</v>
      </c>
      <c r="J342" s="35">
        <v>46188</v>
      </c>
      <c r="K342" s="36" t="s">
        <v>8</v>
      </c>
    </row>
    <row r="343" spans="4:11" ht="39.75" customHeight="1" x14ac:dyDescent="0.3">
      <c r="D343" s="48" t="s">
        <v>913</v>
      </c>
      <c r="E343" s="49" t="s">
        <v>914</v>
      </c>
      <c r="F343" s="50" t="s">
        <v>163</v>
      </c>
      <c r="G343" s="51" t="s">
        <v>538</v>
      </c>
      <c r="H343" s="53">
        <v>1022</v>
      </c>
      <c r="I343" s="38">
        <v>46181</v>
      </c>
      <c r="J343" s="35">
        <v>46187</v>
      </c>
      <c r="K343" s="36" t="s">
        <v>8</v>
      </c>
    </row>
    <row r="344" spans="4:11" ht="39.75" customHeight="1" x14ac:dyDescent="0.3">
      <c r="D344" s="48" t="s">
        <v>915</v>
      </c>
      <c r="E344" s="49" t="s">
        <v>916</v>
      </c>
      <c r="F344" s="50" t="s">
        <v>163</v>
      </c>
      <c r="G344" s="51" t="s">
        <v>917</v>
      </c>
      <c r="H344" s="53">
        <v>1029</v>
      </c>
      <c r="I344" s="38">
        <v>46181</v>
      </c>
      <c r="J344" s="35">
        <v>46187</v>
      </c>
      <c r="K344" s="36" t="s">
        <v>8</v>
      </c>
    </row>
    <row r="345" spans="4:11" ht="39.75" customHeight="1" x14ac:dyDescent="0.3">
      <c r="D345" s="48" t="s">
        <v>918</v>
      </c>
      <c r="E345" s="49" t="s">
        <v>919</v>
      </c>
      <c r="F345" s="50" t="s">
        <v>163</v>
      </c>
      <c r="G345" s="51" t="s">
        <v>920</v>
      </c>
      <c r="H345" s="53">
        <v>1029</v>
      </c>
      <c r="I345" s="38">
        <v>46181</v>
      </c>
      <c r="J345" s="35">
        <v>46189</v>
      </c>
      <c r="K345" s="36" t="s">
        <v>8</v>
      </c>
    </row>
    <row r="346" spans="4:11" ht="39.75" customHeight="1" x14ac:dyDescent="0.3">
      <c r="D346" s="48" t="s">
        <v>921</v>
      </c>
      <c r="E346" s="49" t="s">
        <v>922</v>
      </c>
      <c r="F346" s="50" t="s">
        <v>163</v>
      </c>
      <c r="G346" s="51" t="s">
        <v>923</v>
      </c>
      <c r="H346" s="53">
        <v>1030</v>
      </c>
      <c r="I346" s="38">
        <v>46181</v>
      </c>
      <c r="J346" s="35">
        <v>46182</v>
      </c>
      <c r="K346" s="36" t="s">
        <v>8</v>
      </c>
    </row>
    <row r="347" spans="4:11" ht="39.75" customHeight="1" x14ac:dyDescent="0.3">
      <c r="D347" s="48" t="s">
        <v>924</v>
      </c>
      <c r="E347" s="49" t="s">
        <v>925</v>
      </c>
      <c r="F347" s="50" t="s">
        <v>163</v>
      </c>
      <c r="G347" s="51" t="s">
        <v>926</v>
      </c>
      <c r="H347" s="53">
        <v>1041</v>
      </c>
      <c r="I347" s="38">
        <v>46181</v>
      </c>
      <c r="J347" s="35">
        <v>46183</v>
      </c>
      <c r="K347" s="36" t="s">
        <v>8</v>
      </c>
    </row>
    <row r="348" spans="4:11" ht="39.75" customHeight="1" x14ac:dyDescent="0.3">
      <c r="D348" s="48" t="s">
        <v>927</v>
      </c>
      <c r="E348" s="49" t="s">
        <v>928</v>
      </c>
      <c r="F348" s="50" t="s">
        <v>163</v>
      </c>
      <c r="G348" s="51" t="s">
        <v>929</v>
      </c>
      <c r="H348" s="53">
        <v>1047</v>
      </c>
      <c r="I348" s="38">
        <v>46181</v>
      </c>
      <c r="J348" s="35">
        <v>46189</v>
      </c>
      <c r="K348" s="36" t="s">
        <v>8</v>
      </c>
    </row>
    <row r="349" spans="4:11" ht="39.75" customHeight="1" x14ac:dyDescent="0.3">
      <c r="D349" s="48" t="s">
        <v>930</v>
      </c>
      <c r="E349" s="49" t="s">
        <v>931</v>
      </c>
      <c r="F349" s="50" t="s">
        <v>163</v>
      </c>
      <c r="G349" s="51" t="s">
        <v>932</v>
      </c>
      <c r="H349" s="53">
        <v>1047</v>
      </c>
      <c r="I349" s="38">
        <v>46181</v>
      </c>
      <c r="J349" s="35">
        <v>46182</v>
      </c>
      <c r="K349" s="36" t="s">
        <v>8</v>
      </c>
    </row>
    <row r="350" spans="4:11" ht="39.75" customHeight="1" x14ac:dyDescent="0.3">
      <c r="D350" s="48" t="s">
        <v>933</v>
      </c>
      <c r="E350" s="49" t="s">
        <v>934</v>
      </c>
      <c r="F350" s="50" t="s">
        <v>163</v>
      </c>
      <c r="G350" s="51" t="s">
        <v>935</v>
      </c>
      <c r="H350" s="53">
        <v>1031</v>
      </c>
      <c r="I350" s="38">
        <v>46182</v>
      </c>
      <c r="J350" s="35">
        <v>46187</v>
      </c>
      <c r="K350" s="36" t="s">
        <v>8</v>
      </c>
    </row>
    <row r="351" spans="4:11" ht="39.75" customHeight="1" x14ac:dyDescent="0.3">
      <c r="D351" s="48" t="s">
        <v>936</v>
      </c>
      <c r="E351" s="49" t="s">
        <v>937</v>
      </c>
      <c r="F351" s="50" t="s">
        <v>163</v>
      </c>
      <c r="G351" s="51" t="s">
        <v>938</v>
      </c>
      <c r="H351" s="53">
        <v>1022</v>
      </c>
      <c r="I351" s="38">
        <v>46182</v>
      </c>
      <c r="J351" s="35">
        <v>46189</v>
      </c>
      <c r="K351" s="36" t="s">
        <v>8</v>
      </c>
    </row>
    <row r="352" spans="4:11" ht="39.75" customHeight="1" x14ac:dyDescent="0.3">
      <c r="D352" s="48" t="s">
        <v>939</v>
      </c>
      <c r="E352" s="49" t="s">
        <v>940</v>
      </c>
      <c r="F352" s="50" t="s">
        <v>163</v>
      </c>
      <c r="G352" s="51" t="s">
        <v>941</v>
      </c>
      <c r="H352" s="53">
        <v>1025</v>
      </c>
      <c r="I352" s="38">
        <v>46182</v>
      </c>
      <c r="J352" s="35">
        <v>46183</v>
      </c>
      <c r="K352" s="36" t="s">
        <v>8</v>
      </c>
    </row>
    <row r="353" spans="4:11" ht="39.75" customHeight="1" x14ac:dyDescent="0.3">
      <c r="D353" s="48" t="s">
        <v>942</v>
      </c>
      <c r="E353" s="49" t="s">
        <v>943</v>
      </c>
      <c r="F353" s="50" t="s">
        <v>163</v>
      </c>
      <c r="G353" s="51" t="s">
        <v>944</v>
      </c>
      <c r="H353" s="53">
        <v>1029</v>
      </c>
      <c r="I353" s="38">
        <v>46182</v>
      </c>
      <c r="J353" s="35">
        <v>46184</v>
      </c>
      <c r="K353" s="36" t="s">
        <v>8</v>
      </c>
    </row>
    <row r="354" spans="4:11" ht="39.75" customHeight="1" x14ac:dyDescent="0.3">
      <c r="D354" s="48" t="s">
        <v>945</v>
      </c>
      <c r="E354" s="49" t="s">
        <v>946</v>
      </c>
      <c r="F354" s="50" t="s">
        <v>163</v>
      </c>
      <c r="G354" s="51" t="s">
        <v>556</v>
      </c>
      <c r="H354" s="53">
        <v>1024</v>
      </c>
      <c r="I354" s="38">
        <v>46182</v>
      </c>
      <c r="J354" s="35">
        <v>46194</v>
      </c>
      <c r="K354" s="36" t="s">
        <v>8</v>
      </c>
    </row>
    <row r="355" spans="4:11" ht="39.75" customHeight="1" x14ac:dyDescent="0.3">
      <c r="D355" s="48" t="s">
        <v>947</v>
      </c>
      <c r="E355" s="49" t="s">
        <v>948</v>
      </c>
      <c r="F355" s="50" t="s">
        <v>163</v>
      </c>
      <c r="G355" s="51" t="s">
        <v>949</v>
      </c>
      <c r="H355" s="53">
        <v>1026</v>
      </c>
      <c r="I355" s="38">
        <v>46182</v>
      </c>
      <c r="J355" s="35">
        <v>46183</v>
      </c>
      <c r="K355" s="36" t="s">
        <v>8</v>
      </c>
    </row>
    <row r="356" spans="4:11" ht="39.75" customHeight="1" x14ac:dyDescent="0.3">
      <c r="D356" s="48" t="s">
        <v>950</v>
      </c>
      <c r="E356" s="49" t="s">
        <v>951</v>
      </c>
      <c r="F356" s="50" t="s">
        <v>163</v>
      </c>
      <c r="G356" s="51" t="s">
        <v>887</v>
      </c>
      <c r="H356" s="53">
        <v>1029</v>
      </c>
      <c r="I356" s="38">
        <v>46182</v>
      </c>
      <c r="J356" s="35">
        <v>46185</v>
      </c>
      <c r="K356" s="36" t="s">
        <v>8</v>
      </c>
    </row>
    <row r="357" spans="4:11" ht="39.75" customHeight="1" x14ac:dyDescent="0.3">
      <c r="D357" s="48" t="s">
        <v>952</v>
      </c>
      <c r="E357" s="49" t="s">
        <v>953</v>
      </c>
      <c r="F357" s="50" t="s">
        <v>163</v>
      </c>
      <c r="G357" s="51" t="s">
        <v>954</v>
      </c>
      <c r="H357" s="53">
        <v>1029</v>
      </c>
      <c r="I357" s="38">
        <v>46182</v>
      </c>
      <c r="J357" s="35">
        <v>46184</v>
      </c>
      <c r="K357" s="36" t="s">
        <v>8</v>
      </c>
    </row>
    <row r="358" spans="4:11" ht="39.75" customHeight="1" x14ac:dyDescent="0.3">
      <c r="D358" s="48" t="s">
        <v>955</v>
      </c>
      <c r="E358" s="49" t="s">
        <v>956</v>
      </c>
      <c r="F358" s="50" t="s">
        <v>163</v>
      </c>
      <c r="G358" s="51" t="s">
        <v>957</v>
      </c>
      <c r="H358" s="53">
        <v>1029</v>
      </c>
      <c r="I358" s="38">
        <v>46183</v>
      </c>
      <c r="J358" s="35">
        <v>46184</v>
      </c>
      <c r="K358" s="36" t="s">
        <v>8</v>
      </c>
    </row>
    <row r="359" spans="4:11" ht="39.75" customHeight="1" x14ac:dyDescent="0.3">
      <c r="D359" s="48" t="s">
        <v>958</v>
      </c>
      <c r="E359" s="49" t="s">
        <v>959</v>
      </c>
      <c r="F359" s="50" t="s">
        <v>163</v>
      </c>
      <c r="G359" s="51" t="s">
        <v>960</v>
      </c>
      <c r="H359" s="53">
        <v>1036</v>
      </c>
      <c r="I359" s="38">
        <v>46183</v>
      </c>
      <c r="J359" s="35">
        <v>46183</v>
      </c>
      <c r="K359" s="36" t="s">
        <v>8</v>
      </c>
    </row>
    <row r="360" spans="4:11" ht="39.75" customHeight="1" x14ac:dyDescent="0.3">
      <c r="D360" s="48" t="s">
        <v>961</v>
      </c>
      <c r="E360" s="49" t="s">
        <v>962</v>
      </c>
      <c r="F360" s="50" t="s">
        <v>163</v>
      </c>
      <c r="G360" s="51" t="s">
        <v>963</v>
      </c>
      <c r="H360" s="53">
        <v>1021</v>
      </c>
      <c r="I360" s="38">
        <v>46183</v>
      </c>
      <c r="J360" s="35">
        <v>46187</v>
      </c>
      <c r="K360" s="36" t="s">
        <v>8</v>
      </c>
    </row>
    <row r="361" spans="4:11" ht="39.75" customHeight="1" x14ac:dyDescent="0.3">
      <c r="D361" s="48" t="s">
        <v>964</v>
      </c>
      <c r="E361" s="49" t="s">
        <v>965</v>
      </c>
      <c r="F361" s="50" t="s">
        <v>163</v>
      </c>
      <c r="G361" s="51" t="s">
        <v>966</v>
      </c>
      <c r="H361" s="53">
        <v>1024</v>
      </c>
      <c r="I361" s="38">
        <v>46183</v>
      </c>
      <c r="J361" s="35">
        <v>46196</v>
      </c>
      <c r="K361" s="36" t="s">
        <v>8</v>
      </c>
    </row>
    <row r="362" spans="4:11" ht="39.75" customHeight="1" x14ac:dyDescent="0.3">
      <c r="D362" s="48" t="s">
        <v>967</v>
      </c>
      <c r="E362" s="49" t="s">
        <v>968</v>
      </c>
      <c r="F362" s="50" t="s">
        <v>163</v>
      </c>
      <c r="G362" s="51" t="s">
        <v>969</v>
      </c>
      <c r="H362" s="53">
        <v>1026</v>
      </c>
      <c r="I362" s="38">
        <v>46183</v>
      </c>
      <c r="J362" s="35">
        <v>46187</v>
      </c>
      <c r="K362" s="36" t="s">
        <v>8</v>
      </c>
    </row>
    <row r="363" spans="4:11" ht="39.75" customHeight="1" x14ac:dyDescent="0.3">
      <c r="D363" s="48" t="s">
        <v>970</v>
      </c>
      <c r="E363" s="49" t="s">
        <v>971</v>
      </c>
      <c r="F363" s="50" t="s">
        <v>163</v>
      </c>
      <c r="G363" s="51" t="s">
        <v>972</v>
      </c>
      <c r="H363" s="53">
        <v>1022</v>
      </c>
      <c r="I363" s="38">
        <v>46183</v>
      </c>
      <c r="J363" s="35">
        <v>46191</v>
      </c>
      <c r="K363" s="36" t="s">
        <v>8</v>
      </c>
    </row>
    <row r="364" spans="4:11" ht="39.75" customHeight="1" x14ac:dyDescent="0.3">
      <c r="D364" s="48" t="s">
        <v>973</v>
      </c>
      <c r="E364" s="49" t="s">
        <v>974</v>
      </c>
      <c r="F364" s="50" t="s">
        <v>163</v>
      </c>
      <c r="G364" s="51" t="s">
        <v>975</v>
      </c>
      <c r="H364" s="53">
        <v>1029</v>
      </c>
      <c r="I364" s="38">
        <v>46183</v>
      </c>
      <c r="J364" s="35">
        <v>46185</v>
      </c>
      <c r="K364" s="36" t="s">
        <v>8</v>
      </c>
    </row>
    <row r="365" spans="4:11" ht="39.75" customHeight="1" x14ac:dyDescent="0.3">
      <c r="D365" s="48" t="s">
        <v>976</v>
      </c>
      <c r="E365" s="49" t="s">
        <v>977</v>
      </c>
      <c r="F365" s="50" t="s">
        <v>163</v>
      </c>
      <c r="G365" s="51" t="s">
        <v>978</v>
      </c>
      <c r="H365" s="53">
        <v>1029</v>
      </c>
      <c r="I365" s="38">
        <v>46183</v>
      </c>
      <c r="J365" s="35">
        <v>46188</v>
      </c>
      <c r="K365" s="36" t="s">
        <v>8</v>
      </c>
    </row>
    <row r="366" spans="4:11" ht="39.75" customHeight="1" x14ac:dyDescent="0.3">
      <c r="D366" s="48" t="s">
        <v>979</v>
      </c>
      <c r="E366" s="49" t="s">
        <v>980</v>
      </c>
      <c r="F366" s="50" t="s">
        <v>163</v>
      </c>
      <c r="G366" s="51" t="s">
        <v>981</v>
      </c>
      <c r="H366" s="53">
        <v>1021</v>
      </c>
      <c r="I366" s="38">
        <v>46184</v>
      </c>
      <c r="J366" s="35">
        <v>46197</v>
      </c>
      <c r="K366" s="36" t="s">
        <v>8</v>
      </c>
    </row>
    <row r="367" spans="4:11" ht="39.75" customHeight="1" x14ac:dyDescent="0.3">
      <c r="D367" s="48" t="s">
        <v>982</v>
      </c>
      <c r="E367" s="49" t="s">
        <v>983</v>
      </c>
      <c r="F367" s="50" t="s">
        <v>163</v>
      </c>
      <c r="G367" s="51" t="s">
        <v>984</v>
      </c>
      <c r="H367" s="53">
        <v>1022</v>
      </c>
      <c r="I367" s="38">
        <v>46184</v>
      </c>
      <c r="J367" s="35">
        <v>46192</v>
      </c>
      <c r="K367" s="36" t="s">
        <v>8</v>
      </c>
    </row>
    <row r="368" spans="4:11" ht="39.75" customHeight="1" x14ac:dyDescent="0.3">
      <c r="D368" s="48" t="s">
        <v>985</v>
      </c>
      <c r="E368" s="49" t="s">
        <v>986</v>
      </c>
      <c r="F368" s="50" t="s">
        <v>163</v>
      </c>
      <c r="G368" s="51" t="s">
        <v>987</v>
      </c>
      <c r="H368" s="53">
        <v>1031</v>
      </c>
      <c r="I368" s="38">
        <v>46184</v>
      </c>
      <c r="J368" s="35">
        <v>46189</v>
      </c>
      <c r="K368" s="36" t="s">
        <v>8</v>
      </c>
    </row>
    <row r="369" spans="4:11" ht="39.75" customHeight="1" x14ac:dyDescent="0.3">
      <c r="D369" s="48" t="s">
        <v>988</v>
      </c>
      <c r="E369" s="49" t="s">
        <v>989</v>
      </c>
      <c r="F369" s="50" t="s">
        <v>163</v>
      </c>
      <c r="G369" s="51" t="s">
        <v>990</v>
      </c>
      <c r="H369" s="53">
        <v>1036</v>
      </c>
      <c r="I369" s="38">
        <v>46184</v>
      </c>
      <c r="J369" s="35">
        <v>46185</v>
      </c>
      <c r="K369" s="36" t="s">
        <v>8</v>
      </c>
    </row>
    <row r="370" spans="4:11" ht="39.75" customHeight="1" x14ac:dyDescent="0.3">
      <c r="D370" s="48" t="s">
        <v>991</v>
      </c>
      <c r="E370" s="49" t="s">
        <v>992</v>
      </c>
      <c r="F370" s="50" t="s">
        <v>163</v>
      </c>
      <c r="G370" s="51" t="s">
        <v>993</v>
      </c>
      <c r="H370" s="53">
        <v>1029</v>
      </c>
      <c r="I370" s="38">
        <v>46184</v>
      </c>
      <c r="J370" s="35">
        <v>46188</v>
      </c>
      <c r="K370" s="36" t="s">
        <v>8</v>
      </c>
    </row>
    <row r="371" spans="4:11" ht="39.75" customHeight="1" x14ac:dyDescent="0.3">
      <c r="D371" s="48" t="s">
        <v>994</v>
      </c>
      <c r="E371" s="49" t="s">
        <v>995</v>
      </c>
      <c r="F371" s="50" t="s">
        <v>163</v>
      </c>
      <c r="G371" s="51" t="s">
        <v>996</v>
      </c>
      <c r="H371" s="53">
        <v>1043</v>
      </c>
      <c r="I371" s="38">
        <v>46184</v>
      </c>
      <c r="J371" s="35">
        <v>46189</v>
      </c>
      <c r="K371" s="36" t="s">
        <v>8</v>
      </c>
    </row>
    <row r="372" spans="4:11" ht="39.75" customHeight="1" x14ac:dyDescent="0.3">
      <c r="D372" s="48" t="s">
        <v>997</v>
      </c>
      <c r="E372" s="49" t="s">
        <v>998</v>
      </c>
      <c r="F372" s="50" t="s">
        <v>163</v>
      </c>
      <c r="G372" s="51" t="s">
        <v>999</v>
      </c>
      <c r="H372" s="53">
        <v>1020</v>
      </c>
      <c r="I372" s="38">
        <v>46184</v>
      </c>
      <c r="J372" s="35">
        <v>46190</v>
      </c>
      <c r="K372" s="36" t="s">
        <v>8</v>
      </c>
    </row>
    <row r="373" spans="4:11" ht="39.75" customHeight="1" x14ac:dyDescent="0.3">
      <c r="D373" s="48" t="s">
        <v>1000</v>
      </c>
      <c r="E373" s="49" t="s">
        <v>1001</v>
      </c>
      <c r="F373" s="50" t="s">
        <v>163</v>
      </c>
      <c r="G373" s="51" t="s">
        <v>1002</v>
      </c>
      <c r="H373" s="53">
        <v>1024</v>
      </c>
      <c r="I373" s="38">
        <v>46184</v>
      </c>
      <c r="J373" s="35">
        <v>46187</v>
      </c>
      <c r="K373" s="36" t="s">
        <v>8</v>
      </c>
    </row>
    <row r="374" spans="4:11" ht="39.75" customHeight="1" x14ac:dyDescent="0.3">
      <c r="D374" s="48" t="s">
        <v>1003</v>
      </c>
      <c r="E374" s="49" t="s">
        <v>1004</v>
      </c>
      <c r="F374" s="50" t="s">
        <v>163</v>
      </c>
      <c r="G374" s="51" t="s">
        <v>1002</v>
      </c>
      <c r="H374" s="53">
        <v>1024</v>
      </c>
      <c r="I374" s="38">
        <v>46184</v>
      </c>
      <c r="J374" s="35">
        <v>46187</v>
      </c>
      <c r="K374" s="36" t="s">
        <v>8</v>
      </c>
    </row>
    <row r="375" spans="4:11" ht="39.75" customHeight="1" x14ac:dyDescent="0.3">
      <c r="D375" s="48" t="s">
        <v>1005</v>
      </c>
      <c r="E375" s="49" t="s">
        <v>1006</v>
      </c>
      <c r="F375" s="50" t="s">
        <v>163</v>
      </c>
      <c r="G375" s="51" t="s">
        <v>778</v>
      </c>
      <c r="H375" s="53">
        <v>1027</v>
      </c>
      <c r="I375" s="38">
        <v>46184</v>
      </c>
      <c r="J375" s="35">
        <v>46190</v>
      </c>
      <c r="K375" s="36" t="s">
        <v>8</v>
      </c>
    </row>
    <row r="376" spans="4:11" ht="39.75" customHeight="1" x14ac:dyDescent="0.3">
      <c r="D376" s="48" t="s">
        <v>1007</v>
      </c>
      <c r="E376" s="49" t="s">
        <v>1008</v>
      </c>
      <c r="F376" s="50" t="s">
        <v>163</v>
      </c>
      <c r="G376" s="51" t="s">
        <v>1009</v>
      </c>
      <c r="H376" s="53">
        <v>1036</v>
      </c>
      <c r="I376" s="38">
        <v>46186</v>
      </c>
      <c r="J376" s="35">
        <v>46190</v>
      </c>
      <c r="K376" s="36" t="s">
        <v>8</v>
      </c>
    </row>
    <row r="377" spans="4:11" ht="39.75" customHeight="1" x14ac:dyDescent="0.3">
      <c r="D377" s="48" t="s">
        <v>1010</v>
      </c>
      <c r="E377" s="49" t="s">
        <v>1011</v>
      </c>
      <c r="F377" s="50" t="s">
        <v>163</v>
      </c>
      <c r="G377" s="51" t="s">
        <v>1009</v>
      </c>
      <c r="H377" s="53">
        <v>1036</v>
      </c>
      <c r="I377" s="38">
        <v>46187</v>
      </c>
      <c r="J377" s="35">
        <v>46198</v>
      </c>
      <c r="K377" s="36" t="s">
        <v>8</v>
      </c>
    </row>
    <row r="378" spans="4:11" ht="39.75" customHeight="1" x14ac:dyDescent="0.3">
      <c r="D378" s="48" t="s">
        <v>1012</v>
      </c>
      <c r="E378" s="49" t="s">
        <v>1013</v>
      </c>
      <c r="F378" s="50" t="s">
        <v>163</v>
      </c>
      <c r="G378" s="51" t="s">
        <v>648</v>
      </c>
      <c r="H378" s="53">
        <v>1044</v>
      </c>
      <c r="I378" s="38">
        <v>46187</v>
      </c>
      <c r="J378" s="35">
        <v>46189</v>
      </c>
      <c r="K378" s="36" t="s">
        <v>8</v>
      </c>
    </row>
    <row r="379" spans="4:11" ht="39.75" customHeight="1" x14ac:dyDescent="0.3">
      <c r="D379" s="48" t="s">
        <v>1014</v>
      </c>
      <c r="E379" s="49" t="s">
        <v>1015</v>
      </c>
      <c r="F379" s="50" t="s">
        <v>163</v>
      </c>
      <c r="G379" s="51" t="s">
        <v>975</v>
      </c>
      <c r="H379" s="53">
        <v>1029</v>
      </c>
      <c r="I379" s="38">
        <v>46187</v>
      </c>
      <c r="J379" s="35">
        <v>46197</v>
      </c>
      <c r="K379" s="36" t="s">
        <v>8</v>
      </c>
    </row>
    <row r="380" spans="4:11" ht="39.75" customHeight="1" x14ac:dyDescent="0.3">
      <c r="D380" s="48" t="s">
        <v>1016</v>
      </c>
      <c r="E380" s="49" t="s">
        <v>1017</v>
      </c>
      <c r="F380" s="50" t="s">
        <v>163</v>
      </c>
      <c r="G380" s="51" t="s">
        <v>1018</v>
      </c>
      <c r="H380" s="53">
        <v>1043</v>
      </c>
      <c r="I380" s="38">
        <v>46187</v>
      </c>
      <c r="J380" s="35">
        <v>46194</v>
      </c>
      <c r="K380" s="36" t="s">
        <v>8</v>
      </c>
    </row>
    <row r="381" spans="4:11" ht="39.75" customHeight="1" x14ac:dyDescent="0.3">
      <c r="D381" s="48" t="s">
        <v>1019</v>
      </c>
      <c r="E381" s="49" t="s">
        <v>1020</v>
      </c>
      <c r="F381" s="50" t="s">
        <v>163</v>
      </c>
      <c r="G381" s="51" t="s">
        <v>1021</v>
      </c>
      <c r="H381" s="53">
        <v>1041</v>
      </c>
      <c r="I381" s="38">
        <v>46188</v>
      </c>
      <c r="J381" s="35">
        <v>46191</v>
      </c>
      <c r="K381" s="36" t="s">
        <v>8</v>
      </c>
    </row>
    <row r="382" spans="4:11" ht="39.75" customHeight="1" x14ac:dyDescent="0.3">
      <c r="D382" s="48" t="s">
        <v>1022</v>
      </c>
      <c r="E382" s="49" t="s">
        <v>1023</v>
      </c>
      <c r="F382" s="50" t="s">
        <v>163</v>
      </c>
      <c r="G382" s="51" t="s">
        <v>1024</v>
      </c>
      <c r="H382" s="53">
        <v>1025</v>
      </c>
      <c r="I382" s="38">
        <v>46188</v>
      </c>
      <c r="J382" s="35">
        <v>46189</v>
      </c>
      <c r="K382" s="36" t="s">
        <v>8</v>
      </c>
    </row>
    <row r="383" spans="4:11" ht="39.75" customHeight="1" x14ac:dyDescent="0.3">
      <c r="D383" s="48" t="s">
        <v>1025</v>
      </c>
      <c r="E383" s="49" t="s">
        <v>1026</v>
      </c>
      <c r="F383" s="50" t="s">
        <v>163</v>
      </c>
      <c r="G383" s="51" t="s">
        <v>1027</v>
      </c>
      <c r="H383" s="53">
        <v>1022</v>
      </c>
      <c r="I383" s="38">
        <v>46188</v>
      </c>
      <c r="J383" s="35">
        <v>46190</v>
      </c>
      <c r="K383" s="36" t="s">
        <v>8</v>
      </c>
    </row>
    <row r="384" spans="4:11" ht="39.75" customHeight="1" x14ac:dyDescent="0.3">
      <c r="D384" s="48" t="s">
        <v>1028</v>
      </c>
      <c r="E384" s="49" t="s">
        <v>1029</v>
      </c>
      <c r="F384" s="50" t="s">
        <v>163</v>
      </c>
      <c r="G384" s="51" t="s">
        <v>1030</v>
      </c>
      <c r="H384" s="53">
        <v>1023</v>
      </c>
      <c r="I384" s="38">
        <v>46188</v>
      </c>
      <c r="J384" s="35">
        <v>46198</v>
      </c>
      <c r="K384" s="36" t="s">
        <v>8</v>
      </c>
    </row>
    <row r="385" spans="4:11" ht="39.75" customHeight="1" x14ac:dyDescent="0.3">
      <c r="D385" s="48" t="s">
        <v>1031</v>
      </c>
      <c r="E385" s="49" t="s">
        <v>1032</v>
      </c>
      <c r="F385" s="50" t="s">
        <v>163</v>
      </c>
      <c r="G385" s="51" t="s">
        <v>1033</v>
      </c>
      <c r="H385" s="53">
        <v>1024</v>
      </c>
      <c r="I385" s="38">
        <v>46188</v>
      </c>
      <c r="J385" s="35">
        <v>46189</v>
      </c>
      <c r="K385" s="36" t="s">
        <v>8</v>
      </c>
    </row>
    <row r="386" spans="4:11" ht="39.75" customHeight="1" x14ac:dyDescent="0.3">
      <c r="D386" s="48" t="s">
        <v>1034</v>
      </c>
      <c r="E386" s="49" t="s">
        <v>1035</v>
      </c>
      <c r="F386" s="50" t="s">
        <v>163</v>
      </c>
      <c r="G386" s="51" t="s">
        <v>972</v>
      </c>
      <c r="H386" s="53">
        <v>1022</v>
      </c>
      <c r="I386" s="38">
        <v>46188</v>
      </c>
      <c r="J386" s="35">
        <v>46197</v>
      </c>
      <c r="K386" s="36" t="s">
        <v>8</v>
      </c>
    </row>
    <row r="387" spans="4:11" ht="39.75" customHeight="1" x14ac:dyDescent="0.3">
      <c r="D387" s="48" t="s">
        <v>1036</v>
      </c>
      <c r="E387" s="49" t="s">
        <v>1037</v>
      </c>
      <c r="F387" s="50" t="s">
        <v>163</v>
      </c>
      <c r="G387" s="51" t="s">
        <v>887</v>
      </c>
      <c r="H387" s="53">
        <v>1029</v>
      </c>
      <c r="I387" s="38">
        <v>46188</v>
      </c>
      <c r="J387" s="35">
        <v>46190</v>
      </c>
      <c r="K387" s="36" t="s">
        <v>8</v>
      </c>
    </row>
    <row r="388" spans="4:11" ht="39.75" customHeight="1" x14ac:dyDescent="0.3">
      <c r="D388" s="48" t="s">
        <v>1038</v>
      </c>
      <c r="E388" s="49" t="s">
        <v>1039</v>
      </c>
      <c r="F388" s="50" t="s">
        <v>163</v>
      </c>
      <c r="G388" s="51" t="s">
        <v>1040</v>
      </c>
      <c r="H388" s="53">
        <v>1024</v>
      </c>
      <c r="I388" s="38">
        <v>46188</v>
      </c>
      <c r="J388" s="35">
        <v>46189</v>
      </c>
      <c r="K388" s="36" t="s">
        <v>8</v>
      </c>
    </row>
    <row r="389" spans="4:11" ht="39.75" customHeight="1" x14ac:dyDescent="0.3">
      <c r="D389" s="48" t="s">
        <v>1041</v>
      </c>
      <c r="E389" s="49" t="s">
        <v>1042</v>
      </c>
      <c r="F389" s="50" t="s">
        <v>163</v>
      </c>
      <c r="G389" s="51" t="s">
        <v>1043</v>
      </c>
      <c r="H389" s="53">
        <v>1024</v>
      </c>
      <c r="I389" s="38">
        <v>46188</v>
      </c>
      <c r="J389" s="35">
        <v>46194</v>
      </c>
      <c r="K389" s="36" t="s">
        <v>8</v>
      </c>
    </row>
    <row r="390" spans="4:11" ht="39.75" customHeight="1" x14ac:dyDescent="0.3">
      <c r="D390" s="48" t="s">
        <v>1044</v>
      </c>
      <c r="E390" s="49"/>
      <c r="F390" s="50" t="s">
        <v>163</v>
      </c>
      <c r="G390" s="51" t="s">
        <v>538</v>
      </c>
      <c r="H390" s="53">
        <v>1022</v>
      </c>
      <c r="I390" s="38">
        <v>46188</v>
      </c>
      <c r="J390" s="35">
        <v>46196</v>
      </c>
      <c r="K390" s="36" t="s">
        <v>8</v>
      </c>
    </row>
    <row r="391" spans="4:11" ht="39.75" customHeight="1" x14ac:dyDescent="0.3">
      <c r="D391" s="48" t="s">
        <v>1045</v>
      </c>
      <c r="E391" s="49" t="s">
        <v>1046</v>
      </c>
      <c r="F391" s="50" t="s">
        <v>163</v>
      </c>
      <c r="G391" s="51" t="s">
        <v>1047</v>
      </c>
      <c r="H391" s="53">
        <v>1029</v>
      </c>
      <c r="I391" s="38">
        <v>46188</v>
      </c>
      <c r="J391" s="35">
        <v>46190</v>
      </c>
      <c r="K391" s="36" t="s">
        <v>8</v>
      </c>
    </row>
    <row r="392" spans="4:11" ht="39.75" customHeight="1" x14ac:dyDescent="0.3">
      <c r="D392" s="48" t="s">
        <v>1048</v>
      </c>
      <c r="E392" s="49" t="s">
        <v>1049</v>
      </c>
      <c r="F392" s="50" t="s">
        <v>163</v>
      </c>
      <c r="G392" s="51" t="s">
        <v>1050</v>
      </c>
      <c r="H392" s="53">
        <v>1029</v>
      </c>
      <c r="I392" s="38">
        <v>46188</v>
      </c>
      <c r="J392" s="35">
        <v>46190</v>
      </c>
      <c r="K392" s="36" t="s">
        <v>8</v>
      </c>
    </row>
    <row r="393" spans="4:11" ht="39.75" customHeight="1" x14ac:dyDescent="0.3">
      <c r="D393" s="48" t="s">
        <v>1051</v>
      </c>
      <c r="E393" s="49" t="s">
        <v>1052</v>
      </c>
      <c r="F393" s="50" t="s">
        <v>163</v>
      </c>
      <c r="G393" s="51" t="s">
        <v>887</v>
      </c>
      <c r="H393" s="53">
        <v>1029</v>
      </c>
      <c r="I393" s="38">
        <v>46188</v>
      </c>
      <c r="J393" s="35">
        <v>46189</v>
      </c>
      <c r="K393" s="36" t="s">
        <v>8</v>
      </c>
    </row>
    <row r="394" spans="4:11" ht="39.75" customHeight="1" x14ac:dyDescent="0.3">
      <c r="D394" s="48" t="s">
        <v>1053</v>
      </c>
      <c r="E394" s="49" t="s">
        <v>1054</v>
      </c>
      <c r="F394" s="50" t="s">
        <v>163</v>
      </c>
      <c r="G394" s="51" t="s">
        <v>841</v>
      </c>
      <c r="H394" s="53">
        <v>1044</v>
      </c>
      <c r="I394" s="38">
        <v>46189</v>
      </c>
      <c r="J394" s="35">
        <v>46197</v>
      </c>
      <c r="K394" s="36" t="s">
        <v>8</v>
      </c>
    </row>
    <row r="395" spans="4:11" ht="39.75" customHeight="1" x14ac:dyDescent="0.3">
      <c r="D395" s="48" t="s">
        <v>1055</v>
      </c>
      <c r="E395" s="49" t="s">
        <v>1056</v>
      </c>
      <c r="F395" s="50" t="s">
        <v>163</v>
      </c>
      <c r="G395" s="51" t="s">
        <v>1057</v>
      </c>
      <c r="H395" s="53">
        <v>1029</v>
      </c>
      <c r="I395" s="38">
        <v>46189</v>
      </c>
      <c r="J395" s="35">
        <v>46191</v>
      </c>
      <c r="K395" s="36" t="s">
        <v>8</v>
      </c>
    </row>
    <row r="396" spans="4:11" ht="39.75" customHeight="1" x14ac:dyDescent="0.3">
      <c r="D396" s="48" t="s">
        <v>1058</v>
      </c>
      <c r="E396" s="49" t="s">
        <v>1059</v>
      </c>
      <c r="F396" s="50" t="s">
        <v>163</v>
      </c>
      <c r="G396" s="51" t="s">
        <v>1060</v>
      </c>
      <c r="H396" s="53">
        <v>1029</v>
      </c>
      <c r="I396" s="38">
        <v>46189</v>
      </c>
      <c r="J396" s="35">
        <v>46191</v>
      </c>
      <c r="K396" s="36" t="s">
        <v>8</v>
      </c>
    </row>
    <row r="397" spans="4:11" ht="39.75" customHeight="1" x14ac:dyDescent="0.3">
      <c r="D397" s="48" t="s">
        <v>1061</v>
      </c>
      <c r="E397" s="49" t="s">
        <v>1062</v>
      </c>
      <c r="F397" s="50" t="s">
        <v>163</v>
      </c>
      <c r="G397" s="51" t="s">
        <v>1063</v>
      </c>
      <c r="H397" s="53">
        <v>1036</v>
      </c>
      <c r="I397" s="38">
        <v>46189</v>
      </c>
      <c r="J397" s="35">
        <v>46191</v>
      </c>
      <c r="K397" s="36" t="s">
        <v>8</v>
      </c>
    </row>
    <row r="398" spans="4:11" ht="39.75" customHeight="1" x14ac:dyDescent="0.3">
      <c r="D398" s="48" t="s">
        <v>1064</v>
      </c>
      <c r="E398" s="49"/>
      <c r="F398" s="50" t="s">
        <v>163</v>
      </c>
      <c r="G398" s="51" t="s">
        <v>841</v>
      </c>
      <c r="H398" s="53">
        <v>1044</v>
      </c>
      <c r="I398" s="38">
        <v>46189</v>
      </c>
      <c r="J398" s="35">
        <v>46197</v>
      </c>
      <c r="K398" s="36" t="s">
        <v>8</v>
      </c>
    </row>
    <row r="399" spans="4:11" ht="39.75" customHeight="1" x14ac:dyDescent="0.3">
      <c r="D399" s="48" t="s">
        <v>1065</v>
      </c>
      <c r="E399" s="49" t="s">
        <v>1066</v>
      </c>
      <c r="F399" s="50" t="s">
        <v>163</v>
      </c>
      <c r="G399" s="51" t="s">
        <v>1067</v>
      </c>
      <c r="H399" s="53">
        <v>1026</v>
      </c>
      <c r="I399" s="38">
        <v>46189</v>
      </c>
      <c r="J399" s="35">
        <v>46190</v>
      </c>
      <c r="K399" s="36" t="s">
        <v>8</v>
      </c>
    </row>
    <row r="400" spans="4:11" ht="39.75" customHeight="1" x14ac:dyDescent="0.3">
      <c r="D400" s="48" t="s">
        <v>1068</v>
      </c>
      <c r="E400" s="49" t="s">
        <v>1069</v>
      </c>
      <c r="F400" s="50" t="s">
        <v>163</v>
      </c>
      <c r="G400" s="51" t="s">
        <v>1067</v>
      </c>
      <c r="H400" s="53">
        <v>1026</v>
      </c>
      <c r="I400" s="38">
        <v>46189</v>
      </c>
      <c r="J400" s="35">
        <v>46191</v>
      </c>
      <c r="K400" s="36" t="s">
        <v>8</v>
      </c>
    </row>
    <row r="401" spans="4:11" ht="39.75" customHeight="1" x14ac:dyDescent="0.3">
      <c r="D401" s="48" t="s">
        <v>1070</v>
      </c>
      <c r="E401" s="49" t="s">
        <v>1071</v>
      </c>
      <c r="F401" s="50" t="s">
        <v>163</v>
      </c>
      <c r="G401" s="51" t="s">
        <v>1072</v>
      </c>
      <c r="H401" s="53">
        <v>1036</v>
      </c>
      <c r="I401" s="38">
        <v>46189</v>
      </c>
      <c r="J401" s="35">
        <v>46191</v>
      </c>
      <c r="K401" s="36" t="s">
        <v>8</v>
      </c>
    </row>
    <row r="402" spans="4:11" ht="39.75" customHeight="1" x14ac:dyDescent="0.3">
      <c r="D402" s="48" t="s">
        <v>1073</v>
      </c>
      <c r="E402" s="49" t="s">
        <v>1074</v>
      </c>
      <c r="F402" s="50" t="s">
        <v>163</v>
      </c>
      <c r="G402" s="51" t="s">
        <v>1075</v>
      </c>
      <c r="H402" s="53">
        <v>1022</v>
      </c>
      <c r="I402" s="38">
        <v>46189</v>
      </c>
      <c r="J402" s="35">
        <v>46199</v>
      </c>
      <c r="K402" s="36" t="s">
        <v>8</v>
      </c>
    </row>
    <row r="403" spans="4:11" ht="39.75" customHeight="1" x14ac:dyDescent="0.3">
      <c r="D403" s="48" t="s">
        <v>1076</v>
      </c>
      <c r="E403" s="49" t="s">
        <v>1077</v>
      </c>
      <c r="F403" s="50" t="s">
        <v>163</v>
      </c>
      <c r="G403" s="51" t="s">
        <v>538</v>
      </c>
      <c r="H403" s="53">
        <v>1022</v>
      </c>
      <c r="I403" s="38">
        <v>46189</v>
      </c>
      <c r="J403" s="35">
        <v>46198</v>
      </c>
      <c r="K403" s="36" t="s">
        <v>8</v>
      </c>
    </row>
    <row r="404" spans="4:11" ht="39.75" customHeight="1" x14ac:dyDescent="0.3">
      <c r="D404" s="48" t="s">
        <v>1078</v>
      </c>
      <c r="E404" s="49" t="s">
        <v>1079</v>
      </c>
      <c r="F404" s="50" t="s">
        <v>163</v>
      </c>
      <c r="G404" s="51" t="s">
        <v>1080</v>
      </c>
      <c r="H404" s="53">
        <v>1022</v>
      </c>
      <c r="I404" s="38">
        <v>46189</v>
      </c>
      <c r="J404" s="35">
        <v>46198</v>
      </c>
      <c r="K404" s="36" t="s">
        <v>8</v>
      </c>
    </row>
    <row r="405" spans="4:11" ht="39.75" customHeight="1" x14ac:dyDescent="0.3">
      <c r="D405" s="48" t="s">
        <v>1081</v>
      </c>
      <c r="E405" s="49" t="s">
        <v>1082</v>
      </c>
      <c r="F405" s="50" t="s">
        <v>163</v>
      </c>
      <c r="G405" s="51" t="s">
        <v>1083</v>
      </c>
      <c r="H405" s="53">
        <v>1029</v>
      </c>
      <c r="I405" s="38">
        <v>46189</v>
      </c>
      <c r="J405" s="35">
        <v>46198</v>
      </c>
      <c r="K405" s="36" t="s">
        <v>8</v>
      </c>
    </row>
    <row r="406" spans="4:11" ht="39.75" customHeight="1" x14ac:dyDescent="0.3">
      <c r="D406" s="48" t="s">
        <v>1084</v>
      </c>
      <c r="E406" s="49" t="s">
        <v>1085</v>
      </c>
      <c r="F406" s="50" t="s">
        <v>163</v>
      </c>
      <c r="G406" s="51" t="s">
        <v>900</v>
      </c>
      <c r="H406" s="53">
        <v>1029</v>
      </c>
      <c r="I406" s="38">
        <v>46189</v>
      </c>
      <c r="J406" s="35">
        <v>46198</v>
      </c>
      <c r="K406" s="36" t="s">
        <v>8</v>
      </c>
    </row>
    <row r="407" spans="4:11" ht="39.75" customHeight="1" x14ac:dyDescent="0.3">
      <c r="D407" s="48" t="s">
        <v>1086</v>
      </c>
      <c r="E407" s="49" t="s">
        <v>1087</v>
      </c>
      <c r="F407" s="50" t="s">
        <v>163</v>
      </c>
      <c r="G407" s="51" t="s">
        <v>903</v>
      </c>
      <c r="H407" s="53">
        <v>1029</v>
      </c>
      <c r="I407" s="38">
        <v>46190</v>
      </c>
      <c r="J407" s="35">
        <v>46198</v>
      </c>
      <c r="K407" s="36" t="s">
        <v>8</v>
      </c>
    </row>
    <row r="408" spans="4:11" ht="39.75" customHeight="1" x14ac:dyDescent="0.3">
      <c r="D408" s="48" t="s">
        <v>1088</v>
      </c>
      <c r="E408" s="49" t="s">
        <v>1089</v>
      </c>
      <c r="F408" s="50" t="s">
        <v>163</v>
      </c>
      <c r="G408" s="51" t="s">
        <v>1090</v>
      </c>
      <c r="H408" s="53">
        <v>1029</v>
      </c>
      <c r="I408" s="38">
        <v>46190</v>
      </c>
      <c r="J408" s="35">
        <v>46198</v>
      </c>
      <c r="K408" s="36" t="s">
        <v>8</v>
      </c>
    </row>
    <row r="409" spans="4:11" ht="39.75" customHeight="1" x14ac:dyDescent="0.3">
      <c r="D409" s="48" t="s">
        <v>1091</v>
      </c>
      <c r="E409" s="49" t="s">
        <v>1092</v>
      </c>
      <c r="F409" s="50" t="s">
        <v>163</v>
      </c>
      <c r="G409" s="51" t="s">
        <v>1093</v>
      </c>
      <c r="H409" s="53">
        <v>1029</v>
      </c>
      <c r="I409" s="38">
        <v>46190</v>
      </c>
      <c r="J409" s="35">
        <v>46199</v>
      </c>
      <c r="K409" s="36" t="s">
        <v>8</v>
      </c>
    </row>
    <row r="410" spans="4:11" ht="39.75" customHeight="1" x14ac:dyDescent="0.3">
      <c r="D410" s="48" t="s">
        <v>1094</v>
      </c>
      <c r="E410" s="49" t="s">
        <v>1095</v>
      </c>
      <c r="F410" s="50" t="s">
        <v>163</v>
      </c>
      <c r="G410" s="51" t="s">
        <v>1021</v>
      </c>
      <c r="H410" s="53">
        <v>1041</v>
      </c>
      <c r="I410" s="38">
        <v>46190</v>
      </c>
      <c r="J410" s="35">
        <v>46196</v>
      </c>
      <c r="K410" s="36" t="s">
        <v>8</v>
      </c>
    </row>
    <row r="411" spans="4:11" ht="39.75" customHeight="1" x14ac:dyDescent="0.3">
      <c r="D411" s="48" t="s">
        <v>1096</v>
      </c>
      <c r="E411" s="49"/>
      <c r="F411" s="50" t="s">
        <v>163</v>
      </c>
      <c r="G411" s="51" t="s">
        <v>538</v>
      </c>
      <c r="H411" s="53">
        <v>1022</v>
      </c>
      <c r="I411" s="38">
        <v>46190</v>
      </c>
      <c r="J411" s="35">
        <v>46198</v>
      </c>
      <c r="K411" s="36" t="s">
        <v>8</v>
      </c>
    </row>
    <row r="412" spans="4:11" ht="39.75" customHeight="1" x14ac:dyDescent="0.3">
      <c r="D412" s="48" t="s">
        <v>1097</v>
      </c>
      <c r="E412" s="49" t="s">
        <v>1098</v>
      </c>
      <c r="F412" s="50" t="s">
        <v>163</v>
      </c>
      <c r="G412" s="51" t="s">
        <v>1099</v>
      </c>
      <c r="H412" s="53">
        <v>1047</v>
      </c>
      <c r="I412" s="38">
        <v>46190</v>
      </c>
      <c r="J412" s="35">
        <v>46194</v>
      </c>
      <c r="K412" s="36" t="s">
        <v>8</v>
      </c>
    </row>
    <row r="413" spans="4:11" ht="39.75" customHeight="1" x14ac:dyDescent="0.3">
      <c r="D413" s="48" t="s">
        <v>1100</v>
      </c>
      <c r="E413" s="49" t="s">
        <v>1101</v>
      </c>
      <c r="F413" s="50" t="s">
        <v>163</v>
      </c>
      <c r="G413" s="51" t="s">
        <v>1102</v>
      </c>
      <c r="H413" s="53">
        <v>1047</v>
      </c>
      <c r="I413" s="38">
        <v>46190</v>
      </c>
      <c r="J413" s="35">
        <v>46194</v>
      </c>
      <c r="K413" s="36" t="s">
        <v>8</v>
      </c>
    </row>
    <row r="414" spans="4:11" ht="39.75" customHeight="1" x14ac:dyDescent="0.3">
      <c r="D414" s="48" t="s">
        <v>1103</v>
      </c>
      <c r="E414" s="49" t="s">
        <v>1104</v>
      </c>
      <c r="F414" s="50" t="s">
        <v>163</v>
      </c>
      <c r="G414" s="51" t="s">
        <v>1105</v>
      </c>
      <c r="H414" s="53">
        <v>1022</v>
      </c>
      <c r="I414" s="38">
        <v>46190</v>
      </c>
      <c r="J414" s="35">
        <v>46197</v>
      </c>
      <c r="K414" s="36" t="s">
        <v>8</v>
      </c>
    </row>
    <row r="415" spans="4:11" ht="39.75" customHeight="1" x14ac:dyDescent="0.3">
      <c r="D415" s="48" t="s">
        <v>1106</v>
      </c>
      <c r="E415" s="49" t="s">
        <v>1107</v>
      </c>
      <c r="F415" s="50" t="s">
        <v>163</v>
      </c>
      <c r="G415" s="51" t="s">
        <v>1108</v>
      </c>
      <c r="H415" s="53">
        <v>1023</v>
      </c>
      <c r="I415" s="38">
        <v>46190</v>
      </c>
      <c r="J415" s="35">
        <v>46203</v>
      </c>
      <c r="K415" s="36" t="s">
        <v>8</v>
      </c>
    </row>
    <row r="416" spans="4:11" ht="39.75" customHeight="1" x14ac:dyDescent="0.3">
      <c r="D416" s="48" t="s">
        <v>1109</v>
      </c>
      <c r="E416" s="49" t="s">
        <v>1110</v>
      </c>
      <c r="F416" s="50" t="s">
        <v>163</v>
      </c>
      <c r="G416" s="51" t="s">
        <v>887</v>
      </c>
      <c r="H416" s="53">
        <v>1029</v>
      </c>
      <c r="I416" s="38">
        <v>46190</v>
      </c>
      <c r="J416" s="35">
        <v>46198</v>
      </c>
      <c r="K416" s="36" t="s">
        <v>8</v>
      </c>
    </row>
    <row r="417" spans="4:11" ht="39.75" customHeight="1" x14ac:dyDescent="0.3">
      <c r="D417" s="48" t="s">
        <v>1111</v>
      </c>
      <c r="E417" s="49" t="s">
        <v>1112</v>
      </c>
      <c r="F417" s="50" t="s">
        <v>163</v>
      </c>
      <c r="G417" s="51" t="s">
        <v>1113</v>
      </c>
      <c r="H417" s="53">
        <v>1036</v>
      </c>
      <c r="I417" s="38">
        <v>46190</v>
      </c>
      <c r="J417" s="35">
        <v>46191</v>
      </c>
      <c r="K417" s="36" t="s">
        <v>8</v>
      </c>
    </row>
    <row r="418" spans="4:11" ht="39.75" customHeight="1" x14ac:dyDescent="0.3">
      <c r="D418" s="48" t="s">
        <v>1114</v>
      </c>
      <c r="E418" s="49" t="s">
        <v>1115</v>
      </c>
      <c r="F418" s="50" t="s">
        <v>163</v>
      </c>
      <c r="G418" s="51" t="s">
        <v>1116</v>
      </c>
      <c r="H418" s="53">
        <v>1036</v>
      </c>
      <c r="I418" s="38">
        <v>46190</v>
      </c>
      <c r="J418" s="35">
        <v>46191</v>
      </c>
      <c r="K418" s="36" t="s">
        <v>8</v>
      </c>
    </row>
    <row r="419" spans="4:11" ht="39.75" customHeight="1" x14ac:dyDescent="0.3">
      <c r="D419" s="48" t="s">
        <v>1117</v>
      </c>
      <c r="E419" s="49" t="s">
        <v>1118</v>
      </c>
      <c r="F419" s="50" t="s">
        <v>163</v>
      </c>
      <c r="G419" s="51" t="s">
        <v>538</v>
      </c>
      <c r="H419" s="53">
        <v>1022</v>
      </c>
      <c r="I419" s="38">
        <v>46190</v>
      </c>
      <c r="J419" s="35">
        <v>46218</v>
      </c>
      <c r="K419" s="36" t="s">
        <v>8</v>
      </c>
    </row>
    <row r="420" spans="4:11" ht="39.75" customHeight="1" x14ac:dyDescent="0.3">
      <c r="D420" s="48" t="s">
        <v>1119</v>
      </c>
      <c r="E420" s="49" t="s">
        <v>1120</v>
      </c>
      <c r="F420" s="50" t="s">
        <v>163</v>
      </c>
      <c r="G420" s="51" t="s">
        <v>1121</v>
      </c>
      <c r="H420" s="53">
        <v>1044</v>
      </c>
      <c r="I420" s="38">
        <v>46190</v>
      </c>
      <c r="J420" s="35">
        <v>46198</v>
      </c>
      <c r="K420" s="36" t="s">
        <v>8</v>
      </c>
    </row>
    <row r="421" spans="4:11" ht="39.75" customHeight="1" x14ac:dyDescent="0.3">
      <c r="D421" s="48" t="s">
        <v>1122</v>
      </c>
      <c r="E421" s="49" t="s">
        <v>1123</v>
      </c>
      <c r="F421" s="50" t="s">
        <v>163</v>
      </c>
      <c r="G421" s="51" t="s">
        <v>1124</v>
      </c>
      <c r="H421" s="53">
        <v>1028</v>
      </c>
      <c r="I421" s="38">
        <v>46191</v>
      </c>
      <c r="J421" s="35">
        <v>46194</v>
      </c>
      <c r="K421" s="36" t="s">
        <v>8</v>
      </c>
    </row>
    <row r="422" spans="4:11" ht="39.75" customHeight="1" x14ac:dyDescent="0.3">
      <c r="D422" s="48" t="s">
        <v>1125</v>
      </c>
      <c r="E422" s="49" t="s">
        <v>1126</v>
      </c>
      <c r="F422" s="50" t="s">
        <v>163</v>
      </c>
      <c r="G422" s="51" t="s">
        <v>1127</v>
      </c>
      <c r="H422" s="53">
        <v>1029</v>
      </c>
      <c r="I422" s="38">
        <v>46193</v>
      </c>
      <c r="J422" s="35">
        <v>46197</v>
      </c>
      <c r="K422" s="36" t="s">
        <v>8</v>
      </c>
    </row>
    <row r="423" spans="4:11" ht="39.75" customHeight="1" x14ac:dyDescent="0.3">
      <c r="D423" s="48" t="s">
        <v>1128</v>
      </c>
      <c r="E423" s="49" t="s">
        <v>1129</v>
      </c>
      <c r="F423" s="50" t="s">
        <v>163</v>
      </c>
      <c r="G423" s="51" t="s">
        <v>1130</v>
      </c>
      <c r="H423" s="53">
        <v>1024</v>
      </c>
      <c r="I423" s="38">
        <v>46194</v>
      </c>
      <c r="J423" s="35">
        <v>46197</v>
      </c>
      <c r="K423" s="36" t="s">
        <v>8</v>
      </c>
    </row>
    <row r="424" spans="4:11" ht="39.75" customHeight="1" x14ac:dyDescent="0.3">
      <c r="D424" s="48" t="s">
        <v>1131</v>
      </c>
      <c r="E424" s="49" t="s">
        <v>1132</v>
      </c>
      <c r="F424" s="50" t="s">
        <v>163</v>
      </c>
      <c r="G424" s="51" t="s">
        <v>1133</v>
      </c>
      <c r="H424" s="53">
        <v>1024</v>
      </c>
      <c r="I424" s="38">
        <v>46194</v>
      </c>
      <c r="J424" s="35">
        <v>46198</v>
      </c>
      <c r="K424" s="36" t="s">
        <v>8</v>
      </c>
    </row>
    <row r="425" spans="4:11" ht="39.75" customHeight="1" x14ac:dyDescent="0.3">
      <c r="D425" s="48" t="s">
        <v>1134</v>
      </c>
      <c r="E425" s="49" t="s">
        <v>1135</v>
      </c>
      <c r="F425" s="50" t="s">
        <v>163</v>
      </c>
      <c r="G425" s="51" t="s">
        <v>1136</v>
      </c>
      <c r="H425" s="53">
        <v>1029</v>
      </c>
      <c r="I425" s="38">
        <v>46194</v>
      </c>
      <c r="J425" s="35">
        <v>46198</v>
      </c>
      <c r="K425" s="36" t="s">
        <v>8</v>
      </c>
    </row>
    <row r="426" spans="4:11" ht="39.75" customHeight="1" x14ac:dyDescent="0.3">
      <c r="D426" s="48" t="s">
        <v>1137</v>
      </c>
      <c r="E426" s="49" t="s">
        <v>1138</v>
      </c>
      <c r="F426" s="50" t="s">
        <v>163</v>
      </c>
      <c r="G426" s="51" t="s">
        <v>841</v>
      </c>
      <c r="H426" s="53">
        <v>1044</v>
      </c>
      <c r="I426" s="38">
        <v>46194</v>
      </c>
      <c r="J426" s="35">
        <v>46197</v>
      </c>
      <c r="K426" s="36" t="s">
        <v>8</v>
      </c>
    </row>
    <row r="427" spans="4:11" ht="39.75" customHeight="1" x14ac:dyDescent="0.3">
      <c r="D427" s="48" t="s">
        <v>1139</v>
      </c>
      <c r="E427" s="49" t="s">
        <v>1140</v>
      </c>
      <c r="F427" s="50" t="s">
        <v>163</v>
      </c>
      <c r="G427" s="51" t="s">
        <v>1141</v>
      </c>
      <c r="H427" s="53">
        <v>1043</v>
      </c>
      <c r="I427" s="38">
        <v>46194</v>
      </c>
      <c r="J427" s="35">
        <v>46196</v>
      </c>
      <c r="K427" s="36" t="s">
        <v>8</v>
      </c>
    </row>
    <row r="428" spans="4:11" ht="39.75" customHeight="1" x14ac:dyDescent="0.3">
      <c r="D428" s="48" t="s">
        <v>1142</v>
      </c>
      <c r="E428" s="49" t="s">
        <v>1143</v>
      </c>
      <c r="F428" s="50" t="s">
        <v>163</v>
      </c>
      <c r="G428" s="51" t="s">
        <v>1144</v>
      </c>
      <c r="H428" s="53">
        <v>1029</v>
      </c>
      <c r="I428" s="38">
        <v>46194</v>
      </c>
      <c r="J428" s="35">
        <v>46197</v>
      </c>
      <c r="K428" s="36" t="s">
        <v>8</v>
      </c>
    </row>
    <row r="429" spans="4:11" ht="39.75" customHeight="1" x14ac:dyDescent="0.3">
      <c r="D429" s="48" t="s">
        <v>1145</v>
      </c>
      <c r="E429" s="49" t="s">
        <v>1146</v>
      </c>
      <c r="F429" s="50" t="s">
        <v>163</v>
      </c>
      <c r="G429" s="51" t="s">
        <v>1147</v>
      </c>
      <c r="H429" s="53">
        <v>1044</v>
      </c>
      <c r="I429" s="38">
        <v>46194</v>
      </c>
      <c r="J429" s="35">
        <v>46198</v>
      </c>
      <c r="K429" s="36" t="s">
        <v>8</v>
      </c>
    </row>
    <row r="430" spans="4:11" ht="39.75" customHeight="1" x14ac:dyDescent="0.3">
      <c r="D430" s="48" t="s">
        <v>1148</v>
      </c>
      <c r="E430" s="49" t="s">
        <v>1149</v>
      </c>
      <c r="F430" s="50" t="s">
        <v>163</v>
      </c>
      <c r="G430" s="51" t="s">
        <v>1150</v>
      </c>
      <c r="H430" s="53">
        <v>1026</v>
      </c>
      <c r="I430" s="38">
        <v>46195</v>
      </c>
      <c r="J430" s="35">
        <v>46198</v>
      </c>
      <c r="K430" s="36" t="s">
        <v>8</v>
      </c>
    </row>
    <row r="431" spans="4:11" ht="39.75" customHeight="1" x14ac:dyDescent="0.3">
      <c r="D431" s="48" t="s">
        <v>1151</v>
      </c>
      <c r="E431" s="49" t="s">
        <v>1152</v>
      </c>
      <c r="F431" s="50" t="s">
        <v>163</v>
      </c>
      <c r="G431" s="51" t="s">
        <v>1153</v>
      </c>
      <c r="H431" s="53">
        <v>1027</v>
      </c>
      <c r="I431" s="38">
        <v>46195</v>
      </c>
      <c r="J431" s="35">
        <v>46198</v>
      </c>
      <c r="K431" s="36" t="s">
        <v>8</v>
      </c>
    </row>
    <row r="432" spans="4:11" ht="39.75" customHeight="1" x14ac:dyDescent="0.3">
      <c r="D432" s="48" t="s">
        <v>1154</v>
      </c>
      <c r="E432" s="49" t="s">
        <v>1155</v>
      </c>
      <c r="F432" s="50" t="s">
        <v>163</v>
      </c>
      <c r="G432" s="51" t="s">
        <v>1156</v>
      </c>
      <c r="H432" s="53">
        <v>1036</v>
      </c>
      <c r="I432" s="38">
        <v>46195</v>
      </c>
      <c r="J432" s="35">
        <v>46196</v>
      </c>
      <c r="K432" s="36" t="s">
        <v>8</v>
      </c>
    </row>
    <row r="433" spans="4:11" ht="39.75" customHeight="1" x14ac:dyDescent="0.3">
      <c r="D433" s="48" t="s">
        <v>1157</v>
      </c>
      <c r="E433" s="49" t="s">
        <v>1158</v>
      </c>
      <c r="F433" s="50" t="s">
        <v>163</v>
      </c>
      <c r="G433" s="51" t="s">
        <v>1159</v>
      </c>
      <c r="H433" s="53">
        <v>1029</v>
      </c>
      <c r="I433" s="38">
        <v>46195</v>
      </c>
      <c r="J433" s="35">
        <v>46198</v>
      </c>
      <c r="K433" s="36" t="s">
        <v>8</v>
      </c>
    </row>
    <row r="434" spans="4:11" ht="39.75" customHeight="1" x14ac:dyDescent="0.3">
      <c r="D434" s="48" t="s">
        <v>1160</v>
      </c>
      <c r="E434" s="49" t="s">
        <v>1161</v>
      </c>
      <c r="F434" s="50" t="s">
        <v>163</v>
      </c>
      <c r="G434" s="51" t="s">
        <v>1162</v>
      </c>
      <c r="H434" s="53">
        <v>1036</v>
      </c>
      <c r="I434" s="38">
        <v>46195</v>
      </c>
      <c r="J434" s="35">
        <v>46197</v>
      </c>
      <c r="K434" s="36" t="s">
        <v>8</v>
      </c>
    </row>
    <row r="435" spans="4:11" ht="39.75" customHeight="1" x14ac:dyDescent="0.3">
      <c r="D435" s="48" t="s">
        <v>1163</v>
      </c>
      <c r="E435" s="49" t="s">
        <v>1164</v>
      </c>
      <c r="F435" s="50" t="s">
        <v>163</v>
      </c>
      <c r="G435" s="51" t="s">
        <v>1144</v>
      </c>
      <c r="H435" s="53">
        <v>1029</v>
      </c>
      <c r="I435" s="38">
        <v>46195</v>
      </c>
      <c r="J435" s="35">
        <v>46203</v>
      </c>
      <c r="K435" s="36" t="s">
        <v>8</v>
      </c>
    </row>
    <row r="436" spans="4:11" ht="39.75" customHeight="1" x14ac:dyDescent="0.3">
      <c r="D436" s="48" t="s">
        <v>1165</v>
      </c>
      <c r="E436" s="49" t="s">
        <v>1166</v>
      </c>
      <c r="F436" s="50" t="s">
        <v>163</v>
      </c>
      <c r="G436" s="51" t="s">
        <v>1144</v>
      </c>
      <c r="H436" s="53">
        <v>1029</v>
      </c>
      <c r="I436" s="38">
        <v>46195</v>
      </c>
      <c r="J436" s="35">
        <v>46199</v>
      </c>
      <c r="K436" s="36" t="s">
        <v>8</v>
      </c>
    </row>
    <row r="437" spans="4:11" ht="39.75" customHeight="1" x14ac:dyDescent="0.3">
      <c r="D437" s="48" t="s">
        <v>1167</v>
      </c>
      <c r="E437" s="49" t="s">
        <v>1168</v>
      </c>
      <c r="F437" s="50" t="s">
        <v>163</v>
      </c>
      <c r="G437" s="51" t="s">
        <v>912</v>
      </c>
      <c r="H437" s="53">
        <v>1021</v>
      </c>
      <c r="I437" s="38">
        <v>46196</v>
      </c>
      <c r="J437" s="35">
        <v>46204</v>
      </c>
      <c r="K437" s="36" t="s">
        <v>8</v>
      </c>
    </row>
    <row r="438" spans="4:11" ht="39.75" customHeight="1" x14ac:dyDescent="0.3">
      <c r="D438" s="48" t="s">
        <v>1169</v>
      </c>
      <c r="E438" s="49"/>
      <c r="F438" s="50" t="s">
        <v>163</v>
      </c>
      <c r="G438" s="51" t="s">
        <v>1170</v>
      </c>
      <c r="H438" s="53">
        <v>1044</v>
      </c>
      <c r="I438" s="38">
        <v>46196</v>
      </c>
      <c r="J438" s="35">
        <v>46198</v>
      </c>
      <c r="K438" s="36" t="s">
        <v>8</v>
      </c>
    </row>
    <row r="439" spans="4:11" ht="39.75" customHeight="1" x14ac:dyDescent="0.3">
      <c r="D439" s="48" t="s">
        <v>1171</v>
      </c>
      <c r="E439" s="49" t="s">
        <v>1172</v>
      </c>
      <c r="F439" s="50" t="s">
        <v>163</v>
      </c>
      <c r="G439" s="51" t="s">
        <v>1173</v>
      </c>
      <c r="H439" s="53">
        <v>1029</v>
      </c>
      <c r="I439" s="38">
        <v>46196</v>
      </c>
      <c r="J439" s="35">
        <v>46203</v>
      </c>
      <c r="K439" s="36" t="s">
        <v>8</v>
      </c>
    </row>
    <row r="440" spans="4:11" ht="39.75" customHeight="1" x14ac:dyDescent="0.3">
      <c r="D440" s="48" t="s">
        <v>1174</v>
      </c>
      <c r="E440" s="49" t="s">
        <v>1175</v>
      </c>
      <c r="F440" s="50" t="s">
        <v>163</v>
      </c>
      <c r="G440" s="51" t="s">
        <v>1176</v>
      </c>
      <c r="H440" s="53">
        <v>1022</v>
      </c>
      <c r="I440" s="38">
        <v>46196</v>
      </c>
      <c r="J440" s="35">
        <v>46217</v>
      </c>
      <c r="K440" s="36" t="s">
        <v>8</v>
      </c>
    </row>
    <row r="441" spans="4:11" ht="39.75" customHeight="1" x14ac:dyDescent="0.3">
      <c r="D441" s="48" t="s">
        <v>1177</v>
      </c>
      <c r="E441" s="49" t="s">
        <v>1178</v>
      </c>
      <c r="F441" s="50" t="s">
        <v>163</v>
      </c>
      <c r="G441" s="51" t="s">
        <v>1179</v>
      </c>
      <c r="H441" s="53">
        <v>1029</v>
      </c>
      <c r="I441" s="38">
        <v>46197</v>
      </c>
      <c r="J441" s="35">
        <v>46197</v>
      </c>
      <c r="K441" s="36" t="s">
        <v>8</v>
      </c>
    </row>
    <row r="442" spans="4:11" ht="39.75" customHeight="1" x14ac:dyDescent="0.3">
      <c r="D442" s="48" t="s">
        <v>1180</v>
      </c>
      <c r="E442" s="49" t="s">
        <v>1181</v>
      </c>
      <c r="F442" s="50" t="s">
        <v>163</v>
      </c>
      <c r="G442" s="51" t="s">
        <v>1093</v>
      </c>
      <c r="H442" s="53">
        <v>1029</v>
      </c>
      <c r="I442" s="38">
        <v>46197</v>
      </c>
      <c r="J442" s="35">
        <v>46201</v>
      </c>
      <c r="K442" s="36" t="s">
        <v>8</v>
      </c>
    </row>
    <row r="443" spans="4:11" ht="39.75" customHeight="1" x14ac:dyDescent="0.3">
      <c r="D443" s="48" t="s">
        <v>1182</v>
      </c>
      <c r="E443" s="49" t="s">
        <v>1183</v>
      </c>
      <c r="F443" s="50" t="s">
        <v>163</v>
      </c>
      <c r="G443" s="51" t="s">
        <v>1184</v>
      </c>
      <c r="H443" s="53">
        <v>1027</v>
      </c>
      <c r="I443" s="38">
        <v>46197</v>
      </c>
      <c r="J443" s="35">
        <v>46201</v>
      </c>
      <c r="K443" s="36" t="s">
        <v>8</v>
      </c>
    </row>
    <row r="444" spans="4:11" ht="39.75" customHeight="1" x14ac:dyDescent="0.3">
      <c r="D444" s="48" t="s">
        <v>1185</v>
      </c>
      <c r="E444" s="49" t="s">
        <v>1186</v>
      </c>
      <c r="F444" s="50" t="s">
        <v>163</v>
      </c>
      <c r="G444" s="51" t="s">
        <v>1021</v>
      </c>
      <c r="H444" s="53">
        <v>1041</v>
      </c>
      <c r="I444" s="38">
        <v>46197</v>
      </c>
      <c r="J444" s="35">
        <v>46202</v>
      </c>
      <c r="K444" s="36" t="s">
        <v>8</v>
      </c>
    </row>
    <row r="445" spans="4:11" ht="39.75" customHeight="1" x14ac:dyDescent="0.3">
      <c r="D445" s="48" t="s">
        <v>1187</v>
      </c>
      <c r="E445" s="49" t="s">
        <v>1188</v>
      </c>
      <c r="F445" s="50" t="s">
        <v>163</v>
      </c>
      <c r="G445" s="51" t="s">
        <v>1189</v>
      </c>
      <c r="H445" s="53">
        <v>1029</v>
      </c>
      <c r="I445" s="38">
        <v>46197</v>
      </c>
      <c r="J445" s="35">
        <v>46211</v>
      </c>
      <c r="K445" s="36" t="s">
        <v>8</v>
      </c>
    </row>
    <row r="446" spans="4:11" ht="39.75" customHeight="1" x14ac:dyDescent="0.3">
      <c r="D446" s="48" t="s">
        <v>1190</v>
      </c>
      <c r="E446" s="49" t="s">
        <v>1191</v>
      </c>
      <c r="F446" s="50" t="s">
        <v>163</v>
      </c>
      <c r="G446" s="51" t="s">
        <v>1192</v>
      </c>
      <c r="H446" s="53">
        <v>1036</v>
      </c>
      <c r="I446" s="38">
        <v>46197</v>
      </c>
      <c r="J446" s="35">
        <v>46198</v>
      </c>
      <c r="K446" s="36" t="s">
        <v>8</v>
      </c>
    </row>
    <row r="447" spans="4:11" ht="39.75" customHeight="1" x14ac:dyDescent="0.3">
      <c r="D447" s="48" t="s">
        <v>1193</v>
      </c>
      <c r="E447" s="49" t="s">
        <v>1194</v>
      </c>
      <c r="F447" s="50" t="s">
        <v>163</v>
      </c>
      <c r="G447" s="51" t="s">
        <v>1195</v>
      </c>
      <c r="H447" s="53">
        <v>1024</v>
      </c>
      <c r="I447" s="38">
        <v>46198</v>
      </c>
      <c r="J447" s="35">
        <v>46201</v>
      </c>
      <c r="K447" s="36" t="s">
        <v>8</v>
      </c>
    </row>
    <row r="448" spans="4:11" ht="39.75" customHeight="1" x14ac:dyDescent="0.3">
      <c r="D448" s="48" t="s">
        <v>1196</v>
      </c>
      <c r="E448" s="49" t="s">
        <v>1197</v>
      </c>
      <c r="F448" s="50" t="s">
        <v>163</v>
      </c>
      <c r="G448" s="51" t="s">
        <v>887</v>
      </c>
      <c r="H448" s="53">
        <v>1029</v>
      </c>
      <c r="I448" s="38">
        <v>46198</v>
      </c>
      <c r="J448" s="35">
        <v>46208</v>
      </c>
      <c r="K448" s="36" t="s">
        <v>8</v>
      </c>
    </row>
    <row r="449" spans="4:11" ht="39.75" customHeight="1" x14ac:dyDescent="0.3">
      <c r="D449" s="48" t="s">
        <v>1198</v>
      </c>
      <c r="E449" s="49" t="s">
        <v>1199</v>
      </c>
      <c r="F449" s="50" t="s">
        <v>163</v>
      </c>
      <c r="G449" s="51" t="s">
        <v>1200</v>
      </c>
      <c r="H449" s="53">
        <v>1060</v>
      </c>
      <c r="I449" s="38">
        <v>46198</v>
      </c>
      <c r="J449" s="35">
        <v>46202</v>
      </c>
      <c r="K449" s="36" t="s">
        <v>8</v>
      </c>
    </row>
    <row r="450" spans="4:11" ht="39.75" customHeight="1" x14ac:dyDescent="0.3">
      <c r="D450" s="48" t="s">
        <v>1201</v>
      </c>
      <c r="E450" s="49" t="s">
        <v>1202</v>
      </c>
      <c r="F450" s="50" t="s">
        <v>163</v>
      </c>
      <c r="G450" s="51" t="s">
        <v>1203</v>
      </c>
      <c r="H450" s="53">
        <v>1022</v>
      </c>
      <c r="I450" s="38">
        <v>46198</v>
      </c>
      <c r="J450" s="35">
        <v>46218</v>
      </c>
      <c r="K450" s="36" t="s">
        <v>8</v>
      </c>
    </row>
    <row r="451" spans="4:11" ht="39.75" customHeight="1" x14ac:dyDescent="0.3">
      <c r="D451" s="48" t="s">
        <v>1204</v>
      </c>
      <c r="E451" s="49" t="s">
        <v>1205</v>
      </c>
      <c r="F451" s="50" t="s">
        <v>163</v>
      </c>
      <c r="G451" s="51" t="s">
        <v>1206</v>
      </c>
      <c r="H451" s="53">
        <v>1023</v>
      </c>
      <c r="I451" s="38">
        <v>46200</v>
      </c>
      <c r="J451" s="35">
        <v>46216</v>
      </c>
      <c r="K451" s="36" t="s">
        <v>8</v>
      </c>
    </row>
    <row r="452" spans="4:11" ht="39.75" customHeight="1" x14ac:dyDescent="0.3">
      <c r="D452" s="48" t="s">
        <v>1207</v>
      </c>
      <c r="E452" s="49" t="s">
        <v>1208</v>
      </c>
      <c r="F452" s="50" t="s">
        <v>163</v>
      </c>
      <c r="G452" s="51" t="s">
        <v>1209</v>
      </c>
      <c r="H452" s="53">
        <v>1024</v>
      </c>
      <c r="I452" s="38">
        <v>46200</v>
      </c>
      <c r="J452" s="35">
        <v>46203</v>
      </c>
      <c r="K452" s="36" t="s">
        <v>8</v>
      </c>
    </row>
    <row r="453" spans="4:11" ht="39.75" customHeight="1" x14ac:dyDescent="0.3">
      <c r="D453" s="48" t="s">
        <v>1210</v>
      </c>
      <c r="E453" s="49" t="s">
        <v>1211</v>
      </c>
      <c r="F453" s="50" t="s">
        <v>163</v>
      </c>
      <c r="G453" s="51" t="s">
        <v>1212</v>
      </c>
      <c r="H453" s="53">
        <v>1047</v>
      </c>
      <c r="I453" s="38">
        <v>46201</v>
      </c>
      <c r="J453" s="35">
        <v>46203</v>
      </c>
      <c r="K453" s="36" t="s">
        <v>8</v>
      </c>
    </row>
    <row r="454" spans="4:11" ht="39.75" customHeight="1" x14ac:dyDescent="0.3">
      <c r="D454" s="48" t="s">
        <v>1213</v>
      </c>
      <c r="E454" s="49" t="s">
        <v>1214</v>
      </c>
      <c r="F454" s="50" t="s">
        <v>163</v>
      </c>
      <c r="G454" s="51" t="s">
        <v>1215</v>
      </c>
      <c r="H454" s="53">
        <v>1022</v>
      </c>
      <c r="I454" s="38">
        <v>46201</v>
      </c>
      <c r="J454" s="35">
        <v>46211</v>
      </c>
      <c r="K454" s="36" t="s">
        <v>8</v>
      </c>
    </row>
    <row r="455" spans="4:11" ht="39.75" customHeight="1" x14ac:dyDescent="0.3">
      <c r="D455" s="48" t="s">
        <v>1216</v>
      </c>
      <c r="E455" s="49" t="s">
        <v>1217</v>
      </c>
      <c r="F455" s="50" t="s">
        <v>163</v>
      </c>
      <c r="G455" s="51" t="s">
        <v>1218</v>
      </c>
      <c r="H455" s="53">
        <v>1023</v>
      </c>
      <c r="I455" s="38">
        <v>46201</v>
      </c>
      <c r="J455" s="35">
        <v>46209</v>
      </c>
      <c r="K455" s="36" t="s">
        <v>8</v>
      </c>
    </row>
    <row r="456" spans="4:11" ht="39.75" customHeight="1" x14ac:dyDescent="0.3">
      <c r="D456" s="48" t="s">
        <v>1219</v>
      </c>
      <c r="E456" s="49" t="s">
        <v>1220</v>
      </c>
      <c r="F456" s="50" t="s">
        <v>163</v>
      </c>
      <c r="G456" s="51" t="s">
        <v>1221</v>
      </c>
      <c r="H456" s="53">
        <v>1031</v>
      </c>
      <c r="I456" s="38">
        <v>46201</v>
      </c>
      <c r="J456" s="35">
        <v>46223</v>
      </c>
      <c r="K456" s="36" t="s">
        <v>8</v>
      </c>
    </row>
    <row r="457" spans="4:11" ht="39.75" customHeight="1" x14ac:dyDescent="0.3">
      <c r="D457" s="48" t="s">
        <v>1222</v>
      </c>
      <c r="E457" s="49" t="s">
        <v>1223</v>
      </c>
      <c r="F457" s="50" t="s">
        <v>163</v>
      </c>
      <c r="G457" s="51" t="s">
        <v>1224</v>
      </c>
      <c r="H457" s="53">
        <v>1029</v>
      </c>
      <c r="I457" s="38">
        <v>46201</v>
      </c>
      <c r="J457" s="35">
        <v>46204</v>
      </c>
      <c r="K457" s="36" t="s">
        <v>8</v>
      </c>
    </row>
    <row r="458" spans="4:11" ht="39.75" customHeight="1" x14ac:dyDescent="0.3">
      <c r="D458" s="48" t="s">
        <v>1225</v>
      </c>
      <c r="E458" s="49" t="s">
        <v>1226</v>
      </c>
      <c r="F458" s="50" t="s">
        <v>163</v>
      </c>
      <c r="G458" s="51" t="s">
        <v>1227</v>
      </c>
      <c r="H458" s="53">
        <v>1029</v>
      </c>
      <c r="I458" s="38">
        <v>46202</v>
      </c>
      <c r="J458" s="35">
        <v>46204</v>
      </c>
      <c r="K458" s="36" t="s">
        <v>8</v>
      </c>
    </row>
    <row r="459" spans="4:11" ht="39.75" customHeight="1" x14ac:dyDescent="0.3">
      <c r="D459" s="48" t="s">
        <v>1228</v>
      </c>
      <c r="E459" s="49" t="s">
        <v>1229</v>
      </c>
      <c r="F459" s="50" t="s">
        <v>163</v>
      </c>
      <c r="G459" s="51" t="s">
        <v>1230</v>
      </c>
      <c r="H459" s="52" t="s">
        <v>193</v>
      </c>
      <c r="I459" s="38">
        <v>46202</v>
      </c>
      <c r="J459" s="35">
        <v>46215</v>
      </c>
      <c r="K459" s="36" t="s">
        <v>8</v>
      </c>
    </row>
    <row r="460" spans="4:11" ht="39.75" customHeight="1" x14ac:dyDescent="0.3">
      <c r="D460" s="48" t="s">
        <v>1231</v>
      </c>
      <c r="E460" s="49" t="s">
        <v>1232</v>
      </c>
      <c r="F460" s="50" t="s">
        <v>163</v>
      </c>
      <c r="G460" s="51" t="s">
        <v>1233</v>
      </c>
      <c r="H460" s="53">
        <v>1026</v>
      </c>
      <c r="I460" s="38">
        <v>46202</v>
      </c>
      <c r="J460" s="35">
        <v>46204</v>
      </c>
      <c r="K460" s="36" t="s">
        <v>8</v>
      </c>
    </row>
    <row r="461" spans="4:11" ht="39.75" customHeight="1" x14ac:dyDescent="0.3">
      <c r="D461" s="48" t="s">
        <v>1234</v>
      </c>
      <c r="E461" s="49" t="s">
        <v>1235</v>
      </c>
      <c r="F461" s="50" t="s">
        <v>163</v>
      </c>
      <c r="G461" s="51" t="s">
        <v>903</v>
      </c>
      <c r="H461" s="53">
        <v>1029</v>
      </c>
      <c r="I461" s="38">
        <v>46202</v>
      </c>
      <c r="J461" s="35">
        <v>46204</v>
      </c>
      <c r="K461" s="36" t="s">
        <v>8</v>
      </c>
    </row>
    <row r="462" spans="4:11" ht="39.75" customHeight="1" x14ac:dyDescent="0.3">
      <c r="D462" s="48" t="s">
        <v>1236</v>
      </c>
      <c r="E462" s="49" t="s">
        <v>1237</v>
      </c>
      <c r="F462" s="50" t="s">
        <v>163</v>
      </c>
      <c r="G462" s="51" t="s">
        <v>1238</v>
      </c>
      <c r="H462" s="53">
        <v>1031</v>
      </c>
      <c r="I462" s="38">
        <v>46203</v>
      </c>
      <c r="J462" s="35">
        <v>46215</v>
      </c>
      <c r="K462" s="36" t="s">
        <v>8</v>
      </c>
    </row>
    <row r="463" spans="4:11" ht="39.75" customHeight="1" x14ac:dyDescent="0.3">
      <c r="D463" s="48" t="s">
        <v>1239</v>
      </c>
      <c r="E463" s="49" t="s">
        <v>1240</v>
      </c>
      <c r="F463" s="50" t="s">
        <v>163</v>
      </c>
      <c r="G463" s="51" t="s">
        <v>1150</v>
      </c>
      <c r="H463" s="53">
        <v>1026</v>
      </c>
      <c r="I463" s="38">
        <v>46203</v>
      </c>
      <c r="J463" s="35">
        <v>46208</v>
      </c>
      <c r="K463" s="36" t="s">
        <v>8</v>
      </c>
    </row>
    <row r="464" spans="4:11" ht="39.75" customHeight="1" x14ac:dyDescent="0.3">
      <c r="D464" s="48" t="s">
        <v>1241</v>
      </c>
      <c r="E464" s="49" t="s">
        <v>1242</v>
      </c>
      <c r="F464" s="50" t="s">
        <v>163</v>
      </c>
      <c r="G464" s="51" t="s">
        <v>1243</v>
      </c>
      <c r="H464" s="53">
        <v>1060</v>
      </c>
      <c r="I464" s="38">
        <v>46203</v>
      </c>
      <c r="J464" s="35">
        <v>46205</v>
      </c>
      <c r="K464" s="36" t="s">
        <v>8</v>
      </c>
    </row>
    <row r="465" spans="4:11" ht="39.75" customHeight="1" x14ac:dyDescent="0.3">
      <c r="D465" s="48" t="s">
        <v>1244</v>
      </c>
      <c r="E465" s="49" t="s">
        <v>1245</v>
      </c>
      <c r="F465" s="50" t="s">
        <v>163</v>
      </c>
      <c r="G465" s="51" t="s">
        <v>1246</v>
      </c>
      <c r="H465" s="53">
        <v>1029</v>
      </c>
      <c r="I465" s="38">
        <v>46203</v>
      </c>
      <c r="J465" s="35">
        <v>46215</v>
      </c>
      <c r="K465" s="36" t="s">
        <v>8</v>
      </c>
    </row>
    <row r="466" spans="4:11" ht="39.75" customHeight="1" x14ac:dyDescent="0.3">
      <c r="D466" s="48" t="s">
        <v>1247</v>
      </c>
      <c r="E466" s="49" t="s">
        <v>1248</v>
      </c>
      <c r="F466" s="50" t="s">
        <v>163</v>
      </c>
      <c r="G466" s="51" t="s">
        <v>1249</v>
      </c>
      <c r="H466" s="53">
        <v>1029</v>
      </c>
      <c r="I466" s="38">
        <v>46203</v>
      </c>
      <c r="J466" s="35">
        <v>46215</v>
      </c>
      <c r="K466" s="36" t="s">
        <v>8</v>
      </c>
    </row>
    <row r="467" spans="4:11" ht="39.75" customHeight="1" x14ac:dyDescent="0.3">
      <c r="D467" s="48" t="s">
        <v>1250</v>
      </c>
      <c r="E467" s="49" t="s">
        <v>1251</v>
      </c>
      <c r="F467" s="50" t="s">
        <v>163</v>
      </c>
      <c r="G467" s="51" t="s">
        <v>1252</v>
      </c>
      <c r="H467" s="53">
        <v>1036</v>
      </c>
      <c r="I467" s="38">
        <v>46203</v>
      </c>
      <c r="J467" s="35">
        <v>46204</v>
      </c>
      <c r="K467" s="36" t="s">
        <v>8</v>
      </c>
    </row>
    <row r="468" spans="4:11" ht="39.75" customHeight="1" x14ac:dyDescent="0.3">
      <c r="D468" s="48" t="s">
        <v>1253</v>
      </c>
      <c r="E468" s="49" t="s">
        <v>1254</v>
      </c>
      <c r="F468" s="50" t="s">
        <v>163</v>
      </c>
      <c r="G468" s="51" t="s">
        <v>1255</v>
      </c>
      <c r="H468" s="53">
        <v>1024</v>
      </c>
      <c r="I468" s="38">
        <v>46203</v>
      </c>
      <c r="J468" s="35">
        <v>46218</v>
      </c>
      <c r="K468" s="36" t="s">
        <v>8</v>
      </c>
    </row>
    <row r="469" spans="4:11" ht="39.75" customHeight="1" x14ac:dyDescent="0.3">
      <c r="D469" s="48" t="s">
        <v>1256</v>
      </c>
      <c r="E469" s="49" t="s">
        <v>1257</v>
      </c>
      <c r="F469" s="50" t="s">
        <v>163</v>
      </c>
      <c r="G469" s="51" t="s">
        <v>1258</v>
      </c>
      <c r="H469" s="53">
        <v>1031</v>
      </c>
      <c r="I469" s="38">
        <v>46203</v>
      </c>
      <c r="J469" s="35">
        <v>46210</v>
      </c>
      <c r="K469" s="36" t="s">
        <v>8</v>
      </c>
    </row>
    <row r="470" spans="4:11" ht="39.75" customHeight="1" x14ac:dyDescent="0.3">
      <c r="D470" s="48" t="s">
        <v>1259</v>
      </c>
      <c r="E470" s="49" t="s">
        <v>1260</v>
      </c>
      <c r="F470" s="50" t="s">
        <v>163</v>
      </c>
      <c r="G470" s="51" t="s">
        <v>1261</v>
      </c>
      <c r="H470" s="53">
        <v>1031</v>
      </c>
      <c r="I470" s="38">
        <v>46203</v>
      </c>
      <c r="J470" s="35">
        <v>46209</v>
      </c>
      <c r="K470" s="36" t="s">
        <v>8</v>
      </c>
    </row>
    <row r="471" spans="4:11" ht="39.75" customHeight="1" x14ac:dyDescent="0.3">
      <c r="D471" s="48" t="s">
        <v>1262</v>
      </c>
      <c r="E471" s="49" t="s">
        <v>1263</v>
      </c>
      <c r="F471" s="50" t="s">
        <v>163</v>
      </c>
      <c r="G471" s="51" t="s">
        <v>1264</v>
      </c>
      <c r="H471" s="53">
        <v>1031</v>
      </c>
      <c r="I471" s="38">
        <v>46203</v>
      </c>
      <c r="J471" s="35">
        <v>46217</v>
      </c>
      <c r="K471" s="36" t="s">
        <v>8</v>
      </c>
    </row>
    <row r="472" spans="4:11" ht="39.75" customHeight="1" x14ac:dyDescent="0.3">
      <c r="D472" s="48" t="s">
        <v>1265</v>
      </c>
      <c r="E472" s="49" t="s">
        <v>1266</v>
      </c>
      <c r="F472" s="50" t="s">
        <v>163</v>
      </c>
      <c r="G472" s="51" t="s">
        <v>1267</v>
      </c>
      <c r="H472" s="53">
        <v>1027</v>
      </c>
      <c r="I472" s="38">
        <v>46203</v>
      </c>
      <c r="J472" s="35">
        <v>46218</v>
      </c>
      <c r="K472" s="36" t="s">
        <v>8</v>
      </c>
    </row>
    <row r="473" spans="4:11" ht="39.75" customHeight="1" x14ac:dyDescent="0.3">
      <c r="D473" s="48" t="s">
        <v>1268</v>
      </c>
      <c r="E473" s="49" t="s">
        <v>1269</v>
      </c>
      <c r="F473" s="50" t="s">
        <v>163</v>
      </c>
      <c r="G473" s="51" t="s">
        <v>1270</v>
      </c>
      <c r="H473" s="53">
        <v>1027</v>
      </c>
      <c r="I473" s="38">
        <v>46203</v>
      </c>
      <c r="J473" s="35">
        <v>46209</v>
      </c>
      <c r="K473" s="36" t="s">
        <v>8</v>
      </c>
    </row>
    <row r="474" spans="4:11" ht="39.75" customHeight="1" x14ac:dyDescent="0.3">
      <c r="D474" s="48" t="s">
        <v>1271</v>
      </c>
      <c r="E474" s="49" t="s">
        <v>1272</v>
      </c>
      <c r="F474" s="50" t="s">
        <v>163</v>
      </c>
      <c r="G474" s="51" t="s">
        <v>1203</v>
      </c>
      <c r="H474" s="53">
        <v>1022</v>
      </c>
      <c r="I474" s="38">
        <v>46204</v>
      </c>
      <c r="J474" s="35">
        <v>46211</v>
      </c>
      <c r="K474" s="36" t="s">
        <v>8</v>
      </c>
    </row>
    <row r="475" spans="4:11" ht="39.75" customHeight="1" x14ac:dyDescent="0.3">
      <c r="D475" s="48" t="s">
        <v>1273</v>
      </c>
      <c r="E475" s="49" t="s">
        <v>1274</v>
      </c>
      <c r="F475" s="50" t="s">
        <v>163</v>
      </c>
      <c r="G475" s="51" t="s">
        <v>912</v>
      </c>
      <c r="H475" s="53">
        <v>1021</v>
      </c>
      <c r="I475" s="38">
        <v>46204</v>
      </c>
      <c r="J475" s="35">
        <v>46218</v>
      </c>
      <c r="K475" s="36" t="s">
        <v>8</v>
      </c>
    </row>
    <row r="476" spans="4:11" ht="39.75" customHeight="1" x14ac:dyDescent="0.3">
      <c r="D476" s="48" t="s">
        <v>1275</v>
      </c>
      <c r="E476" s="49" t="s">
        <v>1276</v>
      </c>
      <c r="F476" s="50" t="s">
        <v>163</v>
      </c>
      <c r="G476" s="51" t="s">
        <v>1277</v>
      </c>
      <c r="H476" s="53">
        <v>1031</v>
      </c>
      <c r="I476" s="38">
        <v>46204</v>
      </c>
      <c r="J476" s="35">
        <v>46210</v>
      </c>
      <c r="K476" s="36" t="s">
        <v>8</v>
      </c>
    </row>
    <row r="477" spans="4:11" ht="39.75" customHeight="1" x14ac:dyDescent="0.3">
      <c r="D477" s="48" t="s">
        <v>1278</v>
      </c>
      <c r="E477" s="49" t="s">
        <v>1279</v>
      </c>
      <c r="F477" s="50" t="s">
        <v>163</v>
      </c>
      <c r="G477" s="51" t="s">
        <v>1280</v>
      </c>
      <c r="H477" s="53">
        <v>1060</v>
      </c>
      <c r="I477" s="38">
        <v>46204</v>
      </c>
      <c r="J477" s="35">
        <v>46210</v>
      </c>
      <c r="K477" s="36" t="s">
        <v>8</v>
      </c>
    </row>
    <row r="478" spans="4:11" ht="39.75" customHeight="1" x14ac:dyDescent="0.3">
      <c r="D478" s="48" t="s">
        <v>1281</v>
      </c>
      <c r="E478" s="49" t="s">
        <v>1282</v>
      </c>
      <c r="F478" s="50" t="s">
        <v>163</v>
      </c>
      <c r="G478" s="51" t="s">
        <v>887</v>
      </c>
      <c r="H478" s="53">
        <v>1029</v>
      </c>
      <c r="I478" s="38">
        <v>46204</v>
      </c>
      <c r="J478" s="35">
        <v>46215</v>
      </c>
      <c r="K478" s="36" t="s">
        <v>8</v>
      </c>
    </row>
    <row r="479" spans="4:11" ht="39.75" customHeight="1" x14ac:dyDescent="0.3">
      <c r="D479" s="48" t="s">
        <v>1283</v>
      </c>
      <c r="E479" s="49" t="s">
        <v>1284</v>
      </c>
      <c r="F479" s="50" t="s">
        <v>163</v>
      </c>
      <c r="G479" s="51" t="s">
        <v>1093</v>
      </c>
      <c r="H479" s="53">
        <v>1029</v>
      </c>
      <c r="I479" s="38">
        <v>46207</v>
      </c>
      <c r="J479" s="35">
        <v>46209</v>
      </c>
      <c r="K479" s="36" t="s">
        <v>8</v>
      </c>
    </row>
    <row r="480" spans="4:11" ht="39.75" customHeight="1" x14ac:dyDescent="0.3">
      <c r="D480" s="48" t="s">
        <v>1285</v>
      </c>
      <c r="E480" s="49" t="s">
        <v>1286</v>
      </c>
      <c r="F480" s="50" t="s">
        <v>163</v>
      </c>
      <c r="G480" s="51" t="s">
        <v>1287</v>
      </c>
      <c r="H480" s="53">
        <v>1029</v>
      </c>
      <c r="I480" s="38">
        <v>46207</v>
      </c>
      <c r="J480" s="35">
        <v>46209</v>
      </c>
      <c r="K480" s="36" t="s">
        <v>8</v>
      </c>
    </row>
    <row r="481" spans="4:11" ht="39.75" customHeight="1" x14ac:dyDescent="0.3">
      <c r="D481" s="48" t="s">
        <v>1288</v>
      </c>
      <c r="E481" s="49" t="s">
        <v>1289</v>
      </c>
      <c r="F481" s="50" t="s">
        <v>163</v>
      </c>
      <c r="G481" s="51" t="s">
        <v>1093</v>
      </c>
      <c r="H481" s="53">
        <v>1029</v>
      </c>
      <c r="I481" s="38">
        <v>46208</v>
      </c>
      <c r="J481" s="35">
        <v>46209</v>
      </c>
      <c r="K481" s="36" t="s">
        <v>8</v>
      </c>
    </row>
    <row r="482" spans="4:11" ht="39.75" customHeight="1" x14ac:dyDescent="0.3">
      <c r="D482" s="48" t="s">
        <v>1290</v>
      </c>
      <c r="E482" s="49" t="s">
        <v>1291</v>
      </c>
      <c r="F482" s="50" t="s">
        <v>163</v>
      </c>
      <c r="G482" s="51" t="s">
        <v>1292</v>
      </c>
      <c r="H482" s="53">
        <v>1029</v>
      </c>
      <c r="I482" s="38">
        <v>46208</v>
      </c>
      <c r="J482" s="35">
        <v>46211</v>
      </c>
      <c r="K482" s="36" t="s">
        <v>8</v>
      </c>
    </row>
    <row r="483" spans="4:11" ht="39.75" customHeight="1" x14ac:dyDescent="0.3">
      <c r="D483" s="48" t="s">
        <v>1293</v>
      </c>
      <c r="E483" s="49" t="s">
        <v>1294</v>
      </c>
      <c r="F483" s="50" t="s">
        <v>163</v>
      </c>
      <c r="G483" s="51" t="s">
        <v>1093</v>
      </c>
      <c r="H483" s="53">
        <v>1029</v>
      </c>
      <c r="I483" s="38">
        <v>46208</v>
      </c>
      <c r="J483" s="35">
        <v>46217</v>
      </c>
      <c r="K483" s="36" t="s">
        <v>8</v>
      </c>
    </row>
    <row r="484" spans="4:11" ht="39.75" customHeight="1" x14ac:dyDescent="0.3">
      <c r="D484" s="48" t="s">
        <v>1295</v>
      </c>
      <c r="E484" s="49" t="s">
        <v>1296</v>
      </c>
      <c r="F484" s="50" t="s">
        <v>163</v>
      </c>
      <c r="G484" s="51" t="s">
        <v>1108</v>
      </c>
      <c r="H484" s="53">
        <v>1023</v>
      </c>
      <c r="I484" s="38">
        <v>46208</v>
      </c>
      <c r="J484" s="35">
        <v>46211</v>
      </c>
      <c r="K484" s="36" t="s">
        <v>8</v>
      </c>
    </row>
    <row r="485" spans="4:11" ht="39.75" customHeight="1" x14ac:dyDescent="0.3">
      <c r="D485" s="48" t="s">
        <v>1297</v>
      </c>
      <c r="E485" s="49" t="s">
        <v>1298</v>
      </c>
      <c r="F485" s="50" t="s">
        <v>163</v>
      </c>
      <c r="G485" s="51" t="s">
        <v>1299</v>
      </c>
      <c r="H485" s="53">
        <v>1024</v>
      </c>
      <c r="I485" s="38">
        <v>46208</v>
      </c>
      <c r="J485" s="35">
        <v>46215</v>
      </c>
      <c r="K485" s="36" t="s">
        <v>8</v>
      </c>
    </row>
    <row r="486" spans="4:11" ht="39.75" customHeight="1" x14ac:dyDescent="0.3">
      <c r="D486" s="48" t="s">
        <v>1300</v>
      </c>
      <c r="E486" s="49" t="s">
        <v>1301</v>
      </c>
      <c r="F486" s="50" t="s">
        <v>163</v>
      </c>
      <c r="G486" s="51" t="s">
        <v>1302</v>
      </c>
      <c r="H486" s="53">
        <v>1043</v>
      </c>
      <c r="I486" s="38">
        <v>46208</v>
      </c>
      <c r="J486" s="35">
        <v>46215</v>
      </c>
      <c r="K486" s="36" t="s">
        <v>8</v>
      </c>
    </row>
    <row r="487" spans="4:11" ht="39.75" customHeight="1" x14ac:dyDescent="0.3">
      <c r="D487" s="48" t="s">
        <v>1303</v>
      </c>
      <c r="E487" s="49" t="s">
        <v>1304</v>
      </c>
      <c r="F487" s="50" t="s">
        <v>163</v>
      </c>
      <c r="G487" s="51" t="s">
        <v>1305</v>
      </c>
      <c r="H487" s="53">
        <v>1021</v>
      </c>
      <c r="I487" s="38">
        <v>46208</v>
      </c>
      <c r="J487" s="35">
        <v>46215</v>
      </c>
      <c r="K487" s="36" t="s">
        <v>8</v>
      </c>
    </row>
    <row r="488" spans="4:11" ht="39.75" customHeight="1" x14ac:dyDescent="0.3">
      <c r="D488" s="48" t="s">
        <v>1306</v>
      </c>
      <c r="E488" s="49" t="s">
        <v>1307</v>
      </c>
      <c r="F488" s="50" t="s">
        <v>163</v>
      </c>
      <c r="G488" s="51" t="s">
        <v>1308</v>
      </c>
      <c r="H488" s="53">
        <v>1024</v>
      </c>
      <c r="I488" s="38">
        <v>46208</v>
      </c>
      <c r="J488" s="35">
        <v>46211</v>
      </c>
      <c r="K488" s="36" t="s">
        <v>8</v>
      </c>
    </row>
    <row r="489" spans="4:11" ht="39.75" customHeight="1" x14ac:dyDescent="0.3">
      <c r="D489" s="48" t="s">
        <v>1309</v>
      </c>
      <c r="E489" s="49" t="s">
        <v>1310</v>
      </c>
      <c r="F489" s="50" t="s">
        <v>163</v>
      </c>
      <c r="G489" s="51" t="s">
        <v>903</v>
      </c>
      <c r="H489" s="53">
        <v>1029</v>
      </c>
      <c r="I489" s="38">
        <v>46208</v>
      </c>
      <c r="J489" s="35">
        <v>46215</v>
      </c>
      <c r="K489" s="36" t="s">
        <v>8</v>
      </c>
    </row>
    <row r="490" spans="4:11" ht="39.75" customHeight="1" x14ac:dyDescent="0.3">
      <c r="D490" s="48" t="s">
        <v>1311</v>
      </c>
      <c r="E490" s="49" t="s">
        <v>1312</v>
      </c>
      <c r="F490" s="50" t="s">
        <v>163</v>
      </c>
      <c r="G490" s="51" t="s">
        <v>1313</v>
      </c>
      <c r="H490" s="53">
        <v>1029</v>
      </c>
      <c r="I490" s="38">
        <v>46208</v>
      </c>
      <c r="J490" s="35">
        <v>46218</v>
      </c>
      <c r="K490" s="36" t="s">
        <v>8</v>
      </c>
    </row>
    <row r="491" spans="4:11" ht="39.75" customHeight="1" x14ac:dyDescent="0.3">
      <c r="D491" s="48" t="s">
        <v>1314</v>
      </c>
      <c r="E491" s="49" t="s">
        <v>1315</v>
      </c>
      <c r="F491" s="50" t="s">
        <v>163</v>
      </c>
      <c r="G491" s="51" t="s">
        <v>1316</v>
      </c>
      <c r="H491" s="53">
        <v>1036</v>
      </c>
      <c r="I491" s="38">
        <v>46208</v>
      </c>
      <c r="J491" s="35">
        <v>46219</v>
      </c>
      <c r="K491" s="36" t="s">
        <v>8</v>
      </c>
    </row>
    <row r="492" spans="4:11" ht="39.75" customHeight="1" x14ac:dyDescent="0.3">
      <c r="D492" s="48" t="s">
        <v>1317</v>
      </c>
      <c r="E492" s="49" t="s">
        <v>1318</v>
      </c>
      <c r="F492" s="50" t="s">
        <v>163</v>
      </c>
      <c r="G492" s="51" t="s">
        <v>1319</v>
      </c>
      <c r="H492" s="53">
        <v>1044</v>
      </c>
      <c r="I492" s="38">
        <v>46208</v>
      </c>
      <c r="J492" s="35">
        <v>46215</v>
      </c>
      <c r="K492" s="36" t="s">
        <v>8</v>
      </c>
    </row>
    <row r="493" spans="4:11" ht="39.75" customHeight="1" x14ac:dyDescent="0.3">
      <c r="D493" s="48" t="s">
        <v>1320</v>
      </c>
      <c r="E493" s="49" t="s">
        <v>1321</v>
      </c>
      <c r="F493" s="50" t="s">
        <v>163</v>
      </c>
      <c r="G493" s="51" t="s">
        <v>1322</v>
      </c>
      <c r="H493" s="53">
        <v>1027</v>
      </c>
      <c r="I493" s="38">
        <v>46209</v>
      </c>
      <c r="J493" s="35">
        <v>46215</v>
      </c>
      <c r="K493" s="36" t="s">
        <v>8</v>
      </c>
    </row>
    <row r="494" spans="4:11" ht="39.75" customHeight="1" x14ac:dyDescent="0.3">
      <c r="D494" s="48" t="s">
        <v>1323</v>
      </c>
      <c r="E494" s="49" t="s">
        <v>1324</v>
      </c>
      <c r="F494" s="50" t="s">
        <v>163</v>
      </c>
      <c r="G494" s="51" t="s">
        <v>1108</v>
      </c>
      <c r="H494" s="53">
        <v>1023</v>
      </c>
      <c r="I494" s="38">
        <v>46209</v>
      </c>
      <c r="J494" s="35">
        <v>46211</v>
      </c>
      <c r="K494" s="36" t="s">
        <v>8</v>
      </c>
    </row>
    <row r="495" spans="4:11" ht="39.75" customHeight="1" x14ac:dyDescent="0.3">
      <c r="D495" s="48" t="s">
        <v>1325</v>
      </c>
      <c r="E495" s="49" t="s">
        <v>1326</v>
      </c>
      <c r="F495" s="50" t="s">
        <v>163</v>
      </c>
      <c r="G495" s="51" t="s">
        <v>1327</v>
      </c>
      <c r="H495" s="53">
        <v>1024</v>
      </c>
      <c r="I495" s="38">
        <v>46209</v>
      </c>
      <c r="J495" s="35">
        <v>46218</v>
      </c>
      <c r="K495" s="36" t="s">
        <v>8</v>
      </c>
    </row>
    <row r="496" spans="4:11" ht="39.75" customHeight="1" x14ac:dyDescent="0.3">
      <c r="D496" s="48" t="s">
        <v>1328</v>
      </c>
      <c r="E496" s="49" t="s">
        <v>1329</v>
      </c>
      <c r="F496" s="50" t="s">
        <v>163</v>
      </c>
      <c r="G496" s="51" t="s">
        <v>1330</v>
      </c>
      <c r="H496" s="53">
        <v>1031</v>
      </c>
      <c r="I496" s="38">
        <v>46209</v>
      </c>
      <c r="J496" s="35">
        <v>46217</v>
      </c>
      <c r="K496" s="36" t="s">
        <v>8</v>
      </c>
    </row>
    <row r="497" spans="4:11" ht="39.75" customHeight="1" x14ac:dyDescent="0.3">
      <c r="D497" s="48" t="s">
        <v>1331</v>
      </c>
      <c r="E497" s="49" t="s">
        <v>1332</v>
      </c>
      <c r="F497" s="50" t="s">
        <v>163</v>
      </c>
      <c r="G497" s="51" t="s">
        <v>1333</v>
      </c>
      <c r="H497" s="53">
        <v>1023</v>
      </c>
      <c r="I497" s="38">
        <v>46209</v>
      </c>
      <c r="J497" s="35">
        <v>46215</v>
      </c>
      <c r="K497" s="36" t="s">
        <v>8</v>
      </c>
    </row>
    <row r="498" spans="4:11" ht="39.75" customHeight="1" x14ac:dyDescent="0.3">
      <c r="D498" s="48" t="s">
        <v>1334</v>
      </c>
      <c r="E498" s="49" t="s">
        <v>1335</v>
      </c>
      <c r="F498" s="50" t="s">
        <v>163</v>
      </c>
      <c r="G498" s="51" t="s">
        <v>1336</v>
      </c>
      <c r="H498" s="53">
        <v>1024</v>
      </c>
      <c r="I498" s="38">
        <v>46209</v>
      </c>
      <c r="J498" s="35">
        <v>46211</v>
      </c>
      <c r="K498" s="36" t="s">
        <v>8</v>
      </c>
    </row>
    <row r="499" spans="4:11" ht="39.75" customHeight="1" x14ac:dyDescent="0.3">
      <c r="D499" s="48" t="s">
        <v>1337</v>
      </c>
      <c r="E499" s="49" t="s">
        <v>1338</v>
      </c>
      <c r="F499" s="50" t="s">
        <v>163</v>
      </c>
      <c r="G499" s="51" t="s">
        <v>1339</v>
      </c>
      <c r="H499" s="53">
        <v>1028</v>
      </c>
      <c r="I499" s="38">
        <v>46210</v>
      </c>
      <c r="J499" s="35">
        <v>46219</v>
      </c>
      <c r="K499" s="36" t="s">
        <v>8</v>
      </c>
    </row>
    <row r="500" spans="4:11" ht="39.75" customHeight="1" x14ac:dyDescent="0.3">
      <c r="D500" s="48" t="s">
        <v>1340</v>
      </c>
      <c r="E500" s="49" t="s">
        <v>1341</v>
      </c>
      <c r="F500" s="50" t="s">
        <v>163</v>
      </c>
      <c r="G500" s="51" t="s">
        <v>1342</v>
      </c>
      <c r="H500" s="53">
        <v>1029</v>
      </c>
      <c r="I500" s="38">
        <v>46210</v>
      </c>
      <c r="J500" s="35">
        <v>46215</v>
      </c>
      <c r="K500" s="36" t="s">
        <v>8</v>
      </c>
    </row>
    <row r="501" spans="4:11" ht="39.75" customHeight="1" x14ac:dyDescent="0.3">
      <c r="D501" s="48" t="s">
        <v>1343</v>
      </c>
      <c r="E501" s="49" t="s">
        <v>1344</v>
      </c>
      <c r="F501" s="50" t="s">
        <v>163</v>
      </c>
      <c r="G501" s="51" t="s">
        <v>1345</v>
      </c>
      <c r="H501" s="53">
        <v>1047</v>
      </c>
      <c r="I501" s="38">
        <v>46210</v>
      </c>
      <c r="J501" s="35">
        <v>46215</v>
      </c>
      <c r="K501" s="36" t="s">
        <v>8</v>
      </c>
    </row>
    <row r="502" spans="4:11" ht="39.75" customHeight="1" x14ac:dyDescent="0.3">
      <c r="D502" s="48" t="s">
        <v>1346</v>
      </c>
      <c r="E502" s="49" t="s">
        <v>1347</v>
      </c>
      <c r="F502" s="50" t="s">
        <v>163</v>
      </c>
      <c r="G502" s="51" t="s">
        <v>1348</v>
      </c>
      <c r="H502" s="53">
        <v>1029</v>
      </c>
      <c r="I502" s="38">
        <v>46210</v>
      </c>
      <c r="J502" s="35">
        <v>46217</v>
      </c>
      <c r="K502" s="36" t="s">
        <v>8</v>
      </c>
    </row>
    <row r="503" spans="4:11" ht="39.75" customHeight="1" x14ac:dyDescent="0.3">
      <c r="D503" s="48" t="s">
        <v>1349</v>
      </c>
      <c r="E503" s="49" t="s">
        <v>1350</v>
      </c>
      <c r="F503" s="50" t="s">
        <v>163</v>
      </c>
      <c r="G503" s="51" t="s">
        <v>1351</v>
      </c>
      <c r="H503" s="52" t="s">
        <v>193</v>
      </c>
      <c r="I503" s="38">
        <v>46210</v>
      </c>
      <c r="J503" s="35">
        <v>46234</v>
      </c>
      <c r="K503" s="36" t="s">
        <v>8</v>
      </c>
    </row>
    <row r="504" spans="4:11" ht="39.75" customHeight="1" x14ac:dyDescent="0.3">
      <c r="D504" s="48" t="s">
        <v>1352</v>
      </c>
      <c r="E504" s="49" t="s">
        <v>1353</v>
      </c>
      <c r="F504" s="50" t="s">
        <v>163</v>
      </c>
      <c r="G504" s="51" t="s">
        <v>1354</v>
      </c>
      <c r="H504" s="53">
        <v>1020</v>
      </c>
      <c r="I504" s="38">
        <v>46210</v>
      </c>
      <c r="J504" s="35">
        <v>46216</v>
      </c>
      <c r="K504" s="36" t="s">
        <v>8</v>
      </c>
    </row>
    <row r="505" spans="4:11" ht="39.75" customHeight="1" x14ac:dyDescent="0.3">
      <c r="D505" s="48" t="s">
        <v>1355</v>
      </c>
      <c r="E505" s="49" t="s">
        <v>1356</v>
      </c>
      <c r="F505" s="50" t="s">
        <v>163</v>
      </c>
      <c r="G505" s="51" t="s">
        <v>1357</v>
      </c>
      <c r="H505" s="53">
        <v>1026</v>
      </c>
      <c r="I505" s="38">
        <v>46210</v>
      </c>
      <c r="J505" s="35">
        <v>46215</v>
      </c>
      <c r="K505" s="36" t="s">
        <v>8</v>
      </c>
    </row>
    <row r="506" spans="4:11" ht="39.75" customHeight="1" x14ac:dyDescent="0.3">
      <c r="D506" s="48" t="s">
        <v>1358</v>
      </c>
      <c r="E506" s="49" t="s">
        <v>1359</v>
      </c>
      <c r="F506" s="50" t="s">
        <v>163</v>
      </c>
      <c r="G506" s="51" t="s">
        <v>1360</v>
      </c>
      <c r="H506" s="53">
        <v>1047</v>
      </c>
      <c r="I506" s="38">
        <v>46211</v>
      </c>
      <c r="J506" s="35">
        <v>46230</v>
      </c>
      <c r="K506" s="36" t="s">
        <v>8</v>
      </c>
    </row>
    <row r="507" spans="4:11" ht="39.75" customHeight="1" x14ac:dyDescent="0.3">
      <c r="D507" s="48" t="s">
        <v>1361</v>
      </c>
      <c r="E507" s="49" t="s">
        <v>1362</v>
      </c>
      <c r="F507" s="50" t="s">
        <v>163</v>
      </c>
      <c r="G507" s="51" t="s">
        <v>1363</v>
      </c>
      <c r="H507" s="53">
        <v>1029</v>
      </c>
      <c r="I507" s="38">
        <v>46211</v>
      </c>
      <c r="J507" s="35">
        <v>46217</v>
      </c>
      <c r="K507" s="36" t="s">
        <v>8</v>
      </c>
    </row>
    <row r="508" spans="4:11" ht="39.75" customHeight="1" x14ac:dyDescent="0.3">
      <c r="D508" s="48" t="s">
        <v>1364</v>
      </c>
      <c r="E508" s="49" t="s">
        <v>1365</v>
      </c>
      <c r="F508" s="50" t="s">
        <v>163</v>
      </c>
      <c r="G508" s="51" t="s">
        <v>1287</v>
      </c>
      <c r="H508" s="53">
        <v>1029</v>
      </c>
      <c r="I508" s="38">
        <v>46211</v>
      </c>
      <c r="J508" s="35">
        <v>46217</v>
      </c>
      <c r="K508" s="36" t="s">
        <v>8</v>
      </c>
    </row>
    <row r="509" spans="4:11" ht="39.75" customHeight="1" x14ac:dyDescent="0.3">
      <c r="D509" s="48" t="s">
        <v>1366</v>
      </c>
      <c r="E509" s="49" t="s">
        <v>1367</v>
      </c>
      <c r="F509" s="50" t="s">
        <v>163</v>
      </c>
      <c r="G509" s="51" t="s">
        <v>1368</v>
      </c>
      <c r="H509" s="53">
        <v>1029</v>
      </c>
      <c r="I509" s="38">
        <v>46211</v>
      </c>
      <c r="J509" s="35">
        <v>46217</v>
      </c>
      <c r="K509" s="36" t="s">
        <v>8</v>
      </c>
    </row>
    <row r="510" spans="4:11" ht="39.75" customHeight="1" x14ac:dyDescent="0.3">
      <c r="D510" s="48" t="s">
        <v>1369</v>
      </c>
      <c r="E510" s="49" t="s">
        <v>1370</v>
      </c>
      <c r="F510" s="50" t="s">
        <v>163</v>
      </c>
      <c r="G510" s="51" t="s">
        <v>1371</v>
      </c>
      <c r="H510" s="53">
        <v>1060</v>
      </c>
      <c r="I510" s="38">
        <v>46212</v>
      </c>
      <c r="J510" s="35">
        <v>46218</v>
      </c>
      <c r="K510" s="36" t="s">
        <v>8</v>
      </c>
    </row>
    <row r="511" spans="4:11" ht="39.75" customHeight="1" x14ac:dyDescent="0.3">
      <c r="D511" s="48" t="s">
        <v>1372</v>
      </c>
      <c r="E511" s="49" t="s">
        <v>1373</v>
      </c>
      <c r="F511" s="50" t="s">
        <v>163</v>
      </c>
      <c r="G511" s="51" t="s">
        <v>1374</v>
      </c>
      <c r="H511" s="53">
        <v>1029</v>
      </c>
      <c r="I511" s="38">
        <v>46212</v>
      </c>
      <c r="J511" s="35">
        <v>46217</v>
      </c>
      <c r="K511" s="36" t="s">
        <v>8</v>
      </c>
    </row>
    <row r="512" spans="4:11" ht="39.75" customHeight="1" x14ac:dyDescent="0.3">
      <c r="D512" s="48" t="s">
        <v>1375</v>
      </c>
      <c r="E512" s="49" t="s">
        <v>1376</v>
      </c>
      <c r="F512" s="50" t="s">
        <v>163</v>
      </c>
      <c r="G512" s="51" t="s">
        <v>887</v>
      </c>
      <c r="H512" s="53">
        <v>1029</v>
      </c>
      <c r="I512" s="38">
        <v>46212</v>
      </c>
      <c r="J512" s="35">
        <v>46217</v>
      </c>
      <c r="K512" s="36" t="s">
        <v>8</v>
      </c>
    </row>
    <row r="513" spans="4:11" ht="39.75" customHeight="1" x14ac:dyDescent="0.3">
      <c r="D513" s="48" t="s">
        <v>1377</v>
      </c>
      <c r="E513" s="49" t="s">
        <v>1378</v>
      </c>
      <c r="F513" s="50" t="s">
        <v>163</v>
      </c>
      <c r="G513" s="51" t="s">
        <v>1379</v>
      </c>
      <c r="H513" s="53">
        <v>1029</v>
      </c>
      <c r="I513" s="38">
        <v>46212</v>
      </c>
      <c r="J513" s="35">
        <v>46217</v>
      </c>
      <c r="K513" s="36" t="s">
        <v>8</v>
      </c>
    </row>
    <row r="514" spans="4:11" ht="39.75" customHeight="1" x14ac:dyDescent="0.3">
      <c r="D514" s="48" t="s">
        <v>1380</v>
      </c>
      <c r="E514" s="49" t="s">
        <v>1381</v>
      </c>
      <c r="F514" s="50" t="s">
        <v>163</v>
      </c>
      <c r="G514" s="51" t="s">
        <v>1382</v>
      </c>
      <c r="H514" s="53">
        <v>1029</v>
      </c>
      <c r="I514" s="38">
        <v>46212</v>
      </c>
      <c r="J514" s="35">
        <v>46221</v>
      </c>
      <c r="K514" s="36" t="s">
        <v>8</v>
      </c>
    </row>
    <row r="515" spans="4:11" ht="39.75" customHeight="1" x14ac:dyDescent="0.3">
      <c r="D515" s="48" t="s">
        <v>1383</v>
      </c>
      <c r="E515" s="49" t="s">
        <v>1384</v>
      </c>
      <c r="F515" s="50" t="s">
        <v>163</v>
      </c>
      <c r="G515" s="51" t="s">
        <v>1385</v>
      </c>
      <c r="H515" s="53">
        <v>1022</v>
      </c>
      <c r="I515" s="38">
        <v>46214</v>
      </c>
      <c r="J515" s="35">
        <v>46218</v>
      </c>
      <c r="K515" s="36" t="s">
        <v>8</v>
      </c>
    </row>
    <row r="516" spans="4:11" ht="39.75" customHeight="1" x14ac:dyDescent="0.3">
      <c r="D516" s="48" t="s">
        <v>1386</v>
      </c>
      <c r="E516" s="49" t="s">
        <v>1387</v>
      </c>
      <c r="F516" s="50" t="s">
        <v>163</v>
      </c>
      <c r="G516" s="51" t="s">
        <v>1388</v>
      </c>
      <c r="H516" s="53">
        <v>1029</v>
      </c>
      <c r="I516" s="38">
        <v>46215</v>
      </c>
      <c r="J516" s="35">
        <v>46217</v>
      </c>
      <c r="K516" s="36" t="s">
        <v>8</v>
      </c>
    </row>
    <row r="517" spans="4:11" ht="39.75" customHeight="1" x14ac:dyDescent="0.3">
      <c r="D517" s="48" t="s">
        <v>1389</v>
      </c>
      <c r="E517" s="49" t="s">
        <v>1390</v>
      </c>
      <c r="F517" s="50" t="s">
        <v>163</v>
      </c>
      <c r="G517" s="51" t="s">
        <v>1391</v>
      </c>
      <c r="H517" s="53">
        <v>1025</v>
      </c>
      <c r="I517" s="38">
        <v>46215</v>
      </c>
      <c r="J517" s="35">
        <v>46229</v>
      </c>
      <c r="K517" s="36" t="s">
        <v>8</v>
      </c>
    </row>
    <row r="518" spans="4:11" ht="39.75" customHeight="1" x14ac:dyDescent="0.3">
      <c r="D518" s="48" t="s">
        <v>1392</v>
      </c>
      <c r="E518" s="49" t="s">
        <v>1393</v>
      </c>
      <c r="F518" s="50" t="s">
        <v>163</v>
      </c>
      <c r="G518" s="51" t="s">
        <v>1394</v>
      </c>
      <c r="H518" s="53">
        <v>1028</v>
      </c>
      <c r="I518" s="38">
        <v>46215</v>
      </c>
      <c r="J518" s="35">
        <v>46219</v>
      </c>
      <c r="K518" s="36" t="s">
        <v>8</v>
      </c>
    </row>
    <row r="519" spans="4:11" ht="39.75" customHeight="1" x14ac:dyDescent="0.3">
      <c r="D519" s="48" t="s">
        <v>1395</v>
      </c>
      <c r="E519" s="49" t="s">
        <v>1396</v>
      </c>
      <c r="F519" s="50" t="s">
        <v>163</v>
      </c>
      <c r="G519" s="51" t="s">
        <v>1397</v>
      </c>
      <c r="H519" s="53">
        <v>1029</v>
      </c>
      <c r="I519" s="38">
        <v>46215</v>
      </c>
      <c r="J519" s="35">
        <v>46221</v>
      </c>
      <c r="K519" s="36" t="s">
        <v>8</v>
      </c>
    </row>
    <row r="520" spans="4:11" ht="39.75" customHeight="1" x14ac:dyDescent="0.3">
      <c r="D520" s="48" t="s">
        <v>1398</v>
      </c>
      <c r="E520" s="49" t="s">
        <v>1399</v>
      </c>
      <c r="F520" s="50" t="s">
        <v>163</v>
      </c>
      <c r="G520" s="51" t="s">
        <v>1400</v>
      </c>
      <c r="H520" s="53">
        <v>1029</v>
      </c>
      <c r="I520" s="38">
        <v>46215</v>
      </c>
      <c r="J520" s="35">
        <v>46221</v>
      </c>
      <c r="K520" s="36" t="s">
        <v>8</v>
      </c>
    </row>
    <row r="521" spans="4:11" ht="39.75" customHeight="1" x14ac:dyDescent="0.3">
      <c r="D521" s="48" t="s">
        <v>1401</v>
      </c>
      <c r="E521" s="49" t="s">
        <v>1402</v>
      </c>
      <c r="F521" s="50" t="s">
        <v>163</v>
      </c>
      <c r="G521" s="51" t="s">
        <v>1403</v>
      </c>
      <c r="H521" s="53">
        <v>1029</v>
      </c>
      <c r="I521" s="38">
        <v>46215</v>
      </c>
      <c r="J521" s="35">
        <v>46217</v>
      </c>
      <c r="K521" s="36" t="s">
        <v>8</v>
      </c>
    </row>
    <row r="522" spans="4:11" ht="39.75" customHeight="1" x14ac:dyDescent="0.3">
      <c r="D522" s="48" t="s">
        <v>1404</v>
      </c>
      <c r="E522" s="49" t="s">
        <v>1405</v>
      </c>
      <c r="F522" s="50" t="s">
        <v>163</v>
      </c>
      <c r="G522" s="51" t="s">
        <v>1170</v>
      </c>
      <c r="H522" s="53">
        <v>1044</v>
      </c>
      <c r="I522" s="38">
        <v>46215</v>
      </c>
      <c r="J522" s="35">
        <v>46224</v>
      </c>
      <c r="K522" s="36" t="s">
        <v>8</v>
      </c>
    </row>
    <row r="523" spans="4:11" ht="39.75" customHeight="1" x14ac:dyDescent="0.3">
      <c r="D523" s="48" t="s">
        <v>1406</v>
      </c>
      <c r="E523" s="49" t="s">
        <v>1407</v>
      </c>
      <c r="F523" s="50" t="s">
        <v>163</v>
      </c>
      <c r="G523" s="51" t="s">
        <v>887</v>
      </c>
      <c r="H523" s="53">
        <v>1029</v>
      </c>
      <c r="I523" s="38">
        <v>46215</v>
      </c>
      <c r="J523" s="35">
        <v>46218</v>
      </c>
      <c r="K523" s="36" t="s">
        <v>8</v>
      </c>
    </row>
    <row r="524" spans="4:11" ht="39.75" customHeight="1" x14ac:dyDescent="0.3">
      <c r="D524" s="48" t="s">
        <v>1408</v>
      </c>
      <c r="E524" s="49" t="s">
        <v>1409</v>
      </c>
      <c r="F524" s="50" t="s">
        <v>163</v>
      </c>
      <c r="G524" s="51" t="s">
        <v>1292</v>
      </c>
      <c r="H524" s="53">
        <v>1029</v>
      </c>
      <c r="I524" s="38">
        <v>46216</v>
      </c>
      <c r="J524" s="35">
        <v>46218</v>
      </c>
      <c r="K524" s="36" t="s">
        <v>8</v>
      </c>
    </row>
    <row r="525" spans="4:11" ht="39.75" customHeight="1" x14ac:dyDescent="0.3">
      <c r="D525" s="48" t="s">
        <v>1410</v>
      </c>
      <c r="E525" s="49" t="s">
        <v>1411</v>
      </c>
      <c r="F525" s="50" t="s">
        <v>163</v>
      </c>
      <c r="G525" s="51" t="s">
        <v>1412</v>
      </c>
      <c r="H525" s="53">
        <v>1022</v>
      </c>
      <c r="I525" s="38">
        <v>46216</v>
      </c>
      <c r="J525" s="35">
        <v>46237</v>
      </c>
      <c r="K525" s="36" t="s">
        <v>8</v>
      </c>
    </row>
    <row r="526" spans="4:11" ht="39.75" customHeight="1" x14ac:dyDescent="0.3">
      <c r="D526" s="48" t="s">
        <v>1413</v>
      </c>
      <c r="E526" s="49" t="s">
        <v>1414</v>
      </c>
      <c r="F526" s="50" t="s">
        <v>163</v>
      </c>
      <c r="G526" s="51" t="s">
        <v>1292</v>
      </c>
      <c r="H526" s="53">
        <v>1029</v>
      </c>
      <c r="I526" s="38">
        <v>46216</v>
      </c>
      <c r="J526" s="35">
        <v>46224</v>
      </c>
      <c r="K526" s="36" t="s">
        <v>8</v>
      </c>
    </row>
    <row r="527" spans="4:11" ht="39.75" customHeight="1" x14ac:dyDescent="0.3">
      <c r="D527" s="48" t="s">
        <v>1415</v>
      </c>
      <c r="E527" s="49" t="s">
        <v>1416</v>
      </c>
      <c r="F527" s="50" t="s">
        <v>163</v>
      </c>
      <c r="G527" s="51" t="s">
        <v>1417</v>
      </c>
      <c r="H527" s="53">
        <v>1031</v>
      </c>
      <c r="I527" s="38">
        <v>46216</v>
      </c>
      <c r="J527" s="35">
        <v>46218</v>
      </c>
      <c r="K527" s="36" t="s">
        <v>8</v>
      </c>
    </row>
    <row r="528" spans="4:11" ht="39.75" customHeight="1" x14ac:dyDescent="0.3">
      <c r="D528" s="48" t="s">
        <v>1418</v>
      </c>
      <c r="E528" s="49" t="s">
        <v>1419</v>
      </c>
      <c r="F528" s="50" t="s">
        <v>163</v>
      </c>
      <c r="G528" s="51" t="s">
        <v>1313</v>
      </c>
      <c r="H528" s="53">
        <v>1029</v>
      </c>
      <c r="I528" s="38">
        <v>46216</v>
      </c>
      <c r="J528" s="35">
        <v>46221</v>
      </c>
      <c r="K528" s="36" t="s">
        <v>8</v>
      </c>
    </row>
    <row r="529" spans="4:11" ht="39.75" customHeight="1" x14ac:dyDescent="0.3">
      <c r="D529" s="48" t="s">
        <v>1420</v>
      </c>
      <c r="E529" s="49" t="s">
        <v>1421</v>
      </c>
      <c r="F529" s="50" t="s">
        <v>163</v>
      </c>
      <c r="G529" s="51" t="s">
        <v>1422</v>
      </c>
      <c r="H529" s="53">
        <v>1031</v>
      </c>
      <c r="I529" s="38">
        <v>46216</v>
      </c>
      <c r="J529" s="35">
        <v>46231</v>
      </c>
      <c r="K529" s="36" t="s">
        <v>8</v>
      </c>
    </row>
    <row r="530" spans="4:11" ht="39.75" customHeight="1" x14ac:dyDescent="0.3">
      <c r="D530" s="48" t="s">
        <v>1423</v>
      </c>
      <c r="E530" s="49" t="s">
        <v>1424</v>
      </c>
      <c r="F530" s="50" t="s">
        <v>163</v>
      </c>
      <c r="G530" s="51" t="s">
        <v>1425</v>
      </c>
      <c r="H530" s="53">
        <v>1026</v>
      </c>
      <c r="I530" s="38">
        <v>46216</v>
      </c>
      <c r="J530" s="35">
        <v>46218</v>
      </c>
      <c r="K530" s="36" t="s">
        <v>8</v>
      </c>
    </row>
    <row r="531" spans="4:11" ht="39.75" customHeight="1" x14ac:dyDescent="0.3">
      <c r="D531" s="48" t="s">
        <v>1426</v>
      </c>
      <c r="E531" s="49" t="s">
        <v>1427</v>
      </c>
      <c r="F531" s="50" t="s">
        <v>163</v>
      </c>
      <c r="G531" s="51" t="s">
        <v>1428</v>
      </c>
      <c r="H531" s="53">
        <v>1023</v>
      </c>
      <c r="I531" s="38">
        <v>46216</v>
      </c>
      <c r="J531" s="35">
        <v>46219</v>
      </c>
      <c r="K531" s="36" t="s">
        <v>8</v>
      </c>
    </row>
    <row r="532" spans="4:11" ht="39.75" customHeight="1" x14ac:dyDescent="0.3">
      <c r="D532" s="48" t="s">
        <v>1429</v>
      </c>
      <c r="E532" s="49" t="s">
        <v>1430</v>
      </c>
      <c r="F532" s="50" t="s">
        <v>163</v>
      </c>
      <c r="G532" s="51" t="s">
        <v>1431</v>
      </c>
      <c r="H532" s="53">
        <v>1022</v>
      </c>
      <c r="I532" s="38">
        <v>46216</v>
      </c>
      <c r="J532" s="35">
        <v>46221</v>
      </c>
      <c r="K532" s="36" t="s">
        <v>8</v>
      </c>
    </row>
    <row r="533" spans="4:11" ht="39.75" customHeight="1" x14ac:dyDescent="0.3">
      <c r="D533" s="48" t="s">
        <v>1432</v>
      </c>
      <c r="E533" s="49" t="s">
        <v>1433</v>
      </c>
      <c r="F533" s="50" t="s">
        <v>163</v>
      </c>
      <c r="G533" s="51" t="s">
        <v>1434</v>
      </c>
      <c r="H533" s="53">
        <v>1027</v>
      </c>
      <c r="I533" s="38">
        <v>46217</v>
      </c>
      <c r="J533" s="35">
        <v>46224</v>
      </c>
      <c r="K533" s="36" t="s">
        <v>8</v>
      </c>
    </row>
    <row r="534" spans="4:11" ht="39.75" customHeight="1" x14ac:dyDescent="0.3">
      <c r="D534" s="48" t="s">
        <v>1435</v>
      </c>
      <c r="E534" s="49" t="s">
        <v>1436</v>
      </c>
      <c r="F534" s="50" t="s">
        <v>163</v>
      </c>
      <c r="G534" s="51" t="s">
        <v>1400</v>
      </c>
      <c r="H534" s="53">
        <v>1029</v>
      </c>
      <c r="I534" s="38">
        <v>46217</v>
      </c>
      <c r="J534" s="35">
        <v>46218</v>
      </c>
      <c r="K534" s="36" t="s">
        <v>8</v>
      </c>
    </row>
    <row r="535" spans="4:11" ht="39.75" customHeight="1" x14ac:dyDescent="0.3">
      <c r="D535" s="48" t="s">
        <v>1437</v>
      </c>
      <c r="E535" s="49" t="s">
        <v>1438</v>
      </c>
      <c r="F535" s="50" t="s">
        <v>163</v>
      </c>
      <c r="G535" s="51" t="s">
        <v>1439</v>
      </c>
      <c r="H535" s="53">
        <v>1043</v>
      </c>
      <c r="I535" s="38">
        <v>46217</v>
      </c>
      <c r="J535" s="35">
        <v>46225</v>
      </c>
      <c r="K535" s="36" t="s">
        <v>8</v>
      </c>
    </row>
    <row r="536" spans="4:11" ht="39.75" customHeight="1" x14ac:dyDescent="0.3">
      <c r="D536" s="48" t="s">
        <v>1440</v>
      </c>
      <c r="E536" s="49" t="s">
        <v>1441</v>
      </c>
      <c r="F536" s="50" t="s">
        <v>163</v>
      </c>
      <c r="G536" s="51" t="s">
        <v>1442</v>
      </c>
      <c r="H536" s="53">
        <v>1029</v>
      </c>
      <c r="I536" s="38">
        <v>46217</v>
      </c>
      <c r="J536" s="35">
        <v>46221</v>
      </c>
      <c r="K536" s="36" t="s">
        <v>8</v>
      </c>
    </row>
    <row r="537" spans="4:11" ht="39.75" customHeight="1" x14ac:dyDescent="0.3">
      <c r="D537" s="48" t="s">
        <v>1443</v>
      </c>
      <c r="E537" s="49" t="s">
        <v>1444</v>
      </c>
      <c r="F537" s="50" t="s">
        <v>163</v>
      </c>
      <c r="G537" s="51" t="s">
        <v>1313</v>
      </c>
      <c r="H537" s="53">
        <v>1029</v>
      </c>
      <c r="I537" s="38">
        <v>46217</v>
      </c>
      <c r="J537" s="35">
        <v>46221</v>
      </c>
      <c r="K537" s="36" t="s">
        <v>8</v>
      </c>
    </row>
    <row r="538" spans="4:11" ht="39.75" customHeight="1" x14ac:dyDescent="0.3">
      <c r="D538" s="48" t="s">
        <v>1445</v>
      </c>
      <c r="E538" s="49" t="s">
        <v>1446</v>
      </c>
      <c r="F538" s="50" t="s">
        <v>163</v>
      </c>
      <c r="G538" s="51" t="s">
        <v>1447</v>
      </c>
      <c r="H538" s="53">
        <v>1043</v>
      </c>
      <c r="I538" s="38">
        <v>46217</v>
      </c>
      <c r="J538" s="35">
        <v>46221</v>
      </c>
      <c r="K538" s="36" t="s">
        <v>8</v>
      </c>
    </row>
    <row r="539" spans="4:11" ht="39.75" customHeight="1" x14ac:dyDescent="0.3">
      <c r="D539" s="48" t="s">
        <v>1448</v>
      </c>
      <c r="E539" s="49" t="s">
        <v>1449</v>
      </c>
      <c r="F539" s="50" t="s">
        <v>163</v>
      </c>
      <c r="G539" s="51" t="s">
        <v>1450</v>
      </c>
      <c r="H539" s="53">
        <v>1029</v>
      </c>
      <c r="I539" s="38">
        <v>46218</v>
      </c>
      <c r="J539" s="35">
        <v>46230</v>
      </c>
      <c r="K539" s="36" t="s">
        <v>8</v>
      </c>
    </row>
    <row r="540" spans="4:11" ht="39.75" customHeight="1" x14ac:dyDescent="0.3">
      <c r="D540" s="48" t="s">
        <v>1451</v>
      </c>
      <c r="E540" s="49" t="s">
        <v>1452</v>
      </c>
      <c r="F540" s="50" t="s">
        <v>163</v>
      </c>
      <c r="G540" s="51" t="s">
        <v>1453</v>
      </c>
      <c r="H540" s="53">
        <v>1044</v>
      </c>
      <c r="I540" s="38">
        <v>46218</v>
      </c>
      <c r="J540" s="35">
        <v>46229</v>
      </c>
      <c r="K540" s="36" t="s">
        <v>8</v>
      </c>
    </row>
    <row r="541" spans="4:11" ht="39.75" customHeight="1" x14ac:dyDescent="0.3">
      <c r="D541" s="48" t="s">
        <v>1454</v>
      </c>
      <c r="E541" s="49" t="s">
        <v>1455</v>
      </c>
      <c r="F541" s="50" t="s">
        <v>163</v>
      </c>
      <c r="G541" s="51" t="s">
        <v>1456</v>
      </c>
      <c r="H541" s="53">
        <v>1029</v>
      </c>
      <c r="I541" s="38">
        <v>46218</v>
      </c>
      <c r="J541" s="35">
        <v>46232</v>
      </c>
      <c r="K541" s="36" t="s">
        <v>8</v>
      </c>
    </row>
    <row r="542" spans="4:11" ht="39.75" customHeight="1" x14ac:dyDescent="0.3">
      <c r="D542" s="48" t="s">
        <v>1457</v>
      </c>
      <c r="E542" s="49" t="s">
        <v>1458</v>
      </c>
      <c r="F542" s="50" t="s">
        <v>163</v>
      </c>
      <c r="G542" s="51" t="s">
        <v>1459</v>
      </c>
      <c r="H542" s="53">
        <v>1043</v>
      </c>
      <c r="I542" s="38">
        <v>46218</v>
      </c>
      <c r="J542" s="35">
        <v>46224</v>
      </c>
      <c r="K542" s="36" t="s">
        <v>8</v>
      </c>
    </row>
    <row r="543" spans="4:11" ht="39.75" customHeight="1" x14ac:dyDescent="0.3">
      <c r="D543" s="48" t="s">
        <v>1460</v>
      </c>
      <c r="E543" s="49" t="s">
        <v>1461</v>
      </c>
      <c r="F543" s="50" t="s">
        <v>163</v>
      </c>
      <c r="G543" s="51" t="s">
        <v>1462</v>
      </c>
      <c r="H543" s="53">
        <v>1020</v>
      </c>
      <c r="I543" s="38">
        <v>46218</v>
      </c>
      <c r="J543" s="35">
        <v>46225</v>
      </c>
      <c r="K543" s="36" t="s">
        <v>8</v>
      </c>
    </row>
    <row r="544" spans="4:11" ht="39.75" customHeight="1" x14ac:dyDescent="0.3">
      <c r="D544" s="48" t="s">
        <v>1463</v>
      </c>
      <c r="E544" s="49" t="s">
        <v>1464</v>
      </c>
      <c r="F544" s="50" t="s">
        <v>163</v>
      </c>
      <c r="G544" s="51" t="s">
        <v>1465</v>
      </c>
      <c r="H544" s="53">
        <v>1029</v>
      </c>
      <c r="I544" s="38">
        <v>46218</v>
      </c>
      <c r="J544" s="35">
        <v>46225</v>
      </c>
      <c r="K544" s="36" t="s">
        <v>8</v>
      </c>
    </row>
    <row r="545" spans="4:11" ht="39.75" customHeight="1" x14ac:dyDescent="0.3">
      <c r="D545" s="48" t="s">
        <v>1466</v>
      </c>
      <c r="E545" s="49" t="s">
        <v>1467</v>
      </c>
      <c r="F545" s="50" t="s">
        <v>163</v>
      </c>
      <c r="G545" s="51" t="s">
        <v>1468</v>
      </c>
      <c r="H545" s="53">
        <v>1043</v>
      </c>
      <c r="I545" s="38">
        <v>46218</v>
      </c>
      <c r="J545" s="35">
        <v>46224</v>
      </c>
      <c r="K545" s="36" t="s">
        <v>8</v>
      </c>
    </row>
    <row r="546" spans="4:11" ht="39.75" customHeight="1" x14ac:dyDescent="0.3">
      <c r="D546" s="48" t="s">
        <v>1469</v>
      </c>
      <c r="E546" s="49" t="s">
        <v>1470</v>
      </c>
      <c r="F546" s="50" t="s">
        <v>163</v>
      </c>
      <c r="G546" s="51" t="s">
        <v>1471</v>
      </c>
      <c r="H546" s="53">
        <v>1024</v>
      </c>
      <c r="I546" s="38">
        <v>46218</v>
      </c>
      <c r="J546" s="35">
        <v>46219</v>
      </c>
      <c r="K546" s="36" t="s">
        <v>8</v>
      </c>
    </row>
    <row r="547" spans="4:11" ht="39.75" customHeight="1" x14ac:dyDescent="0.3">
      <c r="D547" s="48" t="s">
        <v>1472</v>
      </c>
      <c r="E547" s="49" t="s">
        <v>1473</v>
      </c>
      <c r="F547" s="50" t="s">
        <v>163</v>
      </c>
      <c r="G547" s="51" t="s">
        <v>1474</v>
      </c>
      <c r="H547" s="53">
        <v>1026</v>
      </c>
      <c r="I547" s="38">
        <v>46218</v>
      </c>
      <c r="J547" s="35">
        <v>46219</v>
      </c>
      <c r="K547" s="36" t="s">
        <v>8</v>
      </c>
    </row>
    <row r="548" spans="4:11" ht="39.75" customHeight="1" x14ac:dyDescent="0.3">
      <c r="D548" s="48" t="s">
        <v>1475</v>
      </c>
      <c r="E548" s="49" t="s">
        <v>1476</v>
      </c>
      <c r="F548" s="50" t="s">
        <v>163</v>
      </c>
      <c r="G548" s="51" t="s">
        <v>1477</v>
      </c>
      <c r="H548" s="53">
        <v>1024</v>
      </c>
      <c r="I548" s="38">
        <v>46218</v>
      </c>
      <c r="J548" s="35">
        <v>46225</v>
      </c>
      <c r="K548" s="36" t="s">
        <v>8</v>
      </c>
    </row>
    <row r="549" spans="4:11" ht="39.75" customHeight="1" x14ac:dyDescent="0.3">
      <c r="D549" s="48" t="s">
        <v>1478</v>
      </c>
      <c r="E549" s="49" t="s">
        <v>1479</v>
      </c>
      <c r="F549" s="50" t="s">
        <v>163</v>
      </c>
      <c r="G549" s="51" t="s">
        <v>1480</v>
      </c>
      <c r="H549" s="53">
        <v>1029</v>
      </c>
      <c r="I549" s="38">
        <v>46218</v>
      </c>
      <c r="J549" s="35">
        <v>46221</v>
      </c>
      <c r="K549" s="36" t="s">
        <v>8</v>
      </c>
    </row>
    <row r="550" spans="4:11" ht="39.75" customHeight="1" x14ac:dyDescent="0.3">
      <c r="D550" s="48" t="s">
        <v>1481</v>
      </c>
      <c r="E550" s="49" t="s">
        <v>1482</v>
      </c>
      <c r="F550" s="50" t="s">
        <v>163</v>
      </c>
      <c r="G550" s="51" t="s">
        <v>1483</v>
      </c>
      <c r="H550" s="53">
        <v>1027</v>
      </c>
      <c r="I550" s="38">
        <v>46219</v>
      </c>
      <c r="J550" s="35">
        <v>46225</v>
      </c>
      <c r="K550" s="36" t="s">
        <v>8</v>
      </c>
    </row>
    <row r="551" spans="4:11" ht="39.75" customHeight="1" x14ac:dyDescent="0.3">
      <c r="D551" s="48" t="s">
        <v>1484</v>
      </c>
      <c r="E551" s="49" t="s">
        <v>1485</v>
      </c>
      <c r="F551" s="50" t="s">
        <v>163</v>
      </c>
      <c r="G551" s="51" t="s">
        <v>1308</v>
      </c>
      <c r="H551" s="53">
        <v>1024</v>
      </c>
      <c r="I551" s="38">
        <v>46219</v>
      </c>
      <c r="J551" s="35">
        <v>46222</v>
      </c>
      <c r="K551" s="36" t="s">
        <v>8</v>
      </c>
    </row>
    <row r="552" spans="4:11" ht="39.75" customHeight="1" x14ac:dyDescent="0.3">
      <c r="D552" s="48" t="s">
        <v>1486</v>
      </c>
      <c r="E552" s="49" t="s">
        <v>1487</v>
      </c>
      <c r="F552" s="50" t="s">
        <v>163</v>
      </c>
      <c r="G552" s="51" t="s">
        <v>1488</v>
      </c>
      <c r="H552" s="53">
        <v>1026</v>
      </c>
      <c r="I552" s="38">
        <v>46219</v>
      </c>
      <c r="J552" s="35">
        <v>46219</v>
      </c>
      <c r="K552" s="36" t="s">
        <v>8</v>
      </c>
    </row>
    <row r="553" spans="4:11" ht="39.75" customHeight="1" x14ac:dyDescent="0.3">
      <c r="D553" s="48" t="s">
        <v>1489</v>
      </c>
      <c r="E553" s="49" t="s">
        <v>1490</v>
      </c>
      <c r="F553" s="50" t="s">
        <v>163</v>
      </c>
      <c r="G553" s="51" t="s">
        <v>1491</v>
      </c>
      <c r="H553" s="53">
        <v>1026</v>
      </c>
      <c r="I553" s="38">
        <v>46219</v>
      </c>
      <c r="J553" s="35">
        <v>46219</v>
      </c>
      <c r="K553" s="36" t="s">
        <v>8</v>
      </c>
    </row>
    <row r="554" spans="4:11" ht="39.75" customHeight="1" x14ac:dyDescent="0.3">
      <c r="D554" s="48" t="s">
        <v>1492</v>
      </c>
      <c r="E554" s="49" t="s">
        <v>1493</v>
      </c>
      <c r="F554" s="50" t="s">
        <v>163</v>
      </c>
      <c r="G554" s="51" t="s">
        <v>912</v>
      </c>
      <c r="H554" s="53">
        <v>1021</v>
      </c>
      <c r="I554" s="38">
        <v>46219</v>
      </c>
      <c r="J554" s="35">
        <v>46224</v>
      </c>
      <c r="K554" s="36" t="s">
        <v>8</v>
      </c>
    </row>
    <row r="555" spans="4:11" ht="39.75" customHeight="1" x14ac:dyDescent="0.3">
      <c r="D555" s="48" t="s">
        <v>1494</v>
      </c>
      <c r="E555" s="49" t="s">
        <v>1495</v>
      </c>
      <c r="F555" s="50" t="s">
        <v>163</v>
      </c>
      <c r="G555" s="51" t="s">
        <v>1496</v>
      </c>
      <c r="H555" s="53">
        <v>1044</v>
      </c>
      <c r="I555" s="38">
        <v>46219</v>
      </c>
      <c r="J555" s="35">
        <v>46231</v>
      </c>
      <c r="K555" s="36" t="s">
        <v>8</v>
      </c>
    </row>
    <row r="556" spans="4:11" ht="39.75" customHeight="1" x14ac:dyDescent="0.3">
      <c r="D556" s="48" t="s">
        <v>1497</v>
      </c>
      <c r="E556" s="49" t="s">
        <v>1498</v>
      </c>
      <c r="F556" s="50" t="s">
        <v>163</v>
      </c>
      <c r="G556" s="51" t="s">
        <v>1499</v>
      </c>
      <c r="H556" s="53">
        <v>1022</v>
      </c>
      <c r="I556" s="38">
        <v>46222</v>
      </c>
      <c r="J556" s="35">
        <v>46225</v>
      </c>
      <c r="K556" s="36" t="s">
        <v>8</v>
      </c>
    </row>
    <row r="557" spans="4:11" ht="39.75" customHeight="1" x14ac:dyDescent="0.3">
      <c r="D557" s="48" t="s">
        <v>1500</v>
      </c>
      <c r="E557" s="49" t="s">
        <v>1501</v>
      </c>
      <c r="F557" s="50" t="s">
        <v>163</v>
      </c>
      <c r="G557" s="51" t="s">
        <v>1502</v>
      </c>
      <c r="H557" s="53">
        <v>1022</v>
      </c>
      <c r="I557" s="38">
        <v>46222</v>
      </c>
      <c r="J557" s="35">
        <v>46225</v>
      </c>
      <c r="K557" s="36" t="s">
        <v>8</v>
      </c>
    </row>
    <row r="558" spans="4:11" ht="39.75" customHeight="1" x14ac:dyDescent="0.3">
      <c r="D558" s="48" t="s">
        <v>1503</v>
      </c>
      <c r="E558" s="49" t="s">
        <v>1504</v>
      </c>
      <c r="F558" s="50" t="s">
        <v>163</v>
      </c>
      <c r="G558" s="51" t="s">
        <v>1505</v>
      </c>
      <c r="H558" s="53">
        <v>1022</v>
      </c>
      <c r="I558" s="38">
        <v>46222</v>
      </c>
      <c r="J558" s="35">
        <v>46225</v>
      </c>
      <c r="K558" s="36" t="s">
        <v>8</v>
      </c>
    </row>
    <row r="559" spans="4:11" ht="39.75" customHeight="1" x14ac:dyDescent="0.3">
      <c r="D559" s="48" t="s">
        <v>1506</v>
      </c>
      <c r="E559" s="49" t="s">
        <v>1507</v>
      </c>
      <c r="F559" s="50" t="s">
        <v>163</v>
      </c>
      <c r="G559" s="51" t="s">
        <v>538</v>
      </c>
      <c r="H559" s="53">
        <v>1022</v>
      </c>
      <c r="I559" s="38">
        <v>46222</v>
      </c>
      <c r="J559" s="35">
        <v>46225</v>
      </c>
      <c r="K559" s="36" t="s">
        <v>8</v>
      </c>
    </row>
    <row r="560" spans="4:11" ht="39.75" customHeight="1" x14ac:dyDescent="0.3">
      <c r="D560" s="48" t="s">
        <v>1508</v>
      </c>
      <c r="E560" s="49" t="s">
        <v>1509</v>
      </c>
      <c r="F560" s="50" t="s">
        <v>163</v>
      </c>
      <c r="G560" s="51" t="s">
        <v>1510</v>
      </c>
      <c r="H560" s="53">
        <v>1024</v>
      </c>
      <c r="I560" s="38">
        <v>46222</v>
      </c>
      <c r="J560" s="35">
        <v>46229</v>
      </c>
      <c r="K560" s="36" t="s">
        <v>8</v>
      </c>
    </row>
    <row r="561" spans="4:11" ht="39.75" customHeight="1" x14ac:dyDescent="0.3">
      <c r="D561" s="48" t="s">
        <v>1511</v>
      </c>
      <c r="E561" s="49" t="s">
        <v>1512</v>
      </c>
      <c r="F561" s="50" t="s">
        <v>163</v>
      </c>
      <c r="G561" s="51" t="s">
        <v>1513</v>
      </c>
      <c r="H561" s="53">
        <v>1029</v>
      </c>
      <c r="I561" s="38">
        <v>46222</v>
      </c>
      <c r="J561" s="35">
        <v>46225</v>
      </c>
      <c r="K561" s="36" t="s">
        <v>8</v>
      </c>
    </row>
    <row r="562" spans="4:11" ht="39.75" customHeight="1" x14ac:dyDescent="0.3">
      <c r="D562" s="48" t="s">
        <v>1514</v>
      </c>
      <c r="E562" s="49" t="s">
        <v>1515</v>
      </c>
      <c r="F562" s="50" t="s">
        <v>163</v>
      </c>
      <c r="G562" s="51" t="s">
        <v>1287</v>
      </c>
      <c r="H562" s="53">
        <v>1029</v>
      </c>
      <c r="I562" s="38">
        <v>46222</v>
      </c>
      <c r="J562" s="35">
        <v>46230</v>
      </c>
      <c r="K562" s="36" t="s">
        <v>8</v>
      </c>
    </row>
    <row r="563" spans="4:11" ht="39.75" customHeight="1" x14ac:dyDescent="0.3">
      <c r="D563" s="48" t="s">
        <v>1516</v>
      </c>
      <c r="E563" s="49" t="s">
        <v>1517</v>
      </c>
      <c r="F563" s="50" t="s">
        <v>163</v>
      </c>
      <c r="G563" s="51" t="s">
        <v>1518</v>
      </c>
      <c r="H563" s="53">
        <v>1029</v>
      </c>
      <c r="I563" s="38">
        <v>46223</v>
      </c>
      <c r="J563" s="35">
        <v>46231</v>
      </c>
      <c r="K563" s="36" t="s">
        <v>8</v>
      </c>
    </row>
    <row r="564" spans="4:11" ht="39.75" customHeight="1" x14ac:dyDescent="0.3">
      <c r="D564" s="48" t="s">
        <v>1519</v>
      </c>
      <c r="E564" s="49" t="s">
        <v>1520</v>
      </c>
      <c r="F564" s="50" t="s">
        <v>163</v>
      </c>
      <c r="G564" s="51" t="s">
        <v>1521</v>
      </c>
      <c r="H564" s="53">
        <v>1024</v>
      </c>
      <c r="I564" s="38">
        <v>46223</v>
      </c>
      <c r="J564" s="35">
        <v>46229</v>
      </c>
      <c r="K564" s="36" t="s">
        <v>8</v>
      </c>
    </row>
    <row r="565" spans="4:11" ht="39.75" customHeight="1" x14ac:dyDescent="0.3">
      <c r="D565" s="48" t="s">
        <v>1522</v>
      </c>
      <c r="E565" s="49" t="s">
        <v>1523</v>
      </c>
      <c r="F565" s="50" t="s">
        <v>163</v>
      </c>
      <c r="G565" s="51" t="s">
        <v>1524</v>
      </c>
      <c r="H565" s="53">
        <v>1029</v>
      </c>
      <c r="I565" s="38">
        <v>46223</v>
      </c>
      <c r="J565" s="35">
        <v>46231</v>
      </c>
      <c r="K565" s="36" t="s">
        <v>8</v>
      </c>
    </row>
    <row r="566" spans="4:11" ht="39.75" customHeight="1" x14ac:dyDescent="0.3">
      <c r="D566" s="48" t="s">
        <v>1525</v>
      </c>
      <c r="E566" s="49" t="s">
        <v>1526</v>
      </c>
      <c r="F566" s="50" t="s">
        <v>163</v>
      </c>
      <c r="G566" s="51" t="s">
        <v>1527</v>
      </c>
      <c r="H566" s="53">
        <v>1024</v>
      </c>
      <c r="I566" s="38">
        <v>46223</v>
      </c>
      <c r="J566" s="35">
        <v>46229</v>
      </c>
      <c r="K566" s="36" t="s">
        <v>8</v>
      </c>
    </row>
    <row r="567" spans="4:11" ht="39.75" customHeight="1" x14ac:dyDescent="0.3">
      <c r="D567" s="48" t="s">
        <v>1528</v>
      </c>
      <c r="E567" s="49" t="s">
        <v>1529</v>
      </c>
      <c r="F567" s="50" t="s">
        <v>163</v>
      </c>
      <c r="G567" s="51" t="s">
        <v>1530</v>
      </c>
      <c r="H567" s="53">
        <v>1022</v>
      </c>
      <c r="I567" s="38">
        <v>46223</v>
      </c>
      <c r="J567" s="35">
        <v>46231</v>
      </c>
      <c r="K567" s="36" t="s">
        <v>8</v>
      </c>
    </row>
    <row r="568" spans="4:11" ht="39.75" customHeight="1" x14ac:dyDescent="0.3">
      <c r="D568" s="48" t="s">
        <v>1531</v>
      </c>
      <c r="E568" s="49" t="s">
        <v>1532</v>
      </c>
      <c r="F568" s="50" t="s">
        <v>163</v>
      </c>
      <c r="G568" s="51" t="s">
        <v>1533</v>
      </c>
      <c r="H568" s="53">
        <v>1022</v>
      </c>
      <c r="I568" s="38">
        <v>46224</v>
      </c>
      <c r="J568" s="35">
        <v>46229</v>
      </c>
      <c r="K568" s="36" t="s">
        <v>8</v>
      </c>
    </row>
    <row r="569" spans="4:11" ht="39.75" customHeight="1" x14ac:dyDescent="0.3">
      <c r="D569" s="48" t="s">
        <v>1534</v>
      </c>
      <c r="E569" s="49" t="s">
        <v>1535</v>
      </c>
      <c r="F569" s="50" t="s">
        <v>163</v>
      </c>
      <c r="G569" s="51" t="s">
        <v>1536</v>
      </c>
      <c r="H569" s="53">
        <v>1022</v>
      </c>
      <c r="I569" s="38">
        <v>46224</v>
      </c>
      <c r="J569" s="35">
        <v>46230</v>
      </c>
      <c r="K569" s="36" t="s">
        <v>8</v>
      </c>
    </row>
    <row r="570" spans="4:11" ht="39.75" customHeight="1" x14ac:dyDescent="0.3">
      <c r="D570" s="48" t="s">
        <v>1537</v>
      </c>
      <c r="E570" s="49" t="s">
        <v>1538</v>
      </c>
      <c r="F570" s="50" t="s">
        <v>163</v>
      </c>
      <c r="G570" s="51" t="s">
        <v>1539</v>
      </c>
      <c r="H570" s="53">
        <v>1024</v>
      </c>
      <c r="I570" s="38">
        <v>46224</v>
      </c>
      <c r="J570" s="35">
        <v>46229</v>
      </c>
      <c r="K570" s="36" t="s">
        <v>8</v>
      </c>
    </row>
    <row r="571" spans="4:11" ht="39.75" customHeight="1" x14ac:dyDescent="0.3">
      <c r="D571" s="48" t="s">
        <v>1540</v>
      </c>
      <c r="E571" s="49" t="s">
        <v>1541</v>
      </c>
      <c r="F571" s="50" t="s">
        <v>163</v>
      </c>
      <c r="G571" s="51" t="s">
        <v>1313</v>
      </c>
      <c r="H571" s="53">
        <v>1029</v>
      </c>
      <c r="I571" s="38">
        <v>46224</v>
      </c>
      <c r="J571" s="35">
        <v>46232</v>
      </c>
      <c r="K571" s="36" t="s">
        <v>8</v>
      </c>
    </row>
    <row r="572" spans="4:11" ht="39.75" customHeight="1" x14ac:dyDescent="0.3">
      <c r="D572" s="48" t="s">
        <v>1542</v>
      </c>
      <c r="E572" s="49" t="s">
        <v>1543</v>
      </c>
      <c r="F572" s="50" t="s">
        <v>163</v>
      </c>
      <c r="G572" s="51" t="s">
        <v>1544</v>
      </c>
      <c r="H572" s="53">
        <v>1029</v>
      </c>
      <c r="I572" s="38">
        <v>46224</v>
      </c>
      <c r="J572" s="35">
        <v>46231</v>
      </c>
      <c r="K572" s="36" t="s">
        <v>8</v>
      </c>
    </row>
    <row r="573" spans="4:11" ht="39.75" customHeight="1" x14ac:dyDescent="0.3">
      <c r="D573" s="48" t="s">
        <v>1545</v>
      </c>
      <c r="E573" s="49" t="s">
        <v>1546</v>
      </c>
      <c r="F573" s="50" t="s">
        <v>163</v>
      </c>
      <c r="G573" s="51" t="s">
        <v>1313</v>
      </c>
      <c r="H573" s="53">
        <v>1029</v>
      </c>
      <c r="I573" s="38">
        <v>46224</v>
      </c>
      <c r="J573" s="35">
        <v>46231</v>
      </c>
      <c r="K573" s="36" t="s">
        <v>8</v>
      </c>
    </row>
    <row r="574" spans="4:11" ht="39.75" customHeight="1" x14ac:dyDescent="0.3">
      <c r="D574" s="48" t="s">
        <v>1547</v>
      </c>
      <c r="E574" s="49" t="s">
        <v>1548</v>
      </c>
      <c r="F574" s="50" t="s">
        <v>163</v>
      </c>
      <c r="G574" s="51" t="s">
        <v>1549</v>
      </c>
      <c r="H574" s="53">
        <v>1029</v>
      </c>
      <c r="I574" s="38">
        <v>46224</v>
      </c>
      <c r="J574" s="35">
        <v>46230</v>
      </c>
      <c r="K574" s="36" t="s">
        <v>8</v>
      </c>
    </row>
    <row r="575" spans="4:11" ht="39.75" customHeight="1" x14ac:dyDescent="0.3">
      <c r="D575" s="48" t="s">
        <v>1550</v>
      </c>
      <c r="E575" s="49" t="s">
        <v>1551</v>
      </c>
      <c r="F575" s="50" t="s">
        <v>163</v>
      </c>
      <c r="G575" s="51" t="s">
        <v>1552</v>
      </c>
      <c r="H575" s="53">
        <v>1029</v>
      </c>
      <c r="I575" s="38">
        <v>46225</v>
      </c>
      <c r="J575" s="35">
        <v>46231</v>
      </c>
      <c r="K575" s="36" t="s">
        <v>8</v>
      </c>
    </row>
    <row r="576" spans="4:11" ht="39.75" customHeight="1" x14ac:dyDescent="0.3">
      <c r="D576" s="48" t="s">
        <v>1553</v>
      </c>
      <c r="E576" s="49" t="s">
        <v>1554</v>
      </c>
      <c r="F576" s="50" t="s">
        <v>163</v>
      </c>
      <c r="G576" s="51" t="s">
        <v>1555</v>
      </c>
      <c r="H576" s="53">
        <v>1036</v>
      </c>
      <c r="I576" s="38">
        <v>46225</v>
      </c>
      <c r="J576" s="35">
        <v>46229</v>
      </c>
      <c r="K576" s="36" t="s">
        <v>8</v>
      </c>
    </row>
    <row r="577" spans="4:11" ht="39.75" customHeight="1" x14ac:dyDescent="0.3">
      <c r="D577" s="48" t="s">
        <v>1556</v>
      </c>
      <c r="E577" s="49" t="s">
        <v>1557</v>
      </c>
      <c r="F577" s="50" t="s">
        <v>163</v>
      </c>
      <c r="G577" s="51" t="s">
        <v>1558</v>
      </c>
      <c r="H577" s="53">
        <v>1029</v>
      </c>
      <c r="I577" s="38">
        <v>46225</v>
      </c>
      <c r="J577" s="35">
        <v>46230</v>
      </c>
      <c r="K577" s="36" t="s">
        <v>8</v>
      </c>
    </row>
    <row r="578" spans="4:11" ht="39.75" customHeight="1" x14ac:dyDescent="0.3">
      <c r="D578" s="48" t="s">
        <v>1559</v>
      </c>
      <c r="E578" s="49" t="s">
        <v>1560</v>
      </c>
      <c r="F578" s="50" t="s">
        <v>163</v>
      </c>
      <c r="G578" s="51" t="s">
        <v>1203</v>
      </c>
      <c r="H578" s="53">
        <v>1022</v>
      </c>
      <c r="I578" s="38">
        <v>46225</v>
      </c>
      <c r="J578" s="35">
        <v>46236</v>
      </c>
      <c r="K578" s="36" t="s">
        <v>8</v>
      </c>
    </row>
    <row r="579" spans="4:11" ht="39.75" customHeight="1" x14ac:dyDescent="0.3">
      <c r="D579" s="48" t="s">
        <v>1561</v>
      </c>
      <c r="E579" s="49" t="s">
        <v>1562</v>
      </c>
      <c r="F579" s="50" t="s">
        <v>163</v>
      </c>
      <c r="G579" s="51" t="s">
        <v>1563</v>
      </c>
      <c r="H579" s="53">
        <v>1024</v>
      </c>
      <c r="I579" s="38">
        <v>46225</v>
      </c>
      <c r="J579" s="35">
        <v>46229</v>
      </c>
      <c r="K579" s="36" t="s">
        <v>8</v>
      </c>
    </row>
    <row r="580" spans="4:11" ht="39.75" customHeight="1" x14ac:dyDescent="0.3">
      <c r="D580" s="48" t="s">
        <v>1564</v>
      </c>
      <c r="E580" s="49" t="s">
        <v>1565</v>
      </c>
      <c r="F580" s="50" t="s">
        <v>163</v>
      </c>
      <c r="G580" s="51" t="s">
        <v>1566</v>
      </c>
      <c r="H580" s="53">
        <v>1036</v>
      </c>
      <c r="I580" s="38">
        <v>46225</v>
      </c>
      <c r="J580" s="35">
        <v>46229</v>
      </c>
      <c r="K580" s="36" t="s">
        <v>8</v>
      </c>
    </row>
    <row r="581" spans="4:11" ht="39.75" customHeight="1" x14ac:dyDescent="0.3">
      <c r="D581" s="48" t="s">
        <v>1567</v>
      </c>
      <c r="E581" s="49" t="s">
        <v>1568</v>
      </c>
      <c r="F581" s="50" t="s">
        <v>163</v>
      </c>
      <c r="G581" s="51" t="s">
        <v>1569</v>
      </c>
      <c r="H581" s="53">
        <v>1022</v>
      </c>
      <c r="I581" s="38">
        <v>46225</v>
      </c>
      <c r="J581" s="35">
        <v>46239</v>
      </c>
      <c r="K581" s="36" t="s">
        <v>8</v>
      </c>
    </row>
    <row r="582" spans="4:11" ht="39.75" customHeight="1" x14ac:dyDescent="0.3">
      <c r="D582" s="48" t="s">
        <v>1570</v>
      </c>
      <c r="E582" s="49" t="s">
        <v>1571</v>
      </c>
      <c r="F582" s="50" t="s">
        <v>163</v>
      </c>
      <c r="G582" s="51" t="s">
        <v>1572</v>
      </c>
      <c r="H582" s="53">
        <v>1060</v>
      </c>
      <c r="I582" s="38">
        <v>46225</v>
      </c>
      <c r="J582" s="35">
        <v>46232</v>
      </c>
      <c r="K582" s="36" t="s">
        <v>8</v>
      </c>
    </row>
    <row r="583" spans="4:11" ht="39.75" customHeight="1" x14ac:dyDescent="0.3">
      <c r="D583" s="48" t="s">
        <v>1573</v>
      </c>
      <c r="E583" s="49" t="s">
        <v>1574</v>
      </c>
      <c r="F583" s="50" t="s">
        <v>163</v>
      </c>
      <c r="G583" s="51" t="s">
        <v>1575</v>
      </c>
      <c r="H583" s="53">
        <v>1060</v>
      </c>
      <c r="I583" s="38">
        <v>46225</v>
      </c>
      <c r="J583" s="35">
        <v>46232</v>
      </c>
      <c r="K583" s="36" t="s">
        <v>8</v>
      </c>
    </row>
    <row r="584" spans="4:11" ht="39.75" customHeight="1" x14ac:dyDescent="0.3">
      <c r="D584" s="48" t="s">
        <v>1576</v>
      </c>
      <c r="E584" s="49" t="s">
        <v>1577</v>
      </c>
      <c r="F584" s="50" t="s">
        <v>163</v>
      </c>
      <c r="G584" s="51" t="s">
        <v>1578</v>
      </c>
      <c r="H584" s="53">
        <v>1060</v>
      </c>
      <c r="I584" s="38">
        <v>46225</v>
      </c>
      <c r="J584" s="35">
        <v>46232</v>
      </c>
      <c r="K584" s="36" t="s">
        <v>8</v>
      </c>
    </row>
    <row r="585" spans="4:11" ht="39.75" customHeight="1" x14ac:dyDescent="0.3">
      <c r="D585" s="48" t="s">
        <v>1579</v>
      </c>
      <c r="E585" s="49" t="s">
        <v>1580</v>
      </c>
      <c r="F585" s="50" t="s">
        <v>163</v>
      </c>
      <c r="G585" s="51" t="s">
        <v>1581</v>
      </c>
      <c r="H585" s="53">
        <v>1029</v>
      </c>
      <c r="I585" s="38">
        <v>46226</v>
      </c>
      <c r="J585" s="35">
        <v>46231</v>
      </c>
      <c r="K585" s="36" t="s">
        <v>8</v>
      </c>
    </row>
    <row r="586" spans="4:11" ht="39.75" customHeight="1" x14ac:dyDescent="0.3">
      <c r="D586" s="48" t="s">
        <v>1582</v>
      </c>
      <c r="E586" s="49" t="s">
        <v>1583</v>
      </c>
      <c r="F586" s="50" t="s">
        <v>163</v>
      </c>
      <c r="G586" s="51" t="s">
        <v>1431</v>
      </c>
      <c r="H586" s="53">
        <v>1022</v>
      </c>
      <c r="I586" s="38">
        <v>46229</v>
      </c>
      <c r="J586" s="35">
        <v>46231</v>
      </c>
      <c r="K586" s="36" t="s">
        <v>8</v>
      </c>
    </row>
    <row r="587" spans="4:11" ht="39.75" customHeight="1" x14ac:dyDescent="0.3">
      <c r="D587" s="48" t="s">
        <v>1584</v>
      </c>
      <c r="E587" s="49" t="s">
        <v>1585</v>
      </c>
      <c r="F587" s="50" t="s">
        <v>163</v>
      </c>
      <c r="G587" s="51" t="s">
        <v>1586</v>
      </c>
      <c r="H587" s="53">
        <v>1029</v>
      </c>
      <c r="I587" s="38">
        <v>46229</v>
      </c>
      <c r="J587" s="35">
        <v>46232</v>
      </c>
      <c r="K587" s="36" t="s">
        <v>8</v>
      </c>
    </row>
    <row r="588" spans="4:11" ht="39.75" customHeight="1" x14ac:dyDescent="0.3">
      <c r="D588" s="48" t="s">
        <v>1587</v>
      </c>
      <c r="E588" s="49" t="s">
        <v>1588</v>
      </c>
      <c r="F588" s="50" t="s">
        <v>163</v>
      </c>
      <c r="G588" s="51" t="s">
        <v>1589</v>
      </c>
      <c r="H588" s="53">
        <v>1060</v>
      </c>
      <c r="I588" s="38">
        <v>46229</v>
      </c>
      <c r="J588" s="35">
        <v>46232</v>
      </c>
      <c r="K588" s="36" t="s">
        <v>8</v>
      </c>
    </row>
    <row r="589" spans="4:11" ht="39.75" customHeight="1" x14ac:dyDescent="0.3">
      <c r="D589" s="48" t="s">
        <v>1590</v>
      </c>
      <c r="E589" s="49" t="s">
        <v>1591</v>
      </c>
      <c r="F589" s="50" t="s">
        <v>163</v>
      </c>
      <c r="G589" s="51" t="s">
        <v>1592</v>
      </c>
      <c r="H589" s="53">
        <v>1043</v>
      </c>
      <c r="I589" s="38">
        <v>46229</v>
      </c>
      <c r="J589" s="35">
        <v>46245</v>
      </c>
      <c r="K589" s="36" t="s">
        <v>8</v>
      </c>
    </row>
    <row r="590" spans="4:11" ht="39.75" customHeight="1" x14ac:dyDescent="0.3">
      <c r="D590" s="48" t="s">
        <v>1593</v>
      </c>
      <c r="E590" s="49" t="s">
        <v>1594</v>
      </c>
      <c r="F590" s="50" t="s">
        <v>163</v>
      </c>
      <c r="G590" s="51" t="s">
        <v>1595</v>
      </c>
      <c r="H590" s="53">
        <v>1024</v>
      </c>
      <c r="I590" s="38">
        <v>46229</v>
      </c>
      <c r="J590" s="35">
        <v>46232</v>
      </c>
      <c r="K590" s="36" t="s">
        <v>8</v>
      </c>
    </row>
    <row r="591" spans="4:11" ht="39.75" customHeight="1" x14ac:dyDescent="0.3">
      <c r="D591" s="48" t="s">
        <v>1596</v>
      </c>
      <c r="E591" s="49" t="s">
        <v>1597</v>
      </c>
      <c r="F591" s="50" t="s">
        <v>163</v>
      </c>
      <c r="G591" s="51" t="s">
        <v>1530</v>
      </c>
      <c r="H591" s="53">
        <v>1022</v>
      </c>
      <c r="I591" s="38">
        <v>46230</v>
      </c>
      <c r="J591" s="35">
        <v>46240</v>
      </c>
      <c r="K591" s="36" t="s">
        <v>8</v>
      </c>
    </row>
    <row r="592" spans="4:11" ht="39.75" customHeight="1" x14ac:dyDescent="0.3">
      <c r="D592" s="48" t="s">
        <v>1598</v>
      </c>
      <c r="E592" s="49" t="s">
        <v>1599</v>
      </c>
      <c r="F592" s="50" t="s">
        <v>163</v>
      </c>
      <c r="G592" s="51" t="s">
        <v>1600</v>
      </c>
      <c r="H592" s="53">
        <v>1029</v>
      </c>
      <c r="I592" s="38">
        <v>46230</v>
      </c>
      <c r="J592" s="35">
        <v>46232</v>
      </c>
      <c r="K592" s="36" t="s">
        <v>8</v>
      </c>
    </row>
    <row r="593" spans="4:11" ht="39.75" customHeight="1" x14ac:dyDescent="0.3">
      <c r="D593" s="48" t="s">
        <v>1601</v>
      </c>
      <c r="E593" s="49" t="s">
        <v>1602</v>
      </c>
      <c r="F593" s="50" t="s">
        <v>163</v>
      </c>
      <c r="G593" s="51" t="s">
        <v>1603</v>
      </c>
      <c r="H593" s="53">
        <v>1021</v>
      </c>
      <c r="I593" s="38">
        <v>46230</v>
      </c>
      <c r="J593" s="35">
        <v>46239</v>
      </c>
      <c r="K593" s="36" t="s">
        <v>8</v>
      </c>
    </row>
    <row r="594" spans="4:11" ht="39.75" customHeight="1" x14ac:dyDescent="0.3">
      <c r="D594" s="48" t="s">
        <v>1604</v>
      </c>
      <c r="E594" s="49" t="s">
        <v>1605</v>
      </c>
      <c r="F594" s="50" t="s">
        <v>163</v>
      </c>
      <c r="G594" s="51" t="s">
        <v>1606</v>
      </c>
      <c r="H594" s="53">
        <v>1026</v>
      </c>
      <c r="I594" s="38">
        <v>46230</v>
      </c>
      <c r="J594" s="35">
        <v>46232</v>
      </c>
      <c r="K594" s="36" t="s">
        <v>8</v>
      </c>
    </row>
    <row r="595" spans="4:11" ht="39.75" customHeight="1" x14ac:dyDescent="0.3">
      <c r="D595" s="48" t="s">
        <v>1607</v>
      </c>
      <c r="E595" s="49" t="s">
        <v>1608</v>
      </c>
      <c r="F595" s="50" t="s">
        <v>163</v>
      </c>
      <c r="G595" s="51" t="s">
        <v>1609</v>
      </c>
      <c r="H595" s="53">
        <v>1029</v>
      </c>
      <c r="I595" s="38">
        <v>46230</v>
      </c>
      <c r="J595" s="35">
        <v>46232</v>
      </c>
      <c r="K595" s="36" t="s">
        <v>8</v>
      </c>
    </row>
    <row r="596" spans="4:11" ht="39.75" customHeight="1" x14ac:dyDescent="0.3">
      <c r="D596" s="48" t="s">
        <v>1610</v>
      </c>
      <c r="E596" s="49" t="s">
        <v>1611</v>
      </c>
      <c r="F596" s="50" t="s">
        <v>163</v>
      </c>
      <c r="G596" s="51" t="s">
        <v>1510</v>
      </c>
      <c r="H596" s="53">
        <v>1024</v>
      </c>
      <c r="I596" s="38">
        <v>46230</v>
      </c>
      <c r="J596" s="35">
        <v>46232</v>
      </c>
      <c r="K596" s="36" t="s">
        <v>8</v>
      </c>
    </row>
    <row r="597" spans="4:11" ht="39.75" customHeight="1" x14ac:dyDescent="0.3">
      <c r="D597" s="48" t="s">
        <v>1612</v>
      </c>
      <c r="E597" s="49" t="s">
        <v>1613</v>
      </c>
      <c r="F597" s="50" t="s">
        <v>163</v>
      </c>
      <c r="G597" s="51" t="s">
        <v>1614</v>
      </c>
      <c r="H597" s="53">
        <v>1027</v>
      </c>
      <c r="I597" s="38">
        <v>46230</v>
      </c>
      <c r="J597" s="35">
        <v>46232</v>
      </c>
      <c r="K597" s="36" t="s">
        <v>8</v>
      </c>
    </row>
    <row r="598" spans="4:11" ht="39.75" customHeight="1" x14ac:dyDescent="0.3">
      <c r="D598" s="48" t="s">
        <v>1615</v>
      </c>
      <c r="E598" s="49" t="s">
        <v>1616</v>
      </c>
      <c r="F598" s="50" t="s">
        <v>163</v>
      </c>
      <c r="G598" s="51" t="s">
        <v>1617</v>
      </c>
      <c r="H598" s="53">
        <v>1029</v>
      </c>
      <c r="I598" s="38">
        <v>46230</v>
      </c>
      <c r="J598" s="35">
        <v>46231</v>
      </c>
      <c r="K598" s="36" t="s">
        <v>8</v>
      </c>
    </row>
    <row r="599" spans="4:11" ht="39.75" customHeight="1" x14ac:dyDescent="0.3">
      <c r="D599" s="48" t="s">
        <v>1618</v>
      </c>
      <c r="E599" s="49" t="s">
        <v>1619</v>
      </c>
      <c r="F599" s="50" t="s">
        <v>163</v>
      </c>
      <c r="G599" s="51" t="s">
        <v>1620</v>
      </c>
      <c r="H599" s="53">
        <v>1021</v>
      </c>
      <c r="I599" s="38">
        <v>46231</v>
      </c>
      <c r="J599" s="35">
        <v>46239</v>
      </c>
      <c r="K599" s="36" t="s">
        <v>8</v>
      </c>
    </row>
    <row r="600" spans="4:11" ht="39.75" customHeight="1" x14ac:dyDescent="0.3">
      <c r="D600" s="48" t="s">
        <v>1621</v>
      </c>
      <c r="E600" s="49" t="s">
        <v>1622</v>
      </c>
      <c r="F600" s="50" t="s">
        <v>163</v>
      </c>
      <c r="G600" s="51" t="s">
        <v>1623</v>
      </c>
      <c r="H600" s="53">
        <v>1024</v>
      </c>
      <c r="I600" s="38">
        <v>46231</v>
      </c>
      <c r="J600" s="35">
        <v>46233</v>
      </c>
      <c r="K600" s="36" t="s">
        <v>8</v>
      </c>
    </row>
    <row r="601" spans="4:11" ht="39.75" customHeight="1" x14ac:dyDescent="0.3">
      <c r="D601" s="48" t="s">
        <v>1624</v>
      </c>
      <c r="E601" s="49" t="s">
        <v>1625</v>
      </c>
      <c r="F601" s="50" t="s">
        <v>163</v>
      </c>
      <c r="G601" s="51" t="s">
        <v>1626</v>
      </c>
      <c r="H601" s="53">
        <v>1043</v>
      </c>
      <c r="I601" s="38">
        <v>46231</v>
      </c>
      <c r="J601" s="35">
        <v>46236</v>
      </c>
      <c r="K601" s="36" t="s">
        <v>8</v>
      </c>
    </row>
    <row r="602" spans="4:11" ht="39.75" customHeight="1" x14ac:dyDescent="0.3">
      <c r="D602" s="48" t="s">
        <v>1627</v>
      </c>
      <c r="E602" s="49" t="s">
        <v>1628</v>
      </c>
      <c r="F602" s="50" t="s">
        <v>163</v>
      </c>
      <c r="G602" s="51" t="s">
        <v>1629</v>
      </c>
      <c r="H602" s="53">
        <v>1022</v>
      </c>
      <c r="I602" s="38">
        <v>46231</v>
      </c>
      <c r="J602" s="35">
        <v>46240</v>
      </c>
      <c r="K602" s="36" t="s">
        <v>8</v>
      </c>
    </row>
    <row r="603" spans="4:11" ht="39.75" customHeight="1" x14ac:dyDescent="0.3">
      <c r="D603" s="48" t="s">
        <v>1630</v>
      </c>
      <c r="E603" s="49" t="s">
        <v>1631</v>
      </c>
      <c r="F603" s="50" t="s">
        <v>163</v>
      </c>
      <c r="G603" s="51" t="s">
        <v>1632</v>
      </c>
      <c r="H603" s="53">
        <v>1036</v>
      </c>
      <c r="I603" s="38">
        <v>46231</v>
      </c>
      <c r="J603" s="35">
        <v>46236</v>
      </c>
      <c r="K603" s="36" t="s">
        <v>8</v>
      </c>
    </row>
    <row r="604" spans="4:11" ht="39.75" customHeight="1" x14ac:dyDescent="0.3">
      <c r="D604" s="48" t="s">
        <v>1633</v>
      </c>
      <c r="E604" s="49" t="s">
        <v>1634</v>
      </c>
      <c r="F604" s="50" t="s">
        <v>163</v>
      </c>
      <c r="G604" s="51" t="s">
        <v>1635</v>
      </c>
      <c r="H604" s="53">
        <v>1044</v>
      </c>
      <c r="I604" s="38">
        <v>46231</v>
      </c>
      <c r="J604" s="35">
        <v>46243</v>
      </c>
      <c r="K604" s="36" t="s">
        <v>8</v>
      </c>
    </row>
    <row r="605" spans="4:11" ht="39.75" customHeight="1" x14ac:dyDescent="0.3">
      <c r="D605" s="48" t="s">
        <v>1636</v>
      </c>
      <c r="E605" s="49" t="s">
        <v>1637</v>
      </c>
      <c r="F605" s="50" t="s">
        <v>163</v>
      </c>
      <c r="G605" s="51" t="s">
        <v>1638</v>
      </c>
      <c r="H605" s="53">
        <v>1029</v>
      </c>
      <c r="I605" s="38">
        <v>46232</v>
      </c>
      <c r="J605" s="35">
        <v>46240</v>
      </c>
      <c r="K605" s="36" t="s">
        <v>8</v>
      </c>
    </row>
    <row r="606" spans="4:11" ht="39.75" customHeight="1" x14ac:dyDescent="0.3">
      <c r="D606" s="48" t="s">
        <v>1639</v>
      </c>
      <c r="E606" s="49" t="s">
        <v>1640</v>
      </c>
      <c r="F606" s="50" t="s">
        <v>163</v>
      </c>
      <c r="G606" s="51" t="s">
        <v>1287</v>
      </c>
      <c r="H606" s="53">
        <v>1029</v>
      </c>
      <c r="I606" s="38">
        <v>46232</v>
      </c>
      <c r="J606" s="35">
        <v>46239</v>
      </c>
      <c r="K606" s="36" t="s">
        <v>8</v>
      </c>
    </row>
    <row r="607" spans="4:11" ht="39.75" customHeight="1" x14ac:dyDescent="0.3">
      <c r="D607" s="48" t="s">
        <v>1641</v>
      </c>
      <c r="E607" s="49" t="s">
        <v>1642</v>
      </c>
      <c r="F607" s="50" t="s">
        <v>163</v>
      </c>
      <c r="G607" s="51" t="s">
        <v>1643</v>
      </c>
      <c r="H607" s="53">
        <v>1021</v>
      </c>
      <c r="I607" s="38">
        <v>46233</v>
      </c>
      <c r="J607" s="35">
        <v>46240</v>
      </c>
      <c r="K607" s="36" t="s">
        <v>8</v>
      </c>
    </row>
    <row r="608" spans="4:11" ht="39.75" customHeight="1" x14ac:dyDescent="0.3">
      <c r="D608" s="48" t="s">
        <v>1644</v>
      </c>
      <c r="E608" s="49" t="s">
        <v>1645</v>
      </c>
      <c r="F608" s="50" t="s">
        <v>163</v>
      </c>
      <c r="G608" s="51" t="s">
        <v>1646</v>
      </c>
      <c r="H608" s="53">
        <v>1022</v>
      </c>
      <c r="I608" s="38">
        <v>46233</v>
      </c>
      <c r="J608" s="35">
        <v>46237</v>
      </c>
      <c r="K608" s="36" t="s">
        <v>8</v>
      </c>
    </row>
    <row r="609" spans="4:11" ht="39.75" customHeight="1" x14ac:dyDescent="0.3">
      <c r="D609" s="48" t="s">
        <v>1647</v>
      </c>
      <c r="E609" s="49" t="s">
        <v>1648</v>
      </c>
      <c r="F609" s="50" t="s">
        <v>163</v>
      </c>
      <c r="G609" s="51" t="s">
        <v>1649</v>
      </c>
      <c r="H609" s="53">
        <v>1028</v>
      </c>
      <c r="I609" s="38">
        <v>46233</v>
      </c>
      <c r="J609" s="35">
        <v>46237</v>
      </c>
      <c r="K609" s="36" t="s">
        <v>8</v>
      </c>
    </row>
    <row r="610" spans="4:11" ht="39.75" customHeight="1" x14ac:dyDescent="0.3">
      <c r="D610" s="48" t="s">
        <v>1650</v>
      </c>
      <c r="E610" s="49" t="s">
        <v>1651</v>
      </c>
      <c r="F610" s="50" t="s">
        <v>163</v>
      </c>
      <c r="G610" s="51" t="s">
        <v>1313</v>
      </c>
      <c r="H610" s="53">
        <v>1022</v>
      </c>
      <c r="I610" s="38">
        <v>46233</v>
      </c>
      <c r="J610" s="35">
        <v>46243</v>
      </c>
      <c r="K610" s="36" t="s">
        <v>8</v>
      </c>
    </row>
    <row r="611" spans="4:11" ht="39.75" customHeight="1" x14ac:dyDescent="0.3">
      <c r="D611" s="48" t="s">
        <v>1652</v>
      </c>
      <c r="E611" s="49" t="s">
        <v>1653</v>
      </c>
      <c r="F611" s="50" t="s">
        <v>163</v>
      </c>
      <c r="G611" s="51" t="s">
        <v>1654</v>
      </c>
      <c r="H611" s="53">
        <v>1043</v>
      </c>
      <c r="I611" s="38">
        <v>46233</v>
      </c>
      <c r="J611" s="35">
        <v>46237</v>
      </c>
      <c r="K611" s="36" t="s">
        <v>8</v>
      </c>
    </row>
    <row r="612" spans="4:11" ht="39.75" customHeight="1" x14ac:dyDescent="0.3">
      <c r="D612" s="48" t="s">
        <v>1655</v>
      </c>
      <c r="E612" s="49" t="s">
        <v>1656</v>
      </c>
      <c r="F612" s="50" t="s">
        <v>163</v>
      </c>
      <c r="G612" s="51" t="s">
        <v>1657</v>
      </c>
      <c r="H612" s="53">
        <v>1044</v>
      </c>
      <c r="I612" s="38">
        <v>46233</v>
      </c>
      <c r="J612" s="35">
        <v>46239</v>
      </c>
      <c r="K612" s="36" t="s">
        <v>8</v>
      </c>
    </row>
    <row r="613" spans="4:11" ht="39.75" customHeight="1" x14ac:dyDescent="0.3">
      <c r="D613" s="48" t="s">
        <v>1658</v>
      </c>
      <c r="E613" s="49" t="s">
        <v>1659</v>
      </c>
      <c r="F613" s="50" t="s">
        <v>163</v>
      </c>
      <c r="G613" s="51" t="s">
        <v>1660</v>
      </c>
      <c r="H613" s="53">
        <v>1044</v>
      </c>
      <c r="I613" s="38">
        <v>46233</v>
      </c>
      <c r="J613" s="35">
        <v>46239</v>
      </c>
      <c r="K613" s="36" t="s">
        <v>8</v>
      </c>
    </row>
    <row r="614" spans="4:11" ht="39.75" customHeight="1" x14ac:dyDescent="0.3">
      <c r="D614" s="48" t="s">
        <v>1661</v>
      </c>
      <c r="E614" s="49" t="s">
        <v>1662</v>
      </c>
      <c r="F614" s="50" t="s">
        <v>163</v>
      </c>
      <c r="G614" s="51" t="s">
        <v>657</v>
      </c>
      <c r="H614" s="53">
        <v>1024</v>
      </c>
      <c r="I614" s="38">
        <v>46233</v>
      </c>
      <c r="J614" s="35">
        <v>46237</v>
      </c>
      <c r="K614" s="36" t="s">
        <v>8</v>
      </c>
    </row>
    <row r="615" spans="4:11" ht="39.75" customHeight="1" x14ac:dyDescent="0.3">
      <c r="D615" s="48" t="s">
        <v>1663</v>
      </c>
      <c r="E615" s="49" t="s">
        <v>1664</v>
      </c>
      <c r="F615" s="50" t="s">
        <v>163</v>
      </c>
      <c r="G615" s="51" t="s">
        <v>1665</v>
      </c>
      <c r="H615" s="53">
        <v>1021</v>
      </c>
      <c r="I615" s="38">
        <v>46233</v>
      </c>
      <c r="J615" s="35">
        <v>46239</v>
      </c>
      <c r="K615" s="36" t="s">
        <v>8</v>
      </c>
    </row>
    <row r="616" spans="4:11" ht="39.75" customHeight="1" x14ac:dyDescent="0.3">
      <c r="D616" s="48" t="s">
        <v>1666</v>
      </c>
      <c r="E616" s="49" t="s">
        <v>1667</v>
      </c>
      <c r="F616" s="50" t="s">
        <v>163</v>
      </c>
      <c r="G616" s="51" t="s">
        <v>1668</v>
      </c>
      <c r="H616" s="53">
        <v>1026</v>
      </c>
      <c r="I616" s="38">
        <v>46233</v>
      </c>
      <c r="J616" s="35">
        <v>46240</v>
      </c>
      <c r="K616" s="36" t="s">
        <v>8</v>
      </c>
    </row>
    <row r="617" spans="4:11" ht="39.75" customHeight="1" x14ac:dyDescent="0.3">
      <c r="D617" s="48" t="s">
        <v>1669</v>
      </c>
      <c r="E617" s="49" t="s">
        <v>1670</v>
      </c>
      <c r="F617" s="50" t="s">
        <v>163</v>
      </c>
      <c r="G617" s="51" t="s">
        <v>1671</v>
      </c>
      <c r="H617" s="53">
        <v>1029</v>
      </c>
      <c r="I617" s="38">
        <v>46235</v>
      </c>
      <c r="J617" s="35">
        <v>46240</v>
      </c>
      <c r="K617" s="36" t="s">
        <v>8</v>
      </c>
    </row>
    <row r="618" spans="4:11" ht="39.75" customHeight="1" x14ac:dyDescent="0.3">
      <c r="D618" s="48" t="s">
        <v>1672</v>
      </c>
      <c r="E618" s="49" t="s">
        <v>1673</v>
      </c>
      <c r="F618" s="50" t="s">
        <v>163</v>
      </c>
      <c r="G618" s="51" t="s">
        <v>1674</v>
      </c>
      <c r="H618" s="53">
        <v>1029</v>
      </c>
      <c r="I618" s="38">
        <v>46236</v>
      </c>
      <c r="J618" s="35">
        <v>46239</v>
      </c>
      <c r="K618" s="36" t="s">
        <v>8</v>
      </c>
    </row>
    <row r="619" spans="4:11" ht="39.75" customHeight="1" x14ac:dyDescent="0.3">
      <c r="D619" s="48" t="s">
        <v>1675</v>
      </c>
      <c r="E619" s="49" t="s">
        <v>1676</v>
      </c>
      <c r="F619" s="50" t="s">
        <v>163</v>
      </c>
      <c r="G619" s="51" t="s">
        <v>1400</v>
      </c>
      <c r="H619" s="53">
        <v>1029</v>
      </c>
      <c r="I619" s="38">
        <v>46236</v>
      </c>
      <c r="J619" s="35">
        <v>46239</v>
      </c>
      <c r="K619" s="36" t="s">
        <v>8</v>
      </c>
    </row>
    <row r="620" spans="4:11" ht="39.75" customHeight="1" x14ac:dyDescent="0.3">
      <c r="D620" s="48" t="s">
        <v>1677</v>
      </c>
      <c r="E620" s="49" t="s">
        <v>1678</v>
      </c>
      <c r="F620" s="50" t="s">
        <v>163</v>
      </c>
      <c r="G620" s="51" t="s">
        <v>1679</v>
      </c>
      <c r="H620" s="53">
        <v>1029</v>
      </c>
      <c r="I620" s="38">
        <v>46236</v>
      </c>
      <c r="J620" s="35">
        <v>46240</v>
      </c>
      <c r="K620" s="36" t="s">
        <v>8</v>
      </c>
    </row>
    <row r="621" spans="4:11" ht="39.75" customHeight="1" x14ac:dyDescent="0.3">
      <c r="D621" s="48" t="s">
        <v>1680</v>
      </c>
      <c r="E621" s="49" t="s">
        <v>1681</v>
      </c>
      <c r="F621" s="50" t="s">
        <v>163</v>
      </c>
      <c r="G621" s="51" t="s">
        <v>1682</v>
      </c>
      <c r="H621" s="53">
        <v>1043</v>
      </c>
      <c r="I621" s="38">
        <v>46236</v>
      </c>
      <c r="J621" s="35">
        <v>46244</v>
      </c>
      <c r="K621" s="36" t="s">
        <v>8</v>
      </c>
    </row>
    <row r="622" spans="4:11" ht="39.75" customHeight="1" x14ac:dyDescent="0.3">
      <c r="D622" s="48" t="s">
        <v>1683</v>
      </c>
      <c r="E622" s="49" t="s">
        <v>1684</v>
      </c>
      <c r="F622" s="50" t="s">
        <v>163</v>
      </c>
      <c r="G622" s="51" t="s">
        <v>1685</v>
      </c>
      <c r="H622" s="53">
        <v>1025</v>
      </c>
      <c r="I622" s="38">
        <v>46236</v>
      </c>
      <c r="J622" s="35">
        <v>46237</v>
      </c>
      <c r="K622" s="36" t="s">
        <v>8</v>
      </c>
    </row>
    <row r="623" spans="4:11" ht="39.75" customHeight="1" x14ac:dyDescent="0.3">
      <c r="D623" s="48" t="s">
        <v>1686</v>
      </c>
      <c r="E623" s="49" t="s">
        <v>1687</v>
      </c>
      <c r="F623" s="50" t="s">
        <v>163</v>
      </c>
      <c r="G623" s="51" t="s">
        <v>1688</v>
      </c>
      <c r="H623" s="53">
        <v>1024</v>
      </c>
      <c r="I623" s="38">
        <v>46236</v>
      </c>
      <c r="J623" s="35">
        <v>46243</v>
      </c>
      <c r="K623" s="36" t="s">
        <v>8</v>
      </c>
    </row>
    <row r="624" spans="4:11" ht="39.75" customHeight="1" x14ac:dyDescent="0.3">
      <c r="D624" s="48" t="s">
        <v>1689</v>
      </c>
      <c r="E624" s="49" t="s">
        <v>1690</v>
      </c>
      <c r="F624" s="50" t="s">
        <v>163</v>
      </c>
      <c r="G624" s="51" t="s">
        <v>1691</v>
      </c>
      <c r="H624" s="53">
        <v>1041</v>
      </c>
      <c r="I624" s="38">
        <v>46236</v>
      </c>
      <c r="J624" s="35">
        <v>46239</v>
      </c>
      <c r="K624" s="36" t="s">
        <v>8</v>
      </c>
    </row>
    <row r="625" spans="4:11" ht="39.75" customHeight="1" x14ac:dyDescent="0.3">
      <c r="D625" s="48" t="s">
        <v>1692</v>
      </c>
      <c r="E625" s="49" t="s">
        <v>1693</v>
      </c>
      <c r="F625" s="50" t="s">
        <v>163</v>
      </c>
      <c r="G625" s="51" t="s">
        <v>1694</v>
      </c>
      <c r="H625" s="53">
        <v>1024</v>
      </c>
      <c r="I625" s="38">
        <v>46237</v>
      </c>
      <c r="J625" s="35">
        <v>46237</v>
      </c>
      <c r="K625" s="36" t="s">
        <v>8</v>
      </c>
    </row>
    <row r="626" spans="4:11" ht="39.75" customHeight="1" x14ac:dyDescent="0.3">
      <c r="D626" s="48" t="s">
        <v>1695</v>
      </c>
      <c r="E626" s="49" t="s">
        <v>1696</v>
      </c>
      <c r="F626" s="50" t="s">
        <v>163</v>
      </c>
      <c r="G626" s="51" t="s">
        <v>1150</v>
      </c>
      <c r="H626" s="53">
        <v>1026</v>
      </c>
      <c r="I626" s="38">
        <v>46237</v>
      </c>
      <c r="J626" s="35">
        <v>46237</v>
      </c>
      <c r="K626" s="36" t="s">
        <v>8</v>
      </c>
    </row>
    <row r="627" spans="4:11" ht="39.75" customHeight="1" x14ac:dyDescent="0.3">
      <c r="D627" s="48" t="s">
        <v>1697</v>
      </c>
      <c r="E627" s="49" t="s">
        <v>1698</v>
      </c>
      <c r="F627" s="50" t="s">
        <v>163</v>
      </c>
      <c r="G627" s="51" t="s">
        <v>1699</v>
      </c>
      <c r="H627" s="53">
        <v>1031</v>
      </c>
      <c r="I627" s="38">
        <v>46237</v>
      </c>
      <c r="J627" s="35">
        <v>46239</v>
      </c>
      <c r="K627" s="36" t="s">
        <v>8</v>
      </c>
    </row>
    <row r="628" spans="4:11" ht="39.75" customHeight="1" x14ac:dyDescent="0.3">
      <c r="D628" s="48" t="s">
        <v>1700</v>
      </c>
      <c r="E628" s="49" t="s">
        <v>1701</v>
      </c>
      <c r="F628" s="50" t="s">
        <v>163</v>
      </c>
      <c r="G628" s="51" t="s">
        <v>1702</v>
      </c>
      <c r="H628" s="53">
        <v>1031</v>
      </c>
      <c r="I628" s="38">
        <v>46237</v>
      </c>
      <c r="J628" s="35">
        <v>46239</v>
      </c>
      <c r="K628" s="36" t="s">
        <v>8</v>
      </c>
    </row>
    <row r="629" spans="4:11" ht="39.75" customHeight="1" x14ac:dyDescent="0.3">
      <c r="D629" s="48" t="s">
        <v>1703</v>
      </c>
      <c r="E629" s="49" t="s">
        <v>1704</v>
      </c>
      <c r="F629" s="50" t="s">
        <v>163</v>
      </c>
      <c r="G629" s="51" t="s">
        <v>1705</v>
      </c>
      <c r="H629" s="53">
        <v>1024</v>
      </c>
      <c r="I629" s="38">
        <v>46237</v>
      </c>
      <c r="J629" s="35">
        <v>46238</v>
      </c>
      <c r="K629" s="36" t="s">
        <v>8</v>
      </c>
    </row>
    <row r="630" spans="4:11" ht="39.75" customHeight="1" x14ac:dyDescent="0.3">
      <c r="D630" s="48" t="s">
        <v>1706</v>
      </c>
      <c r="E630" s="49" t="s">
        <v>1707</v>
      </c>
      <c r="F630" s="50" t="s">
        <v>163</v>
      </c>
      <c r="G630" s="51" t="s">
        <v>1708</v>
      </c>
      <c r="H630" s="53">
        <v>1029</v>
      </c>
      <c r="I630" s="38">
        <v>46237</v>
      </c>
      <c r="J630" s="35">
        <v>46240</v>
      </c>
      <c r="K630" s="36" t="s">
        <v>8</v>
      </c>
    </row>
    <row r="631" spans="4:11" ht="39.75" customHeight="1" x14ac:dyDescent="0.3">
      <c r="D631" s="48" t="s">
        <v>1709</v>
      </c>
      <c r="E631" s="49" t="s">
        <v>1710</v>
      </c>
      <c r="F631" s="50" t="s">
        <v>163</v>
      </c>
      <c r="G631" s="51" t="s">
        <v>1711</v>
      </c>
      <c r="H631" s="53">
        <v>1020</v>
      </c>
      <c r="I631" s="38">
        <v>46237</v>
      </c>
      <c r="J631" s="35">
        <v>46240</v>
      </c>
      <c r="K631" s="36" t="s">
        <v>8</v>
      </c>
    </row>
    <row r="632" spans="4:11" ht="39.75" customHeight="1" x14ac:dyDescent="0.3">
      <c r="D632" s="48" t="s">
        <v>1712</v>
      </c>
      <c r="E632" s="49" t="s">
        <v>1713</v>
      </c>
      <c r="F632" s="50" t="s">
        <v>163</v>
      </c>
      <c r="G632" s="51" t="s">
        <v>1714</v>
      </c>
      <c r="H632" s="53">
        <v>1020</v>
      </c>
      <c r="I632" s="38">
        <v>46237</v>
      </c>
      <c r="J632" s="35">
        <v>46239</v>
      </c>
      <c r="K632" s="36" t="s">
        <v>8</v>
      </c>
    </row>
    <row r="633" spans="4:11" ht="39.75" customHeight="1" x14ac:dyDescent="0.3">
      <c r="D633" s="48" t="s">
        <v>1715</v>
      </c>
      <c r="E633" s="49"/>
      <c r="F633" s="50" t="s">
        <v>163</v>
      </c>
      <c r="G633" s="51" t="s">
        <v>1363</v>
      </c>
      <c r="H633" s="53">
        <v>1029</v>
      </c>
      <c r="I633" s="38">
        <v>46237</v>
      </c>
      <c r="J633" s="35">
        <v>46244</v>
      </c>
      <c r="K633" s="36" t="s">
        <v>8</v>
      </c>
    </row>
    <row r="634" spans="4:11" ht="39.75" customHeight="1" x14ac:dyDescent="0.3">
      <c r="D634" s="48" t="s">
        <v>1716</v>
      </c>
      <c r="E634" s="49" t="s">
        <v>1717</v>
      </c>
      <c r="F634" s="50" t="s">
        <v>163</v>
      </c>
      <c r="G634" s="51" t="s">
        <v>1718</v>
      </c>
      <c r="H634" s="53">
        <v>1036</v>
      </c>
      <c r="I634" s="38">
        <v>46237</v>
      </c>
      <c r="J634" s="35">
        <v>46239</v>
      </c>
      <c r="K634" s="36" t="s">
        <v>8</v>
      </c>
    </row>
    <row r="635" spans="4:11" ht="39.75" customHeight="1" x14ac:dyDescent="0.3">
      <c r="D635" s="48" t="s">
        <v>1719</v>
      </c>
      <c r="E635" s="49" t="s">
        <v>1720</v>
      </c>
      <c r="F635" s="50" t="s">
        <v>163</v>
      </c>
      <c r="G635" s="51" t="s">
        <v>1721</v>
      </c>
      <c r="H635" s="53">
        <v>1029</v>
      </c>
      <c r="I635" s="38">
        <v>46238</v>
      </c>
      <c r="J635" s="35">
        <v>46240</v>
      </c>
      <c r="K635" s="36" t="s">
        <v>8</v>
      </c>
    </row>
    <row r="636" spans="4:11" ht="39.75" customHeight="1" x14ac:dyDescent="0.3">
      <c r="D636" s="48" t="s">
        <v>1722</v>
      </c>
      <c r="E636" s="49" t="s">
        <v>1723</v>
      </c>
      <c r="F636" s="50" t="s">
        <v>163</v>
      </c>
      <c r="G636" s="51" t="s">
        <v>1724</v>
      </c>
      <c r="H636" s="53">
        <v>1024</v>
      </c>
      <c r="I636" s="38">
        <v>46238</v>
      </c>
      <c r="J636" s="35">
        <v>46243</v>
      </c>
      <c r="K636" s="36" t="s">
        <v>8</v>
      </c>
    </row>
    <row r="637" spans="4:11" ht="39.75" customHeight="1" x14ac:dyDescent="0.3">
      <c r="D637" s="48" t="s">
        <v>1725</v>
      </c>
      <c r="E637" s="49" t="s">
        <v>1726</v>
      </c>
      <c r="F637" s="50" t="s">
        <v>163</v>
      </c>
      <c r="G637" s="51" t="s">
        <v>1465</v>
      </c>
      <c r="H637" s="53">
        <v>1029</v>
      </c>
      <c r="I637" s="38">
        <v>46238</v>
      </c>
      <c r="J637" s="35">
        <v>46240</v>
      </c>
      <c r="K637" s="36" t="s">
        <v>8</v>
      </c>
    </row>
    <row r="638" spans="4:11" ht="39.75" customHeight="1" x14ac:dyDescent="0.3">
      <c r="D638" s="48" t="s">
        <v>1727</v>
      </c>
      <c r="E638" s="49" t="s">
        <v>1728</v>
      </c>
      <c r="F638" s="50" t="s">
        <v>163</v>
      </c>
      <c r="G638" s="51" t="s">
        <v>1729</v>
      </c>
      <c r="H638" s="53">
        <v>1029</v>
      </c>
      <c r="I638" s="38">
        <v>46238</v>
      </c>
      <c r="J638" s="35">
        <v>46243</v>
      </c>
      <c r="K638" s="36" t="s">
        <v>8</v>
      </c>
    </row>
    <row r="639" spans="4:11" ht="39.75" customHeight="1" x14ac:dyDescent="0.3">
      <c r="D639" s="48" t="s">
        <v>1730</v>
      </c>
      <c r="E639" s="49" t="s">
        <v>1731</v>
      </c>
      <c r="F639" s="50" t="s">
        <v>163</v>
      </c>
      <c r="G639" s="51" t="s">
        <v>1471</v>
      </c>
      <c r="H639" s="53">
        <v>1024</v>
      </c>
      <c r="I639" s="38">
        <v>46238</v>
      </c>
      <c r="J639" s="35">
        <v>46243</v>
      </c>
      <c r="K639" s="36" t="s">
        <v>8</v>
      </c>
    </row>
    <row r="640" spans="4:11" ht="39.75" customHeight="1" x14ac:dyDescent="0.3">
      <c r="D640" s="48" t="s">
        <v>1732</v>
      </c>
      <c r="E640" s="49" t="s">
        <v>1733</v>
      </c>
      <c r="F640" s="50" t="s">
        <v>163</v>
      </c>
      <c r="G640" s="51" t="s">
        <v>1734</v>
      </c>
      <c r="H640" s="53">
        <v>1036</v>
      </c>
      <c r="I640" s="38">
        <v>46238</v>
      </c>
      <c r="J640" s="35">
        <v>46239</v>
      </c>
      <c r="K640" s="36" t="s">
        <v>8</v>
      </c>
    </row>
    <row r="641" spans="4:11" ht="39.75" customHeight="1" x14ac:dyDescent="0.3">
      <c r="D641" s="48" t="s">
        <v>1735</v>
      </c>
      <c r="E641" s="49" t="s">
        <v>1736</v>
      </c>
      <c r="F641" s="50" t="s">
        <v>163</v>
      </c>
      <c r="G641" s="51" t="s">
        <v>1737</v>
      </c>
      <c r="H641" s="53">
        <v>1022</v>
      </c>
      <c r="I641" s="38">
        <v>46238</v>
      </c>
      <c r="J641" s="35">
        <v>46245</v>
      </c>
      <c r="K641" s="36" t="s">
        <v>8</v>
      </c>
    </row>
    <row r="642" spans="4:11" ht="39.75" customHeight="1" x14ac:dyDescent="0.3">
      <c r="D642" s="48" t="s">
        <v>1738</v>
      </c>
      <c r="E642" s="49" t="s">
        <v>1739</v>
      </c>
      <c r="F642" s="50" t="s">
        <v>163</v>
      </c>
      <c r="G642" s="51" t="s">
        <v>1740</v>
      </c>
      <c r="H642" s="53">
        <v>1031</v>
      </c>
      <c r="I642" s="38">
        <v>46238</v>
      </c>
      <c r="J642" s="35">
        <v>46240</v>
      </c>
      <c r="K642" s="36" t="s">
        <v>8</v>
      </c>
    </row>
    <row r="643" spans="4:11" ht="39.75" customHeight="1" x14ac:dyDescent="0.3">
      <c r="D643" s="48" t="s">
        <v>1741</v>
      </c>
      <c r="E643" s="49" t="s">
        <v>1742</v>
      </c>
      <c r="F643" s="50" t="s">
        <v>163</v>
      </c>
      <c r="G643" s="51" t="s">
        <v>1721</v>
      </c>
      <c r="H643" s="53">
        <v>1029</v>
      </c>
      <c r="I643" s="38">
        <v>46238</v>
      </c>
      <c r="J643" s="35">
        <v>46240</v>
      </c>
      <c r="K643" s="36" t="s">
        <v>8</v>
      </c>
    </row>
    <row r="644" spans="4:11" ht="39.75" customHeight="1" x14ac:dyDescent="0.3">
      <c r="D644" s="48" t="s">
        <v>1743</v>
      </c>
      <c r="E644" s="49" t="s">
        <v>1744</v>
      </c>
      <c r="F644" s="50" t="s">
        <v>163</v>
      </c>
      <c r="G644" s="51" t="s">
        <v>1745</v>
      </c>
      <c r="H644" s="53">
        <v>1024</v>
      </c>
      <c r="I644" s="38">
        <v>46239</v>
      </c>
      <c r="J644" s="35">
        <v>46243</v>
      </c>
      <c r="K644" s="36" t="s">
        <v>8</v>
      </c>
    </row>
    <row r="645" spans="4:11" ht="39.75" customHeight="1" x14ac:dyDescent="0.3">
      <c r="D645" s="48" t="s">
        <v>1746</v>
      </c>
      <c r="E645" s="49" t="s">
        <v>1747</v>
      </c>
      <c r="F645" s="50" t="s">
        <v>163</v>
      </c>
      <c r="G645" s="51" t="s">
        <v>1748</v>
      </c>
      <c r="H645" s="53">
        <v>1029</v>
      </c>
      <c r="I645" s="38">
        <v>46239</v>
      </c>
      <c r="J645" s="35">
        <v>46243</v>
      </c>
      <c r="K645" s="36" t="s">
        <v>8</v>
      </c>
    </row>
    <row r="646" spans="4:11" ht="39.75" customHeight="1" x14ac:dyDescent="0.3">
      <c r="D646" s="48" t="s">
        <v>1749</v>
      </c>
      <c r="E646" s="49" t="s">
        <v>1750</v>
      </c>
      <c r="F646" s="50" t="s">
        <v>163</v>
      </c>
      <c r="G646" s="51" t="s">
        <v>1751</v>
      </c>
      <c r="H646" s="53">
        <v>1022</v>
      </c>
      <c r="I646" s="38">
        <v>46239</v>
      </c>
      <c r="J646" s="35">
        <v>46245</v>
      </c>
      <c r="K646" s="36" t="s">
        <v>8</v>
      </c>
    </row>
    <row r="647" spans="4:11" ht="39.75" customHeight="1" x14ac:dyDescent="0.3">
      <c r="D647" s="48" t="s">
        <v>1752</v>
      </c>
      <c r="E647" s="49" t="s">
        <v>1753</v>
      </c>
      <c r="F647" s="50" t="s">
        <v>163</v>
      </c>
      <c r="G647" s="51" t="s">
        <v>1754</v>
      </c>
      <c r="H647" s="53">
        <v>1060</v>
      </c>
      <c r="I647" s="38">
        <v>46239</v>
      </c>
      <c r="J647" s="35">
        <v>46244</v>
      </c>
      <c r="K647" s="36" t="s">
        <v>8</v>
      </c>
    </row>
    <row r="648" spans="4:11" ht="39.75" customHeight="1" x14ac:dyDescent="0.3">
      <c r="D648" s="48" t="s">
        <v>1755</v>
      </c>
      <c r="E648" s="49" t="s">
        <v>1756</v>
      </c>
      <c r="F648" s="50" t="s">
        <v>163</v>
      </c>
      <c r="G648" s="51" t="s">
        <v>1757</v>
      </c>
      <c r="H648" s="53">
        <v>1029</v>
      </c>
      <c r="I648" s="38">
        <v>46239</v>
      </c>
      <c r="J648" s="35">
        <v>46243</v>
      </c>
      <c r="K648" s="36" t="s">
        <v>8</v>
      </c>
    </row>
    <row r="649" spans="4:11" ht="39.75" customHeight="1" x14ac:dyDescent="0.3">
      <c r="D649" s="48" t="s">
        <v>1758</v>
      </c>
      <c r="E649" s="49" t="s">
        <v>1759</v>
      </c>
      <c r="F649" s="50" t="s">
        <v>163</v>
      </c>
      <c r="G649" s="51" t="s">
        <v>1431</v>
      </c>
      <c r="H649" s="53">
        <v>1022</v>
      </c>
      <c r="I649" s="38">
        <v>46239</v>
      </c>
      <c r="J649" s="35">
        <v>46244</v>
      </c>
      <c r="K649" s="36" t="s">
        <v>8</v>
      </c>
    </row>
    <row r="650" spans="4:11" ht="39.75" customHeight="1" x14ac:dyDescent="0.3">
      <c r="D650" s="48" t="s">
        <v>1760</v>
      </c>
      <c r="E650" s="49" t="s">
        <v>1761</v>
      </c>
      <c r="F650" s="50" t="s">
        <v>163</v>
      </c>
      <c r="G650" s="51" t="s">
        <v>1762</v>
      </c>
      <c r="H650" s="53">
        <v>1025</v>
      </c>
      <c r="I650" s="38">
        <v>46240</v>
      </c>
      <c r="J650" s="35">
        <v>46243</v>
      </c>
      <c r="K650" s="36" t="s">
        <v>8</v>
      </c>
    </row>
    <row r="651" spans="4:11" ht="39.75" customHeight="1" x14ac:dyDescent="0.3">
      <c r="D651" s="48" t="s">
        <v>1763</v>
      </c>
      <c r="E651" s="49" t="s">
        <v>1764</v>
      </c>
      <c r="F651" s="50" t="s">
        <v>163</v>
      </c>
      <c r="G651" s="51" t="s">
        <v>1626</v>
      </c>
      <c r="H651" s="53">
        <v>1043</v>
      </c>
      <c r="I651" s="38">
        <v>46240</v>
      </c>
      <c r="J651" s="35">
        <v>46246</v>
      </c>
      <c r="K651" s="36" t="s">
        <v>8</v>
      </c>
    </row>
    <row r="652" spans="4:11" ht="39.75" customHeight="1" x14ac:dyDescent="0.3">
      <c r="D652" s="48" t="s">
        <v>1765</v>
      </c>
      <c r="E652" s="49" t="s">
        <v>1766</v>
      </c>
      <c r="F652" s="50" t="s">
        <v>163</v>
      </c>
      <c r="G652" s="51" t="s">
        <v>1767</v>
      </c>
      <c r="H652" s="53">
        <v>1025</v>
      </c>
      <c r="I652" s="38">
        <v>46240</v>
      </c>
      <c r="J652" s="35">
        <v>46244</v>
      </c>
      <c r="K652" s="36" t="s">
        <v>8</v>
      </c>
    </row>
    <row r="653" spans="4:11" ht="39.75" customHeight="1" x14ac:dyDescent="0.3">
      <c r="D653" s="48" t="s">
        <v>1768</v>
      </c>
      <c r="E653" s="49" t="s">
        <v>1769</v>
      </c>
      <c r="F653" s="50" t="s">
        <v>163</v>
      </c>
      <c r="G653" s="51" t="s">
        <v>1770</v>
      </c>
      <c r="H653" s="53">
        <v>1029</v>
      </c>
      <c r="I653" s="38">
        <v>46240</v>
      </c>
      <c r="J653" s="35">
        <v>46246</v>
      </c>
      <c r="K653" s="36" t="s">
        <v>8</v>
      </c>
    </row>
    <row r="654" spans="4:11" ht="39.75" customHeight="1" x14ac:dyDescent="0.3">
      <c r="D654" s="48" t="s">
        <v>1771</v>
      </c>
      <c r="E654" s="49" t="s">
        <v>1772</v>
      </c>
      <c r="F654" s="50" t="s">
        <v>163</v>
      </c>
      <c r="G654" s="51" t="s">
        <v>1773</v>
      </c>
      <c r="H654" s="53">
        <v>1023</v>
      </c>
      <c r="I654" s="38">
        <v>46242</v>
      </c>
      <c r="J654" s="35">
        <v>46245</v>
      </c>
      <c r="K654" s="36" t="s">
        <v>8</v>
      </c>
    </row>
    <row r="655" spans="4:11" ht="39.75" customHeight="1" x14ac:dyDescent="0.3">
      <c r="D655" s="48" t="s">
        <v>1774</v>
      </c>
      <c r="E655" s="49" t="s">
        <v>1775</v>
      </c>
      <c r="F655" s="50" t="s">
        <v>163</v>
      </c>
      <c r="G655" s="51" t="s">
        <v>1776</v>
      </c>
      <c r="H655" s="53">
        <v>1029</v>
      </c>
      <c r="I655" s="38">
        <v>46243</v>
      </c>
      <c r="J655" s="35">
        <v>46245</v>
      </c>
      <c r="K655" s="36" t="s">
        <v>8</v>
      </c>
    </row>
    <row r="656" spans="4:11" ht="39.75" customHeight="1" x14ac:dyDescent="0.3">
      <c r="D656" s="48" t="s">
        <v>1777</v>
      </c>
      <c r="E656" s="49" t="s">
        <v>1778</v>
      </c>
      <c r="F656" s="50" t="s">
        <v>163</v>
      </c>
      <c r="G656" s="51" t="s">
        <v>1740</v>
      </c>
      <c r="H656" s="53">
        <v>1031</v>
      </c>
      <c r="I656" s="38">
        <v>46243</v>
      </c>
      <c r="J656" s="35">
        <v>46251</v>
      </c>
      <c r="K656" s="36" t="s">
        <v>8</v>
      </c>
    </row>
    <row r="657" spans="4:11" ht="39.75" customHeight="1" x14ac:dyDescent="0.3">
      <c r="D657" s="48" t="s">
        <v>1779</v>
      </c>
      <c r="E657" s="49" t="s">
        <v>1780</v>
      </c>
      <c r="F657" s="50" t="s">
        <v>163</v>
      </c>
      <c r="G657" s="51" t="s">
        <v>1781</v>
      </c>
      <c r="H657" s="53">
        <v>1031</v>
      </c>
      <c r="I657" s="38">
        <v>46243</v>
      </c>
      <c r="J657" s="35">
        <v>46251</v>
      </c>
      <c r="K657" s="36" t="s">
        <v>8</v>
      </c>
    </row>
    <row r="658" spans="4:11" ht="39.75" customHeight="1" x14ac:dyDescent="0.3">
      <c r="D658" s="48" t="s">
        <v>1782</v>
      </c>
      <c r="E658" s="49" t="s">
        <v>1783</v>
      </c>
      <c r="F658" s="50" t="s">
        <v>163</v>
      </c>
      <c r="G658" s="51" t="s">
        <v>1784</v>
      </c>
      <c r="H658" s="53">
        <v>1026</v>
      </c>
      <c r="I658" s="38">
        <v>46243</v>
      </c>
      <c r="J658" s="35">
        <v>46244</v>
      </c>
      <c r="K658" s="36" t="s">
        <v>8</v>
      </c>
    </row>
    <row r="659" spans="4:11" ht="39.75" customHeight="1" x14ac:dyDescent="0.3">
      <c r="D659" s="48" t="s">
        <v>1785</v>
      </c>
      <c r="E659" s="49" t="s">
        <v>1786</v>
      </c>
      <c r="F659" s="50" t="s">
        <v>163</v>
      </c>
      <c r="G659" s="51" t="s">
        <v>1465</v>
      </c>
      <c r="H659" s="53">
        <v>1029</v>
      </c>
      <c r="I659" s="38">
        <v>46243</v>
      </c>
      <c r="J659" s="35">
        <v>46245</v>
      </c>
      <c r="K659" s="36" t="s">
        <v>8</v>
      </c>
    </row>
    <row r="660" spans="4:11" ht="39.75" customHeight="1" x14ac:dyDescent="0.3">
      <c r="D660" s="48" t="s">
        <v>1787</v>
      </c>
      <c r="E660" s="49" t="s">
        <v>1788</v>
      </c>
      <c r="F660" s="50" t="s">
        <v>163</v>
      </c>
      <c r="G660" s="51" t="s">
        <v>1740</v>
      </c>
      <c r="H660" s="53">
        <v>1031</v>
      </c>
      <c r="I660" s="38">
        <v>46243</v>
      </c>
      <c r="J660" s="35">
        <v>46251</v>
      </c>
      <c r="K660" s="36" t="s">
        <v>8</v>
      </c>
    </row>
    <row r="661" spans="4:11" ht="39.75" customHeight="1" x14ac:dyDescent="0.3">
      <c r="D661" s="48" t="s">
        <v>1789</v>
      </c>
      <c r="E661" s="49" t="s">
        <v>1790</v>
      </c>
      <c r="F661" s="50" t="s">
        <v>163</v>
      </c>
      <c r="G661" s="51" t="s">
        <v>1203</v>
      </c>
      <c r="H661" s="53">
        <v>1022</v>
      </c>
      <c r="I661" s="38">
        <v>46243</v>
      </c>
      <c r="J661" s="35">
        <v>46251</v>
      </c>
      <c r="K661" s="36" t="s">
        <v>8</v>
      </c>
    </row>
    <row r="662" spans="4:11" ht="39.75" customHeight="1" x14ac:dyDescent="0.3">
      <c r="D662" s="48" t="s">
        <v>1791</v>
      </c>
      <c r="E662" s="49" t="s">
        <v>1792</v>
      </c>
      <c r="F662" s="50" t="s">
        <v>163</v>
      </c>
      <c r="G662" s="51" t="s">
        <v>1793</v>
      </c>
      <c r="H662" s="53">
        <v>1029</v>
      </c>
      <c r="I662" s="38">
        <v>46243</v>
      </c>
      <c r="J662" s="35">
        <v>46244</v>
      </c>
      <c r="K662" s="36" t="s">
        <v>8</v>
      </c>
    </row>
    <row r="663" spans="4:11" ht="39.75" customHeight="1" x14ac:dyDescent="0.3">
      <c r="D663" s="48" t="s">
        <v>1794</v>
      </c>
      <c r="E663" s="49" t="s">
        <v>1795</v>
      </c>
      <c r="F663" s="50" t="s">
        <v>163</v>
      </c>
      <c r="G663" s="51" t="s">
        <v>1796</v>
      </c>
      <c r="H663" s="53">
        <v>1029</v>
      </c>
      <c r="I663" s="38">
        <v>46243</v>
      </c>
      <c r="J663" s="35">
        <v>46244</v>
      </c>
      <c r="K663" s="36" t="s">
        <v>8</v>
      </c>
    </row>
    <row r="664" spans="4:11" ht="39.75" customHeight="1" x14ac:dyDescent="0.3">
      <c r="D664" s="48" t="s">
        <v>1797</v>
      </c>
      <c r="E664" s="49" t="s">
        <v>1798</v>
      </c>
      <c r="F664" s="50" t="s">
        <v>163</v>
      </c>
      <c r="G664" s="51" t="s">
        <v>1799</v>
      </c>
      <c r="H664" s="53">
        <v>1031</v>
      </c>
      <c r="I664" s="38">
        <v>46243</v>
      </c>
      <c r="J664" s="35">
        <v>46253</v>
      </c>
      <c r="K664" s="36" t="s">
        <v>8</v>
      </c>
    </row>
    <row r="665" spans="4:11" ht="39.75" customHeight="1" x14ac:dyDescent="0.3">
      <c r="D665" s="48" t="s">
        <v>1800</v>
      </c>
      <c r="E665" s="49" t="s">
        <v>1801</v>
      </c>
      <c r="F665" s="50" t="s">
        <v>163</v>
      </c>
      <c r="G665" s="51" t="s">
        <v>1802</v>
      </c>
      <c r="H665" s="53">
        <v>1029</v>
      </c>
      <c r="I665" s="38">
        <v>46243</v>
      </c>
      <c r="J665" s="35">
        <v>46245</v>
      </c>
      <c r="K665" s="36" t="s">
        <v>8</v>
      </c>
    </row>
    <row r="666" spans="4:11" ht="39.75" customHeight="1" x14ac:dyDescent="0.3">
      <c r="D666" s="48" t="s">
        <v>1803</v>
      </c>
      <c r="E666" s="49" t="s">
        <v>1804</v>
      </c>
      <c r="F666" s="50" t="s">
        <v>163</v>
      </c>
      <c r="G666" s="51" t="s">
        <v>1805</v>
      </c>
      <c r="H666" s="52" t="s">
        <v>193</v>
      </c>
      <c r="I666" s="38">
        <v>46243</v>
      </c>
      <c r="J666" s="35">
        <v>46258</v>
      </c>
      <c r="K666" s="36" t="s">
        <v>8</v>
      </c>
    </row>
    <row r="667" spans="4:11" ht="39.75" customHeight="1" x14ac:dyDescent="0.3">
      <c r="D667" s="48" t="s">
        <v>1806</v>
      </c>
      <c r="E667" s="49" t="s">
        <v>1807</v>
      </c>
      <c r="F667" s="50" t="s">
        <v>163</v>
      </c>
      <c r="G667" s="51" t="s">
        <v>1808</v>
      </c>
      <c r="H667" s="53">
        <v>1029</v>
      </c>
      <c r="I667" s="38">
        <v>46243</v>
      </c>
      <c r="J667" s="35">
        <v>46245</v>
      </c>
      <c r="K667" s="36" t="s">
        <v>8</v>
      </c>
    </row>
    <row r="668" spans="4:11" ht="39.75" customHeight="1" x14ac:dyDescent="0.3">
      <c r="D668" s="48" t="s">
        <v>1809</v>
      </c>
      <c r="E668" s="49" t="s">
        <v>1810</v>
      </c>
      <c r="F668" s="50" t="s">
        <v>163</v>
      </c>
      <c r="G668" s="51" t="s">
        <v>1811</v>
      </c>
      <c r="H668" s="53">
        <v>1023</v>
      </c>
      <c r="I668" s="38">
        <v>46243</v>
      </c>
      <c r="J668" s="35">
        <v>46246</v>
      </c>
      <c r="K668" s="36" t="s">
        <v>8</v>
      </c>
    </row>
    <row r="669" spans="4:11" ht="39.75" customHeight="1" x14ac:dyDescent="0.3">
      <c r="D669" s="48" t="s">
        <v>1812</v>
      </c>
      <c r="E669" s="49" t="s">
        <v>1813</v>
      </c>
      <c r="F669" s="50" t="s">
        <v>163</v>
      </c>
      <c r="G669" s="51" t="s">
        <v>1814</v>
      </c>
      <c r="H669" s="53">
        <v>1029</v>
      </c>
      <c r="I669" s="38">
        <v>46243</v>
      </c>
      <c r="J669" s="35">
        <v>46251</v>
      </c>
      <c r="K669" s="36" t="s">
        <v>8</v>
      </c>
    </row>
    <row r="670" spans="4:11" ht="39.75" customHeight="1" x14ac:dyDescent="0.3">
      <c r="D670" s="48" t="s">
        <v>1815</v>
      </c>
      <c r="E670" s="49" t="s">
        <v>1816</v>
      </c>
      <c r="F670" s="50" t="s">
        <v>163</v>
      </c>
      <c r="G670" s="51" t="s">
        <v>1431</v>
      </c>
      <c r="H670" s="53">
        <v>1022</v>
      </c>
      <c r="I670" s="38">
        <v>46243</v>
      </c>
      <c r="J670" s="35">
        <v>46244</v>
      </c>
      <c r="K670" s="36" t="s">
        <v>8</v>
      </c>
    </row>
    <row r="671" spans="4:11" ht="39.75" customHeight="1" x14ac:dyDescent="0.3">
      <c r="D671" s="48" t="s">
        <v>1817</v>
      </c>
      <c r="E671" s="49" t="s">
        <v>1818</v>
      </c>
      <c r="F671" s="50" t="s">
        <v>163</v>
      </c>
      <c r="G671" s="51" t="s">
        <v>1819</v>
      </c>
      <c r="H671" s="53">
        <v>1022</v>
      </c>
      <c r="I671" s="38">
        <v>46244</v>
      </c>
      <c r="J671" s="35">
        <v>46247</v>
      </c>
      <c r="K671" s="36" t="s">
        <v>8</v>
      </c>
    </row>
    <row r="672" spans="4:11" ht="39.75" customHeight="1" x14ac:dyDescent="0.3">
      <c r="D672" s="48" t="s">
        <v>1820</v>
      </c>
      <c r="E672" s="49" t="s">
        <v>1821</v>
      </c>
      <c r="F672" s="50" t="s">
        <v>163</v>
      </c>
      <c r="G672" s="51" t="s">
        <v>1822</v>
      </c>
      <c r="H672" s="53">
        <v>1023</v>
      </c>
      <c r="I672" s="38">
        <v>46244</v>
      </c>
      <c r="J672" s="35">
        <v>46256</v>
      </c>
      <c r="K672" s="36" t="s">
        <v>8</v>
      </c>
    </row>
    <row r="673" spans="4:11" ht="39.75" customHeight="1" x14ac:dyDescent="0.3">
      <c r="D673" s="48" t="s">
        <v>1823</v>
      </c>
      <c r="E673" s="49" t="s">
        <v>1824</v>
      </c>
      <c r="F673" s="50" t="s">
        <v>163</v>
      </c>
      <c r="G673" s="51" t="s">
        <v>1825</v>
      </c>
      <c r="H673" s="53">
        <v>1026</v>
      </c>
      <c r="I673" s="38">
        <v>46244</v>
      </c>
      <c r="J673" s="35">
        <v>46245</v>
      </c>
      <c r="K673" s="36" t="s">
        <v>8</v>
      </c>
    </row>
    <row r="674" spans="4:11" ht="39.75" customHeight="1" x14ac:dyDescent="0.3">
      <c r="D674" s="48" t="s">
        <v>1826</v>
      </c>
      <c r="E674" s="49" t="s">
        <v>1827</v>
      </c>
      <c r="F674" s="50" t="s">
        <v>163</v>
      </c>
      <c r="G674" s="51" t="s">
        <v>1828</v>
      </c>
      <c r="H674" s="53">
        <v>1029</v>
      </c>
      <c r="I674" s="38">
        <v>46244</v>
      </c>
      <c r="J674" s="35">
        <v>46245</v>
      </c>
      <c r="K674" s="36" t="s">
        <v>8</v>
      </c>
    </row>
    <row r="675" spans="4:11" ht="39.75" customHeight="1" x14ac:dyDescent="0.3">
      <c r="D675" s="48" t="s">
        <v>1829</v>
      </c>
      <c r="E675" s="49" t="s">
        <v>1830</v>
      </c>
      <c r="F675" s="50" t="s">
        <v>163</v>
      </c>
      <c r="G675" s="51" t="s">
        <v>1757</v>
      </c>
      <c r="H675" s="53">
        <v>1029</v>
      </c>
      <c r="I675" s="38">
        <v>46244</v>
      </c>
      <c r="J675" s="35">
        <v>46245</v>
      </c>
      <c r="K675" s="36" t="s">
        <v>8</v>
      </c>
    </row>
    <row r="676" spans="4:11" ht="39.75" customHeight="1" x14ac:dyDescent="0.3">
      <c r="D676" s="48" t="s">
        <v>1831</v>
      </c>
      <c r="E676" s="49" t="s">
        <v>1832</v>
      </c>
      <c r="F676" s="50" t="s">
        <v>163</v>
      </c>
      <c r="G676" s="51" t="s">
        <v>1833</v>
      </c>
      <c r="H676" s="53">
        <v>1060</v>
      </c>
      <c r="I676" s="38">
        <v>46244</v>
      </c>
      <c r="J676" s="35">
        <v>46246</v>
      </c>
      <c r="K676" s="36" t="s">
        <v>8</v>
      </c>
    </row>
    <row r="677" spans="4:11" ht="39.75" customHeight="1" x14ac:dyDescent="0.3">
      <c r="D677" s="48" t="s">
        <v>1834</v>
      </c>
      <c r="E677" s="49" t="s">
        <v>1835</v>
      </c>
      <c r="F677" s="50" t="s">
        <v>163</v>
      </c>
      <c r="G677" s="51" t="s">
        <v>1836</v>
      </c>
      <c r="H677" s="53">
        <v>1026</v>
      </c>
      <c r="I677" s="38">
        <v>46244</v>
      </c>
      <c r="J677" s="35">
        <v>46245</v>
      </c>
      <c r="K677" s="36" t="s">
        <v>8</v>
      </c>
    </row>
    <row r="678" spans="4:11" ht="39.75" customHeight="1" x14ac:dyDescent="0.3">
      <c r="D678" s="48" t="s">
        <v>1837</v>
      </c>
      <c r="E678" s="49" t="s">
        <v>1838</v>
      </c>
      <c r="F678" s="50" t="s">
        <v>163</v>
      </c>
      <c r="G678" s="51" t="s">
        <v>1839</v>
      </c>
      <c r="H678" s="53">
        <v>1029</v>
      </c>
      <c r="I678" s="38">
        <v>46244</v>
      </c>
      <c r="J678" s="35">
        <v>46251</v>
      </c>
      <c r="K678" s="36" t="s">
        <v>8</v>
      </c>
    </row>
    <row r="679" spans="4:11" ht="39.75" customHeight="1" x14ac:dyDescent="0.3">
      <c r="D679" s="48" t="s">
        <v>1840</v>
      </c>
      <c r="E679" s="49" t="s">
        <v>1841</v>
      </c>
      <c r="F679" s="50" t="s">
        <v>163</v>
      </c>
      <c r="G679" s="51" t="s">
        <v>1842</v>
      </c>
      <c r="H679" s="53">
        <v>1029</v>
      </c>
      <c r="I679" s="38">
        <v>46244</v>
      </c>
      <c r="J679" s="35">
        <v>46253</v>
      </c>
      <c r="K679" s="36" t="s">
        <v>8</v>
      </c>
    </row>
    <row r="680" spans="4:11" ht="39.75" customHeight="1" x14ac:dyDescent="0.3">
      <c r="D680" s="48" t="s">
        <v>1843</v>
      </c>
      <c r="E680" s="49" t="s">
        <v>1844</v>
      </c>
      <c r="F680" s="50" t="s">
        <v>163</v>
      </c>
      <c r="G680" s="51" t="s">
        <v>1313</v>
      </c>
      <c r="H680" s="53">
        <v>1029</v>
      </c>
      <c r="I680" s="38">
        <v>46244</v>
      </c>
      <c r="J680" s="35">
        <v>46246</v>
      </c>
      <c r="K680" s="36" t="s">
        <v>8</v>
      </c>
    </row>
    <row r="681" spans="4:11" ht="39.75" customHeight="1" x14ac:dyDescent="0.3">
      <c r="D681" s="48" t="s">
        <v>1845</v>
      </c>
      <c r="E681" s="49" t="s">
        <v>1846</v>
      </c>
      <c r="F681" s="50" t="s">
        <v>163</v>
      </c>
      <c r="G681" s="51" t="s">
        <v>1847</v>
      </c>
      <c r="H681" s="53">
        <v>1027</v>
      </c>
      <c r="I681" s="38">
        <v>46244</v>
      </c>
      <c r="J681" s="35">
        <v>46247</v>
      </c>
      <c r="K681" s="36" t="s">
        <v>8</v>
      </c>
    </row>
    <row r="682" spans="4:11" ht="39.75" customHeight="1" x14ac:dyDescent="0.3">
      <c r="D682" s="48" t="s">
        <v>1848</v>
      </c>
      <c r="E682" s="49" t="s">
        <v>1849</v>
      </c>
      <c r="F682" s="50" t="s">
        <v>163</v>
      </c>
      <c r="G682" s="51" t="s">
        <v>1850</v>
      </c>
      <c r="H682" s="53">
        <v>1024</v>
      </c>
      <c r="I682" s="38">
        <v>46244</v>
      </c>
      <c r="J682" s="35">
        <v>46251</v>
      </c>
      <c r="K682" s="36" t="s">
        <v>8</v>
      </c>
    </row>
    <row r="683" spans="4:11" ht="39.75" customHeight="1" x14ac:dyDescent="0.3">
      <c r="D683" s="48" t="s">
        <v>1851</v>
      </c>
      <c r="E683" s="49" t="s">
        <v>1852</v>
      </c>
      <c r="F683" s="50" t="s">
        <v>163</v>
      </c>
      <c r="G683" s="51" t="s">
        <v>1828</v>
      </c>
      <c r="H683" s="53">
        <v>1029</v>
      </c>
      <c r="I683" s="38">
        <v>46244</v>
      </c>
      <c r="J683" s="35">
        <v>46246</v>
      </c>
      <c r="K683" s="36" t="s">
        <v>8</v>
      </c>
    </row>
    <row r="684" spans="4:11" ht="39.75" customHeight="1" x14ac:dyDescent="0.3">
      <c r="D684" s="48" t="s">
        <v>1853</v>
      </c>
      <c r="E684" s="49" t="s">
        <v>1854</v>
      </c>
      <c r="F684" s="50" t="s">
        <v>163</v>
      </c>
      <c r="G684" s="51" t="s">
        <v>1855</v>
      </c>
      <c r="H684" s="53">
        <v>1029</v>
      </c>
      <c r="I684" s="38">
        <v>46245</v>
      </c>
      <c r="J684" s="35">
        <v>46251</v>
      </c>
      <c r="K684" s="36" t="s">
        <v>8</v>
      </c>
    </row>
    <row r="685" spans="4:11" ht="39.75" customHeight="1" x14ac:dyDescent="0.3">
      <c r="D685" s="48" t="s">
        <v>1856</v>
      </c>
      <c r="E685" s="49" t="s">
        <v>1857</v>
      </c>
      <c r="F685" s="50" t="s">
        <v>163</v>
      </c>
      <c r="G685" s="51" t="s">
        <v>1858</v>
      </c>
      <c r="H685" s="53">
        <v>1020</v>
      </c>
      <c r="I685" s="38">
        <v>46245</v>
      </c>
      <c r="J685" s="35">
        <v>46246</v>
      </c>
      <c r="K685" s="36" t="s">
        <v>8</v>
      </c>
    </row>
    <row r="686" spans="4:11" ht="39.75" customHeight="1" x14ac:dyDescent="0.3">
      <c r="D686" s="48" t="s">
        <v>1859</v>
      </c>
      <c r="E686" s="49" t="s">
        <v>1860</v>
      </c>
      <c r="F686" s="50" t="s">
        <v>163</v>
      </c>
      <c r="G686" s="51" t="s">
        <v>1861</v>
      </c>
      <c r="H686" s="53">
        <v>1027</v>
      </c>
      <c r="I686" s="38">
        <v>46245</v>
      </c>
      <c r="J686" s="35">
        <v>46247</v>
      </c>
      <c r="K686" s="36" t="s">
        <v>8</v>
      </c>
    </row>
    <row r="687" spans="4:11" ht="39.75" customHeight="1" x14ac:dyDescent="0.3">
      <c r="D687" s="48" t="s">
        <v>1862</v>
      </c>
      <c r="E687" s="49" t="s">
        <v>1863</v>
      </c>
      <c r="F687" s="50" t="s">
        <v>163</v>
      </c>
      <c r="G687" s="51" t="s">
        <v>1864</v>
      </c>
      <c r="H687" s="53">
        <v>1029</v>
      </c>
      <c r="I687" s="38">
        <v>46245</v>
      </c>
      <c r="J687" s="35">
        <v>46253</v>
      </c>
      <c r="K687" s="36" t="s">
        <v>8</v>
      </c>
    </row>
    <row r="688" spans="4:11" ht="39.75" customHeight="1" x14ac:dyDescent="0.3">
      <c r="D688" s="48" t="s">
        <v>1865</v>
      </c>
      <c r="E688" s="49" t="s">
        <v>1866</v>
      </c>
      <c r="F688" s="50" t="s">
        <v>163</v>
      </c>
      <c r="G688" s="51" t="s">
        <v>1867</v>
      </c>
      <c r="H688" s="53">
        <v>1029</v>
      </c>
      <c r="I688" s="38">
        <v>46246</v>
      </c>
      <c r="J688" s="35">
        <v>46251</v>
      </c>
      <c r="K688" s="36" t="s">
        <v>8</v>
      </c>
    </row>
    <row r="689" spans="4:11" ht="39.75" customHeight="1" x14ac:dyDescent="0.3">
      <c r="D689" s="48" t="s">
        <v>1868</v>
      </c>
      <c r="E689" s="49" t="s">
        <v>1869</v>
      </c>
      <c r="F689" s="50" t="s">
        <v>163</v>
      </c>
      <c r="G689" s="51" t="s">
        <v>1870</v>
      </c>
      <c r="H689" s="53">
        <v>1031</v>
      </c>
      <c r="I689" s="38">
        <v>46246</v>
      </c>
      <c r="J689" s="35">
        <v>46251</v>
      </c>
      <c r="K689" s="36" t="s">
        <v>8</v>
      </c>
    </row>
    <row r="690" spans="4:11" ht="39.75" customHeight="1" x14ac:dyDescent="0.3">
      <c r="D690" s="48" t="s">
        <v>1871</v>
      </c>
      <c r="E690" s="49" t="s">
        <v>1872</v>
      </c>
      <c r="F690" s="50" t="s">
        <v>163</v>
      </c>
      <c r="G690" s="51" t="s">
        <v>1873</v>
      </c>
      <c r="H690" s="53">
        <v>1029</v>
      </c>
      <c r="I690" s="38">
        <v>46246</v>
      </c>
      <c r="J690" s="35">
        <v>46253</v>
      </c>
      <c r="K690" s="36" t="s">
        <v>8</v>
      </c>
    </row>
    <row r="691" spans="4:11" ht="39.75" customHeight="1" x14ac:dyDescent="0.3">
      <c r="D691" s="48" t="s">
        <v>1874</v>
      </c>
      <c r="E691" s="49" t="s">
        <v>1875</v>
      </c>
      <c r="F691" s="50" t="s">
        <v>163</v>
      </c>
      <c r="G691" s="51" t="s">
        <v>1530</v>
      </c>
      <c r="H691" s="53">
        <v>1022</v>
      </c>
      <c r="I691" s="38">
        <v>46246</v>
      </c>
      <c r="J691" s="35">
        <v>46251</v>
      </c>
      <c r="K691" s="36" t="s">
        <v>8</v>
      </c>
    </row>
    <row r="692" spans="4:11" ht="39.75" customHeight="1" x14ac:dyDescent="0.3">
      <c r="D692" s="48" t="s">
        <v>1876</v>
      </c>
      <c r="E692" s="49" t="s">
        <v>1877</v>
      </c>
      <c r="F692" s="50" t="s">
        <v>163</v>
      </c>
      <c r="G692" s="51" t="s">
        <v>1878</v>
      </c>
      <c r="H692" s="53">
        <v>1029</v>
      </c>
      <c r="I692" s="38">
        <v>46246</v>
      </c>
      <c r="J692" s="35">
        <v>46251</v>
      </c>
      <c r="K692" s="36" t="s">
        <v>8</v>
      </c>
    </row>
    <row r="693" spans="4:11" ht="39.75" customHeight="1" x14ac:dyDescent="0.3">
      <c r="D693" s="48" t="s">
        <v>1879</v>
      </c>
      <c r="E693" s="49" t="s">
        <v>1880</v>
      </c>
      <c r="F693" s="50" t="s">
        <v>163</v>
      </c>
      <c r="G693" s="51" t="s">
        <v>1544</v>
      </c>
      <c r="H693" s="53">
        <v>1029</v>
      </c>
      <c r="I693" s="38">
        <v>46246</v>
      </c>
      <c r="J693" s="35">
        <v>46251</v>
      </c>
      <c r="K693" s="36" t="s">
        <v>8</v>
      </c>
    </row>
    <row r="694" spans="4:11" ht="39.75" customHeight="1" x14ac:dyDescent="0.3">
      <c r="D694" s="48" t="s">
        <v>1881</v>
      </c>
      <c r="E694" s="49" t="s">
        <v>1882</v>
      </c>
      <c r="F694" s="50" t="s">
        <v>163</v>
      </c>
      <c r="G694" s="51" t="s">
        <v>1313</v>
      </c>
      <c r="H694" s="53">
        <v>1029</v>
      </c>
      <c r="I694" s="38">
        <v>46246</v>
      </c>
      <c r="J694" s="35">
        <v>46251</v>
      </c>
      <c r="K694" s="36" t="s">
        <v>8</v>
      </c>
    </row>
    <row r="695" spans="4:11" ht="39.75" customHeight="1" x14ac:dyDescent="0.3">
      <c r="D695" s="48" t="s">
        <v>1883</v>
      </c>
      <c r="E695" s="49" t="s">
        <v>1884</v>
      </c>
      <c r="F695" s="50" t="s">
        <v>163</v>
      </c>
      <c r="G695" s="51" t="s">
        <v>887</v>
      </c>
      <c r="H695" s="53">
        <v>1029</v>
      </c>
      <c r="I695" s="38">
        <v>46246</v>
      </c>
      <c r="J695" s="35">
        <v>46253</v>
      </c>
      <c r="K695" s="36" t="s">
        <v>8</v>
      </c>
    </row>
    <row r="696" spans="4:11" ht="39.75" customHeight="1" x14ac:dyDescent="0.3">
      <c r="D696" s="48" t="s">
        <v>1885</v>
      </c>
      <c r="E696" s="49" t="s">
        <v>1886</v>
      </c>
      <c r="F696" s="50" t="s">
        <v>163</v>
      </c>
      <c r="G696" s="51" t="s">
        <v>1887</v>
      </c>
      <c r="H696" s="53">
        <v>1043</v>
      </c>
      <c r="I696" s="38">
        <v>46246</v>
      </c>
      <c r="J696" s="35">
        <v>46253</v>
      </c>
      <c r="K696" s="36" t="s">
        <v>8</v>
      </c>
    </row>
    <row r="697" spans="4:11" ht="39.75" customHeight="1" x14ac:dyDescent="0.3">
      <c r="D697" s="48" t="s">
        <v>1888</v>
      </c>
      <c r="E697" s="49" t="s">
        <v>1889</v>
      </c>
      <c r="F697" s="50" t="s">
        <v>163</v>
      </c>
      <c r="G697" s="51" t="s">
        <v>1890</v>
      </c>
      <c r="H697" s="53">
        <v>1029</v>
      </c>
      <c r="I697" s="38">
        <v>46246</v>
      </c>
      <c r="J697" s="35">
        <v>46251</v>
      </c>
      <c r="K697" s="36" t="s">
        <v>8</v>
      </c>
    </row>
    <row r="698" spans="4:11" ht="39.75" customHeight="1" x14ac:dyDescent="0.3">
      <c r="D698" s="48" t="s">
        <v>1891</v>
      </c>
      <c r="E698" s="49" t="s">
        <v>1892</v>
      </c>
      <c r="F698" s="50" t="s">
        <v>163</v>
      </c>
      <c r="G698" s="51" t="s">
        <v>887</v>
      </c>
      <c r="H698" s="53">
        <v>1029</v>
      </c>
      <c r="I698" s="38">
        <v>46247</v>
      </c>
      <c r="J698" s="35">
        <v>46253</v>
      </c>
      <c r="K698" s="36" t="s">
        <v>8</v>
      </c>
    </row>
    <row r="699" spans="4:11" ht="39.75" customHeight="1" x14ac:dyDescent="0.3">
      <c r="D699" s="48" t="s">
        <v>1893</v>
      </c>
      <c r="E699" s="49" t="s">
        <v>1894</v>
      </c>
      <c r="F699" s="50" t="s">
        <v>163</v>
      </c>
      <c r="G699" s="51" t="s">
        <v>1895</v>
      </c>
      <c r="H699" s="53">
        <v>1031</v>
      </c>
      <c r="I699" s="38">
        <v>46247</v>
      </c>
      <c r="J699" s="35">
        <v>46253</v>
      </c>
      <c r="K699" s="36" t="s">
        <v>8</v>
      </c>
    </row>
    <row r="700" spans="4:11" ht="39.75" customHeight="1" x14ac:dyDescent="0.3">
      <c r="D700" s="48" t="s">
        <v>1896</v>
      </c>
      <c r="E700" s="49" t="s">
        <v>1897</v>
      </c>
      <c r="F700" s="50" t="s">
        <v>163</v>
      </c>
      <c r="G700" s="51" t="s">
        <v>1898</v>
      </c>
      <c r="H700" s="53">
        <v>1022</v>
      </c>
      <c r="I700" s="38">
        <v>46247</v>
      </c>
      <c r="J700" s="35">
        <v>46253</v>
      </c>
      <c r="K700" s="36" t="s">
        <v>8</v>
      </c>
    </row>
    <row r="701" spans="4:11" ht="39.75" customHeight="1" x14ac:dyDescent="0.3">
      <c r="D701" s="48" t="s">
        <v>1899</v>
      </c>
      <c r="E701" s="49" t="s">
        <v>1900</v>
      </c>
      <c r="F701" s="50" t="s">
        <v>163</v>
      </c>
      <c r="G701" s="51" t="s">
        <v>1901</v>
      </c>
      <c r="H701" s="53">
        <v>1026</v>
      </c>
      <c r="I701" s="38">
        <v>46247</v>
      </c>
      <c r="J701" s="35">
        <v>46247</v>
      </c>
      <c r="K701" s="36" t="s">
        <v>8</v>
      </c>
    </row>
    <row r="702" spans="4:11" ht="39.75" customHeight="1" x14ac:dyDescent="0.3">
      <c r="D702" s="48" t="s">
        <v>1902</v>
      </c>
      <c r="E702" s="49" t="s">
        <v>1903</v>
      </c>
      <c r="F702" s="50" t="s">
        <v>163</v>
      </c>
      <c r="G702" s="51" t="s">
        <v>1904</v>
      </c>
      <c r="H702" s="53">
        <v>1029</v>
      </c>
      <c r="I702" s="38">
        <v>46247</v>
      </c>
      <c r="J702" s="35">
        <v>46253</v>
      </c>
      <c r="K702" s="36" t="s">
        <v>8</v>
      </c>
    </row>
    <row r="703" spans="4:11" ht="39.75" customHeight="1" x14ac:dyDescent="0.3">
      <c r="D703" s="48" t="s">
        <v>1905</v>
      </c>
      <c r="E703" s="49" t="s">
        <v>1906</v>
      </c>
      <c r="F703" s="50" t="s">
        <v>163</v>
      </c>
      <c r="G703" s="51" t="s">
        <v>887</v>
      </c>
      <c r="H703" s="53">
        <v>1029</v>
      </c>
      <c r="I703" s="38">
        <v>46247</v>
      </c>
      <c r="J703" s="35">
        <v>46253</v>
      </c>
      <c r="K703" s="36" t="s">
        <v>8</v>
      </c>
    </row>
    <row r="704" spans="4:11" ht="39.75" customHeight="1" x14ac:dyDescent="0.3">
      <c r="D704" s="48" t="s">
        <v>1907</v>
      </c>
      <c r="E704" s="49" t="s">
        <v>1908</v>
      </c>
      <c r="F704" s="50" t="s">
        <v>163</v>
      </c>
      <c r="G704" s="51" t="s">
        <v>1909</v>
      </c>
      <c r="H704" s="53">
        <v>1031</v>
      </c>
      <c r="I704" s="38">
        <v>46247</v>
      </c>
      <c r="J704" s="35">
        <v>46253</v>
      </c>
      <c r="K704" s="36" t="s">
        <v>8</v>
      </c>
    </row>
    <row r="705" spans="4:11" ht="39.75" customHeight="1" x14ac:dyDescent="0.3">
      <c r="D705" s="48" t="s">
        <v>1910</v>
      </c>
      <c r="E705" s="49" t="s">
        <v>1911</v>
      </c>
      <c r="F705" s="50" t="s">
        <v>163</v>
      </c>
      <c r="G705" s="51" t="s">
        <v>1431</v>
      </c>
      <c r="H705" s="53">
        <v>1022</v>
      </c>
      <c r="I705" s="38">
        <v>46247</v>
      </c>
      <c r="J705" s="35">
        <v>46251</v>
      </c>
      <c r="K705" s="36" t="s">
        <v>8</v>
      </c>
    </row>
    <row r="706" spans="4:11" ht="39.75" customHeight="1" x14ac:dyDescent="0.3">
      <c r="D706" s="48" t="s">
        <v>1912</v>
      </c>
      <c r="E706" s="49" t="s">
        <v>1913</v>
      </c>
      <c r="F706" s="50" t="s">
        <v>163</v>
      </c>
      <c r="G706" s="51" t="s">
        <v>1914</v>
      </c>
      <c r="H706" s="53">
        <v>1020</v>
      </c>
      <c r="I706" s="38">
        <v>46247</v>
      </c>
      <c r="J706" s="35">
        <v>46251</v>
      </c>
      <c r="K706" s="36" t="s">
        <v>8</v>
      </c>
    </row>
    <row r="707" spans="4:11" ht="39.75" customHeight="1" x14ac:dyDescent="0.3">
      <c r="D707" s="48" t="s">
        <v>1915</v>
      </c>
      <c r="E707" s="49" t="s">
        <v>1916</v>
      </c>
      <c r="F707" s="50" t="s">
        <v>163</v>
      </c>
      <c r="G707" s="51" t="s">
        <v>1917</v>
      </c>
      <c r="H707" s="53">
        <v>1060</v>
      </c>
      <c r="I707" s="38">
        <v>46247</v>
      </c>
      <c r="J707" s="35">
        <v>46253</v>
      </c>
      <c r="K707" s="36" t="s">
        <v>8</v>
      </c>
    </row>
    <row r="708" spans="4:11" ht="39.75" customHeight="1" x14ac:dyDescent="0.3">
      <c r="D708" s="48" t="s">
        <v>1918</v>
      </c>
      <c r="E708" s="49" t="s">
        <v>1919</v>
      </c>
      <c r="F708" s="50" t="s">
        <v>163</v>
      </c>
      <c r="G708" s="51" t="s">
        <v>1920</v>
      </c>
      <c r="H708" s="53">
        <v>1031</v>
      </c>
      <c r="I708" s="38">
        <v>46247</v>
      </c>
      <c r="J708" s="35">
        <v>46253</v>
      </c>
      <c r="K708" s="36" t="s">
        <v>8</v>
      </c>
    </row>
    <row r="709" spans="4:11" ht="39.75" customHeight="1" x14ac:dyDescent="0.3">
      <c r="D709" s="48" t="s">
        <v>1921</v>
      </c>
      <c r="E709" s="49" t="s">
        <v>1922</v>
      </c>
      <c r="F709" s="50" t="s">
        <v>163</v>
      </c>
      <c r="G709" s="51" t="s">
        <v>1544</v>
      </c>
      <c r="H709" s="53">
        <v>1029</v>
      </c>
      <c r="I709" s="38">
        <v>46247</v>
      </c>
      <c r="J709" s="35">
        <v>46251</v>
      </c>
      <c r="K709" s="36" t="s">
        <v>8</v>
      </c>
    </row>
    <row r="710" spans="4:11" ht="39.75" customHeight="1" x14ac:dyDescent="0.3">
      <c r="D710" s="48" t="s">
        <v>1923</v>
      </c>
      <c r="E710" s="49" t="s">
        <v>1924</v>
      </c>
      <c r="F710" s="50" t="s">
        <v>163</v>
      </c>
      <c r="G710" s="51" t="s">
        <v>1925</v>
      </c>
      <c r="H710" s="53">
        <v>1022</v>
      </c>
      <c r="I710" s="38">
        <v>46247</v>
      </c>
      <c r="J710" s="35">
        <v>46256</v>
      </c>
      <c r="K710" s="36" t="s">
        <v>8</v>
      </c>
    </row>
    <row r="711" spans="4:11" ht="39.75" customHeight="1" x14ac:dyDescent="0.3">
      <c r="D711" s="48" t="s">
        <v>1926</v>
      </c>
      <c r="E711" s="49" t="s">
        <v>1927</v>
      </c>
      <c r="F711" s="50" t="s">
        <v>163</v>
      </c>
      <c r="G711" s="51" t="s">
        <v>1928</v>
      </c>
      <c r="H711" s="53">
        <v>1027</v>
      </c>
      <c r="I711" s="38">
        <v>46247</v>
      </c>
      <c r="J711" s="35">
        <v>46256</v>
      </c>
      <c r="K711" s="36" t="s">
        <v>8</v>
      </c>
    </row>
    <row r="712" spans="4:11" ht="39.75" customHeight="1" x14ac:dyDescent="0.3">
      <c r="D712" s="48" t="s">
        <v>1929</v>
      </c>
      <c r="E712" s="49" t="s">
        <v>1930</v>
      </c>
      <c r="F712" s="50" t="s">
        <v>163</v>
      </c>
      <c r="G712" s="51" t="s">
        <v>1931</v>
      </c>
      <c r="H712" s="53">
        <v>1029</v>
      </c>
      <c r="I712" s="38">
        <v>46250</v>
      </c>
      <c r="J712" s="35">
        <v>46253</v>
      </c>
      <c r="K712" s="36" t="s">
        <v>8</v>
      </c>
    </row>
    <row r="713" spans="4:11" ht="39.75" customHeight="1" x14ac:dyDescent="0.3">
      <c r="D713" s="48" t="s">
        <v>1932</v>
      </c>
      <c r="E713" s="49" t="s">
        <v>1933</v>
      </c>
      <c r="F713" s="50" t="s">
        <v>163</v>
      </c>
      <c r="G713" s="51" t="s">
        <v>1934</v>
      </c>
      <c r="H713" s="53">
        <v>1024</v>
      </c>
      <c r="I713" s="38">
        <v>46250</v>
      </c>
      <c r="J713" s="35">
        <v>46253</v>
      </c>
      <c r="K713" s="36" t="s">
        <v>8</v>
      </c>
    </row>
    <row r="714" spans="4:11" ht="39.75" customHeight="1" x14ac:dyDescent="0.3">
      <c r="D714" s="48" t="s">
        <v>1935</v>
      </c>
      <c r="E714" s="49" t="s">
        <v>1936</v>
      </c>
      <c r="F714" s="50" t="s">
        <v>163</v>
      </c>
      <c r="G714" s="51" t="s">
        <v>1313</v>
      </c>
      <c r="H714" s="53">
        <v>1029</v>
      </c>
      <c r="I714" s="38">
        <v>46250</v>
      </c>
      <c r="J714" s="35">
        <v>46253</v>
      </c>
      <c r="K714" s="36" t="s">
        <v>8</v>
      </c>
    </row>
    <row r="715" spans="4:11" ht="39.75" customHeight="1" x14ac:dyDescent="0.3">
      <c r="D715" s="48" t="s">
        <v>1937</v>
      </c>
      <c r="E715" s="49" t="s">
        <v>1938</v>
      </c>
      <c r="F715" s="50" t="s">
        <v>163</v>
      </c>
      <c r="G715" s="51" t="s">
        <v>1939</v>
      </c>
      <c r="H715" s="53">
        <v>1026</v>
      </c>
      <c r="I715" s="38">
        <v>46250</v>
      </c>
      <c r="J715" s="35">
        <v>46253</v>
      </c>
      <c r="K715" s="36" t="s">
        <v>8</v>
      </c>
    </row>
    <row r="716" spans="4:11" ht="39.75" customHeight="1" x14ac:dyDescent="0.3">
      <c r="D716" s="48" t="s">
        <v>1940</v>
      </c>
      <c r="E716" s="49" t="s">
        <v>1941</v>
      </c>
      <c r="F716" s="50" t="s">
        <v>163</v>
      </c>
      <c r="G716" s="51" t="s">
        <v>887</v>
      </c>
      <c r="H716" s="53">
        <v>1029</v>
      </c>
      <c r="I716" s="38">
        <v>46250</v>
      </c>
      <c r="J716" s="35">
        <v>46253</v>
      </c>
      <c r="K716" s="36" t="s">
        <v>8</v>
      </c>
    </row>
    <row r="717" spans="4:11" ht="39.75" customHeight="1" x14ac:dyDescent="0.3">
      <c r="D717" s="48" t="s">
        <v>1942</v>
      </c>
      <c r="E717" s="49" t="s">
        <v>1943</v>
      </c>
      <c r="F717" s="50" t="s">
        <v>163</v>
      </c>
      <c r="G717" s="51" t="s">
        <v>1944</v>
      </c>
      <c r="H717" s="53">
        <v>1029</v>
      </c>
      <c r="I717" s="38">
        <v>46251</v>
      </c>
      <c r="J717" s="35">
        <v>46259</v>
      </c>
      <c r="K717" s="36" t="s">
        <v>8</v>
      </c>
    </row>
    <row r="718" spans="4:11" ht="39.75" customHeight="1" x14ac:dyDescent="0.3">
      <c r="D718" s="48" t="s">
        <v>1945</v>
      </c>
      <c r="E718" s="49" t="s">
        <v>1946</v>
      </c>
      <c r="F718" s="50" t="s">
        <v>163</v>
      </c>
      <c r="G718" s="51" t="s">
        <v>1093</v>
      </c>
      <c r="H718" s="53">
        <v>1029</v>
      </c>
      <c r="I718" s="38">
        <v>46251</v>
      </c>
      <c r="J718" s="35">
        <v>46260</v>
      </c>
      <c r="K718" s="36" t="s">
        <v>8</v>
      </c>
    </row>
    <row r="719" spans="4:11" ht="39.75" customHeight="1" x14ac:dyDescent="0.3">
      <c r="D719" s="48" t="s">
        <v>1947</v>
      </c>
      <c r="E719" s="49" t="s">
        <v>1948</v>
      </c>
      <c r="F719" s="50" t="s">
        <v>163</v>
      </c>
      <c r="G719" s="51" t="s">
        <v>1949</v>
      </c>
      <c r="H719" s="53">
        <v>1029</v>
      </c>
      <c r="I719" s="38">
        <v>46251</v>
      </c>
      <c r="J719" s="35">
        <v>46256</v>
      </c>
      <c r="K719" s="36" t="s">
        <v>8</v>
      </c>
    </row>
    <row r="720" spans="4:11" ht="39.75" customHeight="1" x14ac:dyDescent="0.3">
      <c r="D720" s="48" t="s">
        <v>1950</v>
      </c>
      <c r="E720" s="49" t="s">
        <v>1951</v>
      </c>
      <c r="F720" s="50" t="s">
        <v>163</v>
      </c>
      <c r="G720" s="51" t="s">
        <v>1952</v>
      </c>
      <c r="H720" s="53">
        <v>1022</v>
      </c>
      <c r="I720" s="38">
        <v>46251</v>
      </c>
      <c r="J720" s="35">
        <v>46260</v>
      </c>
      <c r="K720" s="36" t="s">
        <v>8</v>
      </c>
    </row>
    <row r="721" spans="4:11" ht="39.75" customHeight="1" x14ac:dyDescent="0.3">
      <c r="D721" s="48" t="s">
        <v>1953</v>
      </c>
      <c r="E721" s="49" t="s">
        <v>1954</v>
      </c>
      <c r="F721" s="50" t="s">
        <v>163</v>
      </c>
      <c r="G721" s="51" t="s">
        <v>1955</v>
      </c>
      <c r="H721" s="53">
        <v>1022</v>
      </c>
      <c r="I721" s="38">
        <v>46251</v>
      </c>
      <c r="J721" s="35">
        <v>46257</v>
      </c>
      <c r="K721" s="36" t="s">
        <v>8</v>
      </c>
    </row>
    <row r="722" spans="4:11" ht="39.75" customHeight="1" x14ac:dyDescent="0.3">
      <c r="D722" s="48" t="s">
        <v>1956</v>
      </c>
      <c r="E722" s="49" t="s">
        <v>1957</v>
      </c>
      <c r="F722" s="50" t="s">
        <v>163</v>
      </c>
      <c r="G722" s="51" t="s">
        <v>1958</v>
      </c>
      <c r="H722" s="53">
        <v>1043</v>
      </c>
      <c r="I722" s="38">
        <v>46251</v>
      </c>
      <c r="J722" s="35">
        <v>46256</v>
      </c>
      <c r="K722" s="36" t="s">
        <v>8</v>
      </c>
    </row>
    <row r="723" spans="4:11" ht="39.75" customHeight="1" x14ac:dyDescent="0.3">
      <c r="D723" s="48" t="s">
        <v>1959</v>
      </c>
      <c r="E723" s="49" t="s">
        <v>1960</v>
      </c>
      <c r="F723" s="50" t="s">
        <v>163</v>
      </c>
      <c r="G723" s="51" t="s">
        <v>1313</v>
      </c>
      <c r="H723" s="53">
        <v>1029</v>
      </c>
      <c r="I723" s="38">
        <v>46251</v>
      </c>
      <c r="J723" s="35">
        <v>46253</v>
      </c>
      <c r="K723" s="36" t="s">
        <v>8</v>
      </c>
    </row>
    <row r="724" spans="4:11" ht="39.75" customHeight="1" x14ac:dyDescent="0.3">
      <c r="D724" s="48" t="s">
        <v>1961</v>
      </c>
      <c r="E724" s="49" t="s">
        <v>1962</v>
      </c>
      <c r="F724" s="50" t="s">
        <v>163</v>
      </c>
      <c r="G724" s="51" t="s">
        <v>1963</v>
      </c>
      <c r="H724" s="53">
        <v>1029</v>
      </c>
      <c r="I724" s="38">
        <v>46251</v>
      </c>
      <c r="J724" s="35">
        <v>46253</v>
      </c>
      <c r="K724" s="36" t="s">
        <v>8</v>
      </c>
    </row>
    <row r="725" spans="4:11" ht="39.75" customHeight="1" x14ac:dyDescent="0.3">
      <c r="D725" s="48" t="s">
        <v>1964</v>
      </c>
      <c r="E725" s="49" t="s">
        <v>1965</v>
      </c>
      <c r="F725" s="50" t="s">
        <v>163</v>
      </c>
      <c r="G725" s="51" t="s">
        <v>1966</v>
      </c>
      <c r="H725" s="53">
        <v>1029</v>
      </c>
      <c r="I725" s="38">
        <v>46251</v>
      </c>
      <c r="J725" s="35">
        <v>46253</v>
      </c>
      <c r="K725" s="36" t="s">
        <v>8</v>
      </c>
    </row>
    <row r="726" spans="4:11" ht="39.75" customHeight="1" x14ac:dyDescent="0.3">
      <c r="D726" s="48" t="s">
        <v>1967</v>
      </c>
      <c r="E726" s="49" t="s">
        <v>1968</v>
      </c>
      <c r="F726" s="50" t="s">
        <v>163</v>
      </c>
      <c r="G726" s="51" t="s">
        <v>1963</v>
      </c>
      <c r="H726" s="53">
        <v>1029</v>
      </c>
      <c r="I726" s="38">
        <v>46251</v>
      </c>
      <c r="J726" s="35">
        <v>46253</v>
      </c>
      <c r="K726" s="36" t="s">
        <v>8</v>
      </c>
    </row>
    <row r="727" spans="4:11" ht="39.75" customHeight="1" x14ac:dyDescent="0.3">
      <c r="D727" s="48" t="s">
        <v>1969</v>
      </c>
      <c r="E727" s="49" t="s">
        <v>1970</v>
      </c>
      <c r="F727" s="50" t="s">
        <v>163</v>
      </c>
      <c r="G727" s="51" t="s">
        <v>1971</v>
      </c>
      <c r="H727" s="53">
        <v>1043</v>
      </c>
      <c r="I727" s="38">
        <v>46251</v>
      </c>
      <c r="J727" s="35">
        <v>46256</v>
      </c>
      <c r="K727" s="36" t="s">
        <v>8</v>
      </c>
    </row>
    <row r="728" spans="4:11" ht="39.75" customHeight="1" x14ac:dyDescent="0.3">
      <c r="D728" s="48" t="s">
        <v>1972</v>
      </c>
      <c r="E728" s="49" t="s">
        <v>1973</v>
      </c>
      <c r="F728" s="50" t="s">
        <v>163</v>
      </c>
      <c r="G728" s="51" t="s">
        <v>1914</v>
      </c>
      <c r="H728" s="53">
        <v>1020</v>
      </c>
      <c r="I728" s="38">
        <v>46252</v>
      </c>
      <c r="J728" s="35">
        <v>46258</v>
      </c>
      <c r="K728" s="36" t="s">
        <v>8</v>
      </c>
    </row>
    <row r="729" spans="4:11" ht="39.75" customHeight="1" x14ac:dyDescent="0.3">
      <c r="D729" s="48" t="s">
        <v>1974</v>
      </c>
      <c r="E729" s="49" t="s">
        <v>1975</v>
      </c>
      <c r="F729" s="50" t="s">
        <v>163</v>
      </c>
      <c r="G729" s="51" t="s">
        <v>1313</v>
      </c>
      <c r="H729" s="53">
        <v>1029</v>
      </c>
      <c r="I729" s="38">
        <v>46253</v>
      </c>
      <c r="J729" s="35">
        <v>46258</v>
      </c>
      <c r="K729" s="36" t="s">
        <v>8</v>
      </c>
    </row>
    <row r="730" spans="4:11" ht="39.75" customHeight="1" x14ac:dyDescent="0.3">
      <c r="D730" s="48" t="s">
        <v>1976</v>
      </c>
      <c r="E730" s="49" t="s">
        <v>1977</v>
      </c>
      <c r="F730" s="50" t="s">
        <v>163</v>
      </c>
      <c r="G730" s="51" t="s">
        <v>1978</v>
      </c>
      <c r="H730" s="53">
        <v>1029</v>
      </c>
      <c r="I730" s="38">
        <v>46253</v>
      </c>
      <c r="J730" s="35">
        <v>46259</v>
      </c>
      <c r="K730" s="36" t="s">
        <v>8</v>
      </c>
    </row>
    <row r="731" spans="4:11" ht="39.75" customHeight="1" x14ac:dyDescent="0.3">
      <c r="D731" s="48" t="s">
        <v>1979</v>
      </c>
      <c r="E731" s="49" t="s">
        <v>1980</v>
      </c>
      <c r="F731" s="50" t="s">
        <v>163</v>
      </c>
      <c r="G731" s="51" t="s">
        <v>1313</v>
      </c>
      <c r="H731" s="53">
        <v>1029</v>
      </c>
      <c r="I731" s="38">
        <v>46253</v>
      </c>
      <c r="J731" s="35">
        <v>46259</v>
      </c>
      <c r="K731" s="36" t="s">
        <v>8</v>
      </c>
    </row>
    <row r="732" spans="4:11" ht="39.75" customHeight="1" x14ac:dyDescent="0.3">
      <c r="D732" s="48" t="s">
        <v>1981</v>
      </c>
      <c r="E732" s="49" t="s">
        <v>1982</v>
      </c>
      <c r="F732" s="50" t="s">
        <v>163</v>
      </c>
      <c r="G732" s="51" t="s">
        <v>1544</v>
      </c>
      <c r="H732" s="53">
        <v>1029</v>
      </c>
      <c r="I732" s="38">
        <v>46253</v>
      </c>
      <c r="J732" s="35">
        <v>46259</v>
      </c>
      <c r="K732" s="36" t="s">
        <v>8</v>
      </c>
    </row>
    <row r="733" spans="4:11" ht="39.75" customHeight="1" x14ac:dyDescent="0.3">
      <c r="D733" s="48" t="s">
        <v>1983</v>
      </c>
      <c r="E733" s="49" t="s">
        <v>1984</v>
      </c>
      <c r="F733" s="50" t="s">
        <v>163</v>
      </c>
      <c r="G733" s="51" t="s">
        <v>1985</v>
      </c>
      <c r="H733" s="53">
        <v>1029</v>
      </c>
      <c r="I733" s="38">
        <v>46253</v>
      </c>
      <c r="J733" s="35">
        <v>46259</v>
      </c>
      <c r="K733" s="36" t="s">
        <v>8</v>
      </c>
    </row>
    <row r="734" spans="4:11" ht="39.75" customHeight="1" x14ac:dyDescent="0.3">
      <c r="D734" s="48" t="s">
        <v>1986</v>
      </c>
      <c r="E734" s="49" t="s">
        <v>1987</v>
      </c>
      <c r="F734" s="50" t="s">
        <v>163</v>
      </c>
      <c r="G734" s="51" t="s">
        <v>1530</v>
      </c>
      <c r="H734" s="53">
        <v>1022</v>
      </c>
      <c r="I734" s="38">
        <v>46253</v>
      </c>
      <c r="J734" s="35">
        <v>46260</v>
      </c>
      <c r="K734" s="36" t="s">
        <v>8</v>
      </c>
    </row>
    <row r="735" spans="4:11" ht="39.75" customHeight="1" x14ac:dyDescent="0.3">
      <c r="D735" s="48" t="s">
        <v>1988</v>
      </c>
      <c r="E735" s="49" t="s">
        <v>1989</v>
      </c>
      <c r="F735" s="50" t="s">
        <v>163</v>
      </c>
      <c r="G735" s="51" t="s">
        <v>1990</v>
      </c>
      <c r="H735" s="53">
        <v>1022</v>
      </c>
      <c r="I735" s="38">
        <v>46253</v>
      </c>
      <c r="J735" s="35">
        <v>46266</v>
      </c>
      <c r="K735" s="36" t="s">
        <v>8</v>
      </c>
    </row>
    <row r="736" spans="4:11" ht="39.75" customHeight="1" x14ac:dyDescent="0.3">
      <c r="D736" s="48" t="s">
        <v>1991</v>
      </c>
      <c r="E736" s="49" t="s">
        <v>1992</v>
      </c>
      <c r="F736" s="50" t="s">
        <v>163</v>
      </c>
      <c r="G736" s="51" t="s">
        <v>1993</v>
      </c>
      <c r="H736" s="53">
        <v>1024</v>
      </c>
      <c r="I736" s="38">
        <v>46253</v>
      </c>
      <c r="J736" s="35">
        <v>46257</v>
      </c>
      <c r="K736" s="36" t="s">
        <v>8</v>
      </c>
    </row>
    <row r="737" spans="4:11" ht="39.75" customHeight="1" x14ac:dyDescent="0.3">
      <c r="D737" s="48" t="s">
        <v>1994</v>
      </c>
      <c r="E737" s="49" t="s">
        <v>1995</v>
      </c>
      <c r="F737" s="50" t="s">
        <v>163</v>
      </c>
      <c r="G737" s="51" t="s">
        <v>1996</v>
      </c>
      <c r="H737" s="53">
        <v>1031</v>
      </c>
      <c r="I737" s="38">
        <v>46253</v>
      </c>
      <c r="J737" s="35">
        <v>46260</v>
      </c>
      <c r="K737" s="36" t="s">
        <v>8</v>
      </c>
    </row>
    <row r="738" spans="4:11" ht="39.75" customHeight="1" x14ac:dyDescent="0.3">
      <c r="D738" s="48" t="s">
        <v>1997</v>
      </c>
      <c r="E738" s="49" t="s">
        <v>1998</v>
      </c>
      <c r="F738" s="50" t="s">
        <v>163</v>
      </c>
      <c r="G738" s="51" t="s">
        <v>1999</v>
      </c>
      <c r="H738" s="53">
        <v>1060</v>
      </c>
      <c r="I738" s="38">
        <v>46253</v>
      </c>
      <c r="J738" s="35">
        <v>46258</v>
      </c>
      <c r="K738" s="36" t="s">
        <v>8</v>
      </c>
    </row>
    <row r="739" spans="4:11" ht="39.75" customHeight="1" x14ac:dyDescent="0.3">
      <c r="D739" s="48" t="s">
        <v>2000</v>
      </c>
      <c r="E739" s="49" t="s">
        <v>2001</v>
      </c>
      <c r="F739" s="50" t="s">
        <v>163</v>
      </c>
      <c r="G739" s="51" t="s">
        <v>2002</v>
      </c>
      <c r="H739" s="53">
        <v>1023</v>
      </c>
      <c r="I739" s="38">
        <v>46253</v>
      </c>
      <c r="J739" s="35">
        <v>46266</v>
      </c>
      <c r="K739" s="36" t="s">
        <v>8</v>
      </c>
    </row>
    <row r="740" spans="4:11" ht="39.75" customHeight="1" x14ac:dyDescent="0.3">
      <c r="D740" s="48" t="s">
        <v>2003</v>
      </c>
      <c r="E740" s="49" t="s">
        <v>2004</v>
      </c>
      <c r="F740" s="50" t="s">
        <v>163</v>
      </c>
      <c r="G740" s="51" t="s">
        <v>2005</v>
      </c>
      <c r="H740" s="53">
        <v>1029</v>
      </c>
      <c r="I740" s="38">
        <v>46253</v>
      </c>
      <c r="J740" s="35">
        <v>46259</v>
      </c>
      <c r="K740" s="36" t="s">
        <v>8</v>
      </c>
    </row>
    <row r="741" spans="4:11" ht="39.75" customHeight="1" x14ac:dyDescent="0.3">
      <c r="D741" s="48" t="s">
        <v>2006</v>
      </c>
      <c r="E741" s="49" t="s">
        <v>2007</v>
      </c>
      <c r="F741" s="50" t="s">
        <v>163</v>
      </c>
      <c r="G741" s="51" t="s">
        <v>2008</v>
      </c>
      <c r="H741" s="53">
        <v>1022</v>
      </c>
      <c r="I741" s="38">
        <v>46253</v>
      </c>
      <c r="J741" s="35">
        <v>46260</v>
      </c>
      <c r="K741" s="36" t="s">
        <v>8</v>
      </c>
    </row>
    <row r="742" spans="4:11" ht="39.75" customHeight="1" x14ac:dyDescent="0.3">
      <c r="D742" s="48" t="s">
        <v>2009</v>
      </c>
      <c r="E742" s="49" t="s">
        <v>2010</v>
      </c>
      <c r="F742" s="50" t="s">
        <v>163</v>
      </c>
      <c r="G742" s="51" t="s">
        <v>2011</v>
      </c>
      <c r="H742" s="53">
        <v>1023</v>
      </c>
      <c r="I742" s="38">
        <v>46254</v>
      </c>
      <c r="J742" s="35">
        <v>46268</v>
      </c>
      <c r="K742" s="36" t="s">
        <v>8</v>
      </c>
    </row>
    <row r="743" spans="4:11" ht="39.75" customHeight="1" x14ac:dyDescent="0.3">
      <c r="D743" s="48" t="s">
        <v>2012</v>
      </c>
      <c r="E743" s="49" t="s">
        <v>2013</v>
      </c>
      <c r="F743" s="50" t="s">
        <v>163</v>
      </c>
      <c r="G743" s="51" t="s">
        <v>2014</v>
      </c>
      <c r="H743" s="53">
        <v>1029</v>
      </c>
      <c r="I743" s="38">
        <v>46254</v>
      </c>
      <c r="J743" s="35">
        <v>46264</v>
      </c>
      <c r="K743" s="36" t="s">
        <v>8</v>
      </c>
    </row>
    <row r="744" spans="4:11" ht="39.75" customHeight="1" x14ac:dyDescent="0.3">
      <c r="D744" s="48" t="s">
        <v>2015</v>
      </c>
      <c r="E744" s="49" t="s">
        <v>2016</v>
      </c>
      <c r="F744" s="50" t="s">
        <v>163</v>
      </c>
      <c r="G744" s="51" t="s">
        <v>2017</v>
      </c>
      <c r="H744" s="53">
        <v>1029</v>
      </c>
      <c r="I744" s="38">
        <v>46254</v>
      </c>
      <c r="J744" s="35">
        <v>46259</v>
      </c>
      <c r="K744" s="36" t="s">
        <v>8</v>
      </c>
    </row>
    <row r="745" spans="4:11" ht="39.75" customHeight="1" x14ac:dyDescent="0.3">
      <c r="D745" s="48" t="s">
        <v>2018</v>
      </c>
      <c r="E745" s="49" t="s">
        <v>2019</v>
      </c>
      <c r="F745" s="50" t="s">
        <v>163</v>
      </c>
      <c r="G745" s="51" t="s">
        <v>2020</v>
      </c>
      <c r="H745" s="53">
        <v>1031</v>
      </c>
      <c r="I745" s="38">
        <v>46254</v>
      </c>
      <c r="J745" s="35">
        <v>46260</v>
      </c>
      <c r="K745" s="36" t="s">
        <v>8</v>
      </c>
    </row>
    <row r="746" spans="4:11" ht="39.75" customHeight="1" x14ac:dyDescent="0.3">
      <c r="D746" s="48" t="s">
        <v>2021</v>
      </c>
      <c r="E746" s="49" t="s">
        <v>2022</v>
      </c>
      <c r="F746" s="50" t="s">
        <v>163</v>
      </c>
      <c r="G746" s="51" t="s">
        <v>1313</v>
      </c>
      <c r="H746" s="53">
        <v>1029</v>
      </c>
      <c r="I746" s="38">
        <v>46254</v>
      </c>
      <c r="J746" s="35">
        <v>46259</v>
      </c>
      <c r="K746" s="36" t="s">
        <v>8</v>
      </c>
    </row>
    <row r="747" spans="4:11" ht="39.75" customHeight="1" x14ac:dyDescent="0.3">
      <c r="D747" s="48" t="s">
        <v>2023</v>
      </c>
      <c r="E747" s="49" t="s">
        <v>2024</v>
      </c>
      <c r="F747" s="50" t="s">
        <v>163</v>
      </c>
      <c r="G747" s="51" t="s">
        <v>2025</v>
      </c>
      <c r="H747" s="53">
        <v>1043</v>
      </c>
      <c r="I747" s="38">
        <v>46254</v>
      </c>
      <c r="J747" s="35">
        <v>46264</v>
      </c>
      <c r="K747" s="36" t="s">
        <v>8</v>
      </c>
    </row>
    <row r="748" spans="4:11" ht="39.75" customHeight="1" x14ac:dyDescent="0.3">
      <c r="D748" s="48" t="s">
        <v>2026</v>
      </c>
      <c r="E748" s="49" t="s">
        <v>2027</v>
      </c>
      <c r="F748" s="50" t="s">
        <v>163</v>
      </c>
      <c r="G748" s="51" t="s">
        <v>2028</v>
      </c>
      <c r="H748" s="53">
        <v>1027</v>
      </c>
      <c r="I748" s="38">
        <v>46254</v>
      </c>
      <c r="J748" s="35">
        <v>46260</v>
      </c>
      <c r="K748" s="36" t="s">
        <v>8</v>
      </c>
    </row>
    <row r="749" spans="4:11" ht="39.75" customHeight="1" x14ac:dyDescent="0.3">
      <c r="D749" s="48" t="s">
        <v>2029</v>
      </c>
      <c r="E749" s="49" t="s">
        <v>2030</v>
      </c>
      <c r="F749" s="50" t="s">
        <v>163</v>
      </c>
      <c r="G749" s="51" t="s">
        <v>2008</v>
      </c>
      <c r="H749" s="53">
        <v>1022</v>
      </c>
      <c r="I749" s="38">
        <v>46254</v>
      </c>
      <c r="J749" s="35">
        <v>46260</v>
      </c>
      <c r="K749" s="36" t="s">
        <v>8</v>
      </c>
    </row>
    <row r="750" spans="4:11" ht="39.75" customHeight="1" x14ac:dyDescent="0.3">
      <c r="D750" s="48" t="s">
        <v>2031</v>
      </c>
      <c r="E750" s="49" t="s">
        <v>2032</v>
      </c>
      <c r="F750" s="50" t="s">
        <v>163</v>
      </c>
      <c r="G750" s="51" t="s">
        <v>2008</v>
      </c>
      <c r="H750" s="53">
        <v>1022</v>
      </c>
      <c r="I750" s="38">
        <v>46256</v>
      </c>
      <c r="J750" s="35">
        <v>46260</v>
      </c>
      <c r="K750" s="36" t="s">
        <v>8</v>
      </c>
    </row>
    <row r="751" spans="4:11" ht="39.75" customHeight="1" x14ac:dyDescent="0.3">
      <c r="D751" s="48" t="s">
        <v>2033</v>
      </c>
      <c r="E751" s="49" t="s">
        <v>2034</v>
      </c>
      <c r="F751" s="50" t="s">
        <v>163</v>
      </c>
      <c r="G751" s="51" t="s">
        <v>2035</v>
      </c>
      <c r="H751" s="53">
        <v>1029</v>
      </c>
      <c r="I751" s="38">
        <v>46257</v>
      </c>
      <c r="J751" s="35">
        <v>46264</v>
      </c>
      <c r="K751" s="36" t="s">
        <v>8</v>
      </c>
    </row>
    <row r="752" spans="4:11" ht="39.75" customHeight="1" x14ac:dyDescent="0.3">
      <c r="D752" s="48" t="s">
        <v>2036</v>
      </c>
      <c r="E752" s="49" t="s">
        <v>2037</v>
      </c>
      <c r="F752" s="50" t="s">
        <v>163</v>
      </c>
      <c r="G752" s="51" t="s">
        <v>2038</v>
      </c>
      <c r="H752" s="53">
        <v>1041</v>
      </c>
      <c r="I752" s="38">
        <v>46257</v>
      </c>
      <c r="J752" s="35">
        <v>46260</v>
      </c>
      <c r="K752" s="36" t="s">
        <v>8</v>
      </c>
    </row>
    <row r="753" spans="4:11" ht="39.75" customHeight="1" x14ac:dyDescent="0.3">
      <c r="D753" s="48" t="s">
        <v>2039</v>
      </c>
      <c r="E753" s="49" t="s">
        <v>2040</v>
      </c>
      <c r="F753" s="50" t="s">
        <v>163</v>
      </c>
      <c r="G753" s="51" t="s">
        <v>2041</v>
      </c>
      <c r="H753" s="53">
        <v>1029</v>
      </c>
      <c r="I753" s="38">
        <v>46257</v>
      </c>
      <c r="J753" s="35">
        <v>46264</v>
      </c>
      <c r="K753" s="36" t="s">
        <v>8</v>
      </c>
    </row>
    <row r="754" spans="4:11" ht="39.75" customHeight="1" x14ac:dyDescent="0.3">
      <c r="D754" s="48" t="s">
        <v>2042</v>
      </c>
      <c r="E754" s="49" t="s">
        <v>2043</v>
      </c>
      <c r="F754" s="50" t="s">
        <v>163</v>
      </c>
      <c r="G754" s="51" t="s">
        <v>2044</v>
      </c>
      <c r="H754" s="53">
        <v>1025</v>
      </c>
      <c r="I754" s="38">
        <v>46257</v>
      </c>
      <c r="J754" s="35">
        <v>46260</v>
      </c>
      <c r="K754" s="36" t="s">
        <v>8</v>
      </c>
    </row>
    <row r="755" spans="4:11" ht="39.75" customHeight="1" x14ac:dyDescent="0.3">
      <c r="D755" s="48" t="s">
        <v>2045</v>
      </c>
      <c r="E755" s="49" t="s">
        <v>2046</v>
      </c>
      <c r="F755" s="50" t="s">
        <v>163</v>
      </c>
      <c r="G755" s="51" t="s">
        <v>2047</v>
      </c>
      <c r="H755" s="53">
        <v>1041</v>
      </c>
      <c r="I755" s="38">
        <v>46258</v>
      </c>
      <c r="J755" s="35">
        <v>46260</v>
      </c>
      <c r="K755" s="36" t="s">
        <v>8</v>
      </c>
    </row>
    <row r="756" spans="4:11" ht="39.75" customHeight="1" x14ac:dyDescent="0.3">
      <c r="D756" s="48" t="s">
        <v>2048</v>
      </c>
      <c r="E756" s="49" t="s">
        <v>2049</v>
      </c>
      <c r="F756" s="50" t="s">
        <v>163</v>
      </c>
      <c r="G756" s="51" t="s">
        <v>2050</v>
      </c>
      <c r="H756" s="53">
        <v>1047</v>
      </c>
      <c r="I756" s="38">
        <v>46258</v>
      </c>
      <c r="J756" s="35">
        <v>46260</v>
      </c>
      <c r="K756" s="36" t="s">
        <v>8</v>
      </c>
    </row>
    <row r="757" spans="4:11" ht="39.75" customHeight="1" x14ac:dyDescent="0.3">
      <c r="D757" s="48" t="s">
        <v>2051</v>
      </c>
      <c r="E757" s="49" t="s">
        <v>2052</v>
      </c>
      <c r="F757" s="50" t="s">
        <v>163</v>
      </c>
      <c r="G757" s="51" t="s">
        <v>2053</v>
      </c>
      <c r="H757" s="53">
        <v>1029</v>
      </c>
      <c r="I757" s="38">
        <v>46258</v>
      </c>
      <c r="J757" s="35">
        <v>46264</v>
      </c>
      <c r="K757" s="36" t="s">
        <v>8</v>
      </c>
    </row>
    <row r="758" spans="4:11" ht="39.75" customHeight="1" x14ac:dyDescent="0.3">
      <c r="D758" s="48" t="s">
        <v>2054</v>
      </c>
      <c r="E758" s="49" t="s">
        <v>2055</v>
      </c>
      <c r="F758" s="50" t="s">
        <v>163</v>
      </c>
      <c r="G758" s="51" t="s">
        <v>2056</v>
      </c>
      <c r="H758" s="53">
        <v>1022</v>
      </c>
      <c r="I758" s="38">
        <v>46258</v>
      </c>
      <c r="J758" s="35">
        <v>46265</v>
      </c>
      <c r="K758" s="36" t="s">
        <v>8</v>
      </c>
    </row>
    <row r="759" spans="4:11" ht="39.75" customHeight="1" x14ac:dyDescent="0.3">
      <c r="D759" s="48" t="s">
        <v>2057</v>
      </c>
      <c r="E759" s="49" t="s">
        <v>2058</v>
      </c>
      <c r="F759" s="50" t="s">
        <v>163</v>
      </c>
      <c r="G759" s="51" t="s">
        <v>2059</v>
      </c>
      <c r="H759" s="53">
        <v>1022</v>
      </c>
      <c r="I759" s="38">
        <v>46258</v>
      </c>
      <c r="J759" s="35">
        <v>46265</v>
      </c>
      <c r="K759" s="36" t="s">
        <v>8</v>
      </c>
    </row>
    <row r="760" spans="4:11" ht="39.75" customHeight="1" x14ac:dyDescent="0.3">
      <c r="D760" s="48" t="s">
        <v>2060</v>
      </c>
      <c r="E760" s="49" t="s">
        <v>2061</v>
      </c>
      <c r="F760" s="50" t="s">
        <v>163</v>
      </c>
      <c r="G760" s="51" t="s">
        <v>2062</v>
      </c>
      <c r="H760" s="53">
        <v>1041</v>
      </c>
      <c r="I760" s="38">
        <v>46258</v>
      </c>
      <c r="J760" s="35">
        <v>46260</v>
      </c>
      <c r="K760" s="36" t="s">
        <v>8</v>
      </c>
    </row>
    <row r="761" spans="4:11" ht="39.75" customHeight="1" x14ac:dyDescent="0.3">
      <c r="D761" s="48" t="s">
        <v>2063</v>
      </c>
      <c r="E761" s="49" t="s">
        <v>2064</v>
      </c>
      <c r="F761" s="50" t="s">
        <v>163</v>
      </c>
      <c r="G761" s="51" t="s">
        <v>2065</v>
      </c>
      <c r="H761" s="53">
        <v>1022</v>
      </c>
      <c r="I761" s="38">
        <v>46258</v>
      </c>
      <c r="J761" s="35">
        <v>46274</v>
      </c>
      <c r="K761" s="36" t="s">
        <v>8</v>
      </c>
    </row>
    <row r="762" spans="4:11" ht="39.75" customHeight="1" x14ac:dyDescent="0.3">
      <c r="D762" s="48" t="s">
        <v>2066</v>
      </c>
      <c r="E762" s="49" t="s">
        <v>2067</v>
      </c>
      <c r="F762" s="50" t="s">
        <v>163</v>
      </c>
      <c r="G762" s="51" t="s">
        <v>2068</v>
      </c>
      <c r="H762" s="53">
        <v>1041</v>
      </c>
      <c r="I762" s="38">
        <v>46259</v>
      </c>
      <c r="J762" s="35">
        <v>46264</v>
      </c>
      <c r="K762" s="36" t="s">
        <v>8</v>
      </c>
    </row>
    <row r="763" spans="4:11" ht="39.75" customHeight="1" x14ac:dyDescent="0.3">
      <c r="D763" s="48" t="s">
        <v>2069</v>
      </c>
      <c r="E763" s="49" t="s">
        <v>2070</v>
      </c>
      <c r="F763" s="50" t="s">
        <v>163</v>
      </c>
      <c r="G763" s="51" t="s">
        <v>2071</v>
      </c>
      <c r="H763" s="53">
        <v>1043</v>
      </c>
      <c r="I763" s="38">
        <v>46259</v>
      </c>
      <c r="J763" s="35">
        <v>46266</v>
      </c>
      <c r="K763" s="36" t="s">
        <v>8</v>
      </c>
    </row>
    <row r="764" spans="4:11" ht="39.75" customHeight="1" x14ac:dyDescent="0.3">
      <c r="D764" s="48" t="s">
        <v>2072</v>
      </c>
      <c r="E764" s="49" t="s">
        <v>2073</v>
      </c>
      <c r="F764" s="50" t="s">
        <v>163</v>
      </c>
      <c r="G764" s="51" t="s">
        <v>2074</v>
      </c>
      <c r="H764" s="53">
        <v>1023</v>
      </c>
      <c r="I764" s="38">
        <v>46259</v>
      </c>
      <c r="J764" s="35">
        <v>46267</v>
      </c>
      <c r="K764" s="36" t="s">
        <v>8</v>
      </c>
    </row>
    <row r="765" spans="4:11" ht="39.75" customHeight="1" x14ac:dyDescent="0.3">
      <c r="D765" s="48" t="s">
        <v>2075</v>
      </c>
      <c r="E765" s="49" t="s">
        <v>2076</v>
      </c>
      <c r="F765" s="50" t="s">
        <v>163</v>
      </c>
      <c r="G765" s="51" t="s">
        <v>2077</v>
      </c>
      <c r="H765" s="53">
        <v>1020</v>
      </c>
      <c r="I765" s="38">
        <v>46260</v>
      </c>
      <c r="J765" s="35">
        <v>46264</v>
      </c>
      <c r="K765" s="36" t="s">
        <v>8</v>
      </c>
    </row>
    <row r="766" spans="4:11" ht="39.75" customHeight="1" x14ac:dyDescent="0.3">
      <c r="D766" s="48" t="s">
        <v>2078</v>
      </c>
      <c r="E766" s="49" t="s">
        <v>2079</v>
      </c>
      <c r="F766" s="50" t="s">
        <v>163</v>
      </c>
      <c r="G766" s="51" t="s">
        <v>2080</v>
      </c>
      <c r="H766" s="53">
        <v>1041</v>
      </c>
      <c r="I766" s="38">
        <v>46260</v>
      </c>
      <c r="J766" s="35">
        <v>46260</v>
      </c>
      <c r="K766" s="36" t="s">
        <v>8</v>
      </c>
    </row>
    <row r="767" spans="4:11" ht="39.75" customHeight="1" x14ac:dyDescent="0.3">
      <c r="D767" s="48" t="s">
        <v>2081</v>
      </c>
      <c r="E767" s="49" t="s">
        <v>2082</v>
      </c>
      <c r="F767" s="50" t="s">
        <v>163</v>
      </c>
      <c r="G767" s="51" t="s">
        <v>2083</v>
      </c>
      <c r="H767" s="53">
        <v>1021</v>
      </c>
      <c r="I767" s="38">
        <v>46260</v>
      </c>
      <c r="J767" s="35">
        <v>46268</v>
      </c>
      <c r="K767" s="36" t="s">
        <v>8</v>
      </c>
    </row>
    <row r="768" spans="4:11" ht="39.75" customHeight="1" x14ac:dyDescent="0.3">
      <c r="D768" s="48" t="s">
        <v>2084</v>
      </c>
      <c r="E768" s="49" t="s">
        <v>2085</v>
      </c>
      <c r="F768" s="50" t="s">
        <v>163</v>
      </c>
      <c r="G768" s="51" t="s">
        <v>2086</v>
      </c>
      <c r="H768" s="53">
        <v>1036</v>
      </c>
      <c r="I768" s="38">
        <v>46260</v>
      </c>
      <c r="J768" s="35">
        <v>46260</v>
      </c>
      <c r="K768" s="36" t="s">
        <v>8</v>
      </c>
    </row>
    <row r="769" spans="4:11" ht="39.75" customHeight="1" x14ac:dyDescent="0.3">
      <c r="D769" s="48" t="s">
        <v>2087</v>
      </c>
      <c r="E769" s="49" t="s">
        <v>2088</v>
      </c>
      <c r="F769" s="50" t="s">
        <v>163</v>
      </c>
      <c r="G769" s="51" t="s">
        <v>1963</v>
      </c>
      <c r="H769" s="53">
        <v>1029</v>
      </c>
      <c r="I769" s="38">
        <v>46260</v>
      </c>
      <c r="J769" s="35">
        <v>46266</v>
      </c>
      <c r="K769" s="36" t="s">
        <v>8</v>
      </c>
    </row>
    <row r="770" spans="4:11" ht="39.75" customHeight="1" x14ac:dyDescent="0.3">
      <c r="D770" s="48" t="s">
        <v>2089</v>
      </c>
      <c r="E770" s="49" t="s">
        <v>2090</v>
      </c>
      <c r="F770" s="50" t="s">
        <v>163</v>
      </c>
      <c r="G770" s="51" t="s">
        <v>2091</v>
      </c>
      <c r="H770" s="53">
        <v>1031</v>
      </c>
      <c r="I770" s="38">
        <v>46260</v>
      </c>
      <c r="J770" s="35">
        <v>46265</v>
      </c>
      <c r="K770" s="36" t="s">
        <v>8</v>
      </c>
    </row>
    <row r="771" spans="4:11" ht="39.75" customHeight="1" x14ac:dyDescent="0.3">
      <c r="D771" s="48" t="s">
        <v>2092</v>
      </c>
      <c r="E771" s="49" t="s">
        <v>2093</v>
      </c>
      <c r="F771" s="50" t="s">
        <v>163</v>
      </c>
      <c r="G771" s="51" t="s">
        <v>2094</v>
      </c>
      <c r="H771" s="53">
        <v>1024</v>
      </c>
      <c r="I771" s="38">
        <v>46260</v>
      </c>
      <c r="J771" s="35">
        <v>46264</v>
      </c>
      <c r="K771" s="36" t="s">
        <v>8</v>
      </c>
    </row>
    <row r="772" spans="4:11" ht="39.75" customHeight="1" x14ac:dyDescent="0.3">
      <c r="D772" s="48" t="s">
        <v>2095</v>
      </c>
      <c r="E772" s="49" t="s">
        <v>2096</v>
      </c>
      <c r="F772" s="50" t="s">
        <v>163</v>
      </c>
      <c r="G772" s="51" t="s">
        <v>2097</v>
      </c>
      <c r="H772" s="53">
        <v>1021</v>
      </c>
      <c r="I772" s="38">
        <v>46260</v>
      </c>
      <c r="J772" s="35">
        <v>46265</v>
      </c>
      <c r="K772" s="36" t="s">
        <v>8</v>
      </c>
    </row>
    <row r="773" spans="4:11" ht="39.75" customHeight="1" x14ac:dyDescent="0.3">
      <c r="D773" s="48" t="s">
        <v>2098</v>
      </c>
      <c r="E773" s="49" t="s">
        <v>2099</v>
      </c>
      <c r="F773" s="50" t="s">
        <v>163</v>
      </c>
      <c r="G773" s="51" t="s">
        <v>2100</v>
      </c>
      <c r="H773" s="53">
        <v>1024</v>
      </c>
      <c r="I773" s="38">
        <v>46260</v>
      </c>
      <c r="J773" s="35">
        <v>46265</v>
      </c>
      <c r="K773" s="36" t="s">
        <v>8</v>
      </c>
    </row>
    <row r="774" spans="4:11" ht="39.75" customHeight="1" x14ac:dyDescent="0.3">
      <c r="D774" s="48" t="s">
        <v>2101</v>
      </c>
      <c r="E774" s="49" t="s">
        <v>2102</v>
      </c>
      <c r="F774" s="50" t="s">
        <v>163</v>
      </c>
      <c r="G774" s="51" t="s">
        <v>1544</v>
      </c>
      <c r="H774" s="53">
        <v>1029</v>
      </c>
      <c r="I774" s="38">
        <v>46260</v>
      </c>
      <c r="J774" s="35">
        <v>46273</v>
      </c>
      <c r="K774" s="36" t="s">
        <v>8</v>
      </c>
    </row>
    <row r="775" spans="4:11" ht="39.75" customHeight="1" x14ac:dyDescent="0.3">
      <c r="D775" s="48" t="s">
        <v>2103</v>
      </c>
      <c r="E775" s="49" t="s">
        <v>2104</v>
      </c>
      <c r="F775" s="50" t="s">
        <v>163</v>
      </c>
      <c r="G775" s="51" t="s">
        <v>2105</v>
      </c>
      <c r="H775" s="53">
        <v>1043</v>
      </c>
      <c r="I775" s="38">
        <v>46260</v>
      </c>
      <c r="J775" s="35">
        <v>46266</v>
      </c>
      <c r="K775" s="36" t="s">
        <v>8</v>
      </c>
    </row>
    <row r="776" spans="4:11" ht="39.75" customHeight="1" x14ac:dyDescent="0.3">
      <c r="D776" s="48" t="s">
        <v>2106</v>
      </c>
      <c r="E776" s="49" t="s">
        <v>2107</v>
      </c>
      <c r="F776" s="50" t="s">
        <v>163</v>
      </c>
      <c r="G776" s="51" t="s">
        <v>2108</v>
      </c>
      <c r="H776" s="53">
        <v>1060</v>
      </c>
      <c r="I776" s="38">
        <v>46260</v>
      </c>
      <c r="J776" s="35">
        <v>46268</v>
      </c>
      <c r="K776" s="36" t="s">
        <v>8</v>
      </c>
    </row>
    <row r="777" spans="4:11" ht="39.75" customHeight="1" x14ac:dyDescent="0.3">
      <c r="D777" s="48" t="s">
        <v>2109</v>
      </c>
      <c r="E777" s="49" t="s">
        <v>2110</v>
      </c>
      <c r="F777" s="50" t="s">
        <v>163</v>
      </c>
      <c r="G777" s="51" t="s">
        <v>2111</v>
      </c>
      <c r="H777" s="53">
        <v>1022</v>
      </c>
      <c r="I777" s="38">
        <v>46260</v>
      </c>
      <c r="J777" s="35">
        <v>46265</v>
      </c>
      <c r="K777" s="36" t="s">
        <v>8</v>
      </c>
    </row>
    <row r="778" spans="4:11" ht="39.75" customHeight="1" x14ac:dyDescent="0.3">
      <c r="D778" s="48" t="s">
        <v>2112</v>
      </c>
      <c r="E778" s="49" t="s">
        <v>2113</v>
      </c>
      <c r="F778" s="50" t="s">
        <v>163</v>
      </c>
      <c r="G778" s="51" t="s">
        <v>2114</v>
      </c>
      <c r="H778" s="53">
        <v>1029</v>
      </c>
      <c r="I778" s="38">
        <v>46260</v>
      </c>
      <c r="J778" s="35">
        <v>46266</v>
      </c>
      <c r="K778" s="36" t="s">
        <v>8</v>
      </c>
    </row>
    <row r="779" spans="4:11" ht="39.75" customHeight="1" x14ac:dyDescent="0.3">
      <c r="D779" s="48" t="s">
        <v>2115</v>
      </c>
      <c r="E779" s="49" t="s">
        <v>2116</v>
      </c>
      <c r="F779" s="50" t="s">
        <v>163</v>
      </c>
      <c r="G779" s="51" t="s">
        <v>2117</v>
      </c>
      <c r="H779" s="53">
        <v>1047</v>
      </c>
      <c r="I779" s="38">
        <v>46263</v>
      </c>
      <c r="J779" s="35">
        <v>46265</v>
      </c>
      <c r="K779" s="36" t="s">
        <v>8</v>
      </c>
    </row>
    <row r="780" spans="4:11" ht="39.75" customHeight="1" x14ac:dyDescent="0.3">
      <c r="D780" s="48" t="s">
        <v>2118</v>
      </c>
      <c r="E780" s="49" t="s">
        <v>2119</v>
      </c>
      <c r="F780" s="50" t="s">
        <v>163</v>
      </c>
      <c r="G780" s="51" t="s">
        <v>2120</v>
      </c>
      <c r="H780" s="53">
        <v>1023</v>
      </c>
      <c r="I780" s="38">
        <v>46264</v>
      </c>
      <c r="J780" s="35">
        <v>46266</v>
      </c>
      <c r="K780" s="36" t="s">
        <v>8</v>
      </c>
    </row>
    <row r="781" spans="4:11" ht="39.75" customHeight="1" x14ac:dyDescent="0.3">
      <c r="D781" s="48" t="s">
        <v>2121</v>
      </c>
      <c r="E781" s="49" t="s">
        <v>2122</v>
      </c>
      <c r="F781" s="50" t="s">
        <v>163</v>
      </c>
      <c r="G781" s="51" t="s">
        <v>2123</v>
      </c>
      <c r="H781" s="53">
        <v>1029</v>
      </c>
      <c r="I781" s="38">
        <v>46264</v>
      </c>
      <c r="J781" s="35">
        <v>46268</v>
      </c>
      <c r="K781" s="36" t="s">
        <v>8</v>
      </c>
    </row>
    <row r="782" spans="4:11" ht="39.75" customHeight="1" x14ac:dyDescent="0.3">
      <c r="D782" s="48" t="s">
        <v>2124</v>
      </c>
      <c r="E782" s="49" t="s">
        <v>2125</v>
      </c>
      <c r="F782" s="50" t="s">
        <v>163</v>
      </c>
      <c r="G782" s="51" t="s">
        <v>2126</v>
      </c>
      <c r="H782" s="53">
        <v>1024</v>
      </c>
      <c r="I782" s="38">
        <v>46264</v>
      </c>
      <c r="J782" s="35">
        <v>46265</v>
      </c>
      <c r="K782" s="36" t="s">
        <v>8</v>
      </c>
    </row>
    <row r="783" spans="4:11" ht="39.75" customHeight="1" x14ac:dyDescent="0.3">
      <c r="D783" s="48" t="s">
        <v>2127</v>
      </c>
      <c r="E783" s="49" t="s">
        <v>2128</v>
      </c>
      <c r="F783" s="50" t="s">
        <v>163</v>
      </c>
      <c r="G783" s="51" t="s">
        <v>2129</v>
      </c>
      <c r="H783" s="53">
        <v>1041</v>
      </c>
      <c r="I783" s="38">
        <v>46265</v>
      </c>
      <c r="J783" s="35">
        <v>46274</v>
      </c>
      <c r="K783" s="36" t="s">
        <v>8</v>
      </c>
    </row>
    <row r="784" spans="4:11" ht="39.75" customHeight="1" x14ac:dyDescent="0.3">
      <c r="D784" s="48" t="s">
        <v>2130</v>
      </c>
      <c r="E784" s="49" t="s">
        <v>2131</v>
      </c>
      <c r="F784" s="50" t="s">
        <v>163</v>
      </c>
      <c r="G784" s="51" t="s">
        <v>2132</v>
      </c>
      <c r="H784" s="53">
        <v>1041</v>
      </c>
      <c r="I784" s="38">
        <v>46265</v>
      </c>
      <c r="J784" s="35">
        <v>46268</v>
      </c>
      <c r="K784" s="36" t="s">
        <v>8</v>
      </c>
    </row>
    <row r="785" spans="4:11" ht="39.75" customHeight="1" x14ac:dyDescent="0.3">
      <c r="D785" s="48" t="s">
        <v>2133</v>
      </c>
      <c r="E785" s="49" t="s">
        <v>2134</v>
      </c>
      <c r="F785" s="50" t="s">
        <v>163</v>
      </c>
      <c r="G785" s="51" t="s">
        <v>2135</v>
      </c>
      <c r="H785" s="53">
        <v>1022</v>
      </c>
      <c r="I785" s="38">
        <v>46265</v>
      </c>
      <c r="J785" s="35">
        <v>46273</v>
      </c>
      <c r="K785" s="36" t="s">
        <v>8</v>
      </c>
    </row>
    <row r="786" spans="4:11" ht="39.75" customHeight="1" x14ac:dyDescent="0.3">
      <c r="D786" s="48" t="s">
        <v>2136</v>
      </c>
      <c r="E786" s="49" t="s">
        <v>2137</v>
      </c>
      <c r="F786" s="50" t="s">
        <v>163</v>
      </c>
      <c r="G786" s="51" t="s">
        <v>2138</v>
      </c>
      <c r="H786" s="53">
        <v>1029</v>
      </c>
      <c r="I786" s="38">
        <v>46266</v>
      </c>
      <c r="J786" s="35">
        <v>46273</v>
      </c>
      <c r="K786" s="36" t="s">
        <v>8</v>
      </c>
    </row>
    <row r="787" spans="4:11" ht="39.75" customHeight="1" x14ac:dyDescent="0.3">
      <c r="D787" s="48" t="s">
        <v>2139</v>
      </c>
      <c r="E787" s="49"/>
      <c r="F787" s="50" t="s">
        <v>163</v>
      </c>
      <c r="G787" s="51" t="s">
        <v>2140</v>
      </c>
      <c r="H787" s="53">
        <v>1029</v>
      </c>
      <c r="I787" s="38">
        <v>46266</v>
      </c>
      <c r="J787" s="35">
        <v>46268</v>
      </c>
      <c r="K787" s="36" t="s">
        <v>8</v>
      </c>
    </row>
    <row r="788" spans="4:11" ht="39.75" customHeight="1" x14ac:dyDescent="0.3">
      <c r="D788" s="48" t="s">
        <v>2141</v>
      </c>
      <c r="E788" s="49" t="s">
        <v>2142</v>
      </c>
      <c r="F788" s="50" t="s">
        <v>163</v>
      </c>
      <c r="G788" s="51" t="s">
        <v>2143</v>
      </c>
      <c r="H788" s="53">
        <v>1029</v>
      </c>
      <c r="I788" s="38">
        <v>46266</v>
      </c>
      <c r="J788" s="35">
        <v>46268</v>
      </c>
      <c r="K788" s="36" t="s">
        <v>8</v>
      </c>
    </row>
    <row r="789" spans="4:11" ht="39.75" customHeight="1" x14ac:dyDescent="0.3">
      <c r="D789" s="48" t="s">
        <v>2144</v>
      </c>
      <c r="E789" s="49" t="s">
        <v>2145</v>
      </c>
      <c r="F789" s="50" t="s">
        <v>163</v>
      </c>
      <c r="G789" s="51" t="s">
        <v>2143</v>
      </c>
      <c r="H789" s="53">
        <v>1029</v>
      </c>
      <c r="I789" s="38">
        <v>46266</v>
      </c>
      <c r="J789" s="35">
        <v>46271</v>
      </c>
      <c r="K789" s="36" t="s">
        <v>8</v>
      </c>
    </row>
    <row r="790" spans="4:11" ht="39.75" customHeight="1" x14ac:dyDescent="0.3">
      <c r="D790" s="48" t="s">
        <v>2146</v>
      </c>
      <c r="E790" s="49" t="s">
        <v>2147</v>
      </c>
      <c r="F790" s="50" t="s">
        <v>163</v>
      </c>
      <c r="G790" s="51" t="s">
        <v>2148</v>
      </c>
      <c r="H790" s="53">
        <v>1022</v>
      </c>
      <c r="I790" s="38">
        <v>46266</v>
      </c>
      <c r="J790" s="35">
        <v>46274</v>
      </c>
      <c r="K790" s="36" t="s">
        <v>8</v>
      </c>
    </row>
    <row r="791" spans="4:11" ht="39.75" customHeight="1" x14ac:dyDescent="0.3">
      <c r="D791" s="48" t="s">
        <v>2149</v>
      </c>
      <c r="E791" s="49" t="s">
        <v>2150</v>
      </c>
      <c r="F791" s="50" t="s">
        <v>163</v>
      </c>
      <c r="G791" s="51" t="s">
        <v>2151</v>
      </c>
      <c r="H791" s="53">
        <v>1026</v>
      </c>
      <c r="I791" s="38">
        <v>46266</v>
      </c>
      <c r="J791" s="35">
        <v>46268</v>
      </c>
      <c r="K791" s="36" t="s">
        <v>8</v>
      </c>
    </row>
    <row r="792" spans="4:11" ht="39.75" customHeight="1" x14ac:dyDescent="0.3">
      <c r="D792" s="48" t="s">
        <v>2152</v>
      </c>
      <c r="E792" s="49" t="s">
        <v>2153</v>
      </c>
      <c r="F792" s="50" t="s">
        <v>163</v>
      </c>
      <c r="G792" s="51" t="s">
        <v>2154</v>
      </c>
      <c r="H792" s="53">
        <v>1041</v>
      </c>
      <c r="I792" s="38">
        <v>46267</v>
      </c>
      <c r="J792" s="35"/>
      <c r="K792" s="36" t="s">
        <v>7</v>
      </c>
    </row>
    <row r="793" spans="4:11" ht="39.75" customHeight="1" x14ac:dyDescent="0.3">
      <c r="D793" s="48" t="s">
        <v>2155</v>
      </c>
      <c r="E793" s="49" t="s">
        <v>2156</v>
      </c>
      <c r="F793" s="50" t="s">
        <v>163</v>
      </c>
      <c r="G793" s="51" t="s">
        <v>2157</v>
      </c>
      <c r="H793" s="53">
        <v>1023</v>
      </c>
      <c r="I793" s="38">
        <v>46267</v>
      </c>
      <c r="J793" s="35">
        <v>46280</v>
      </c>
      <c r="K793" s="36" t="s">
        <v>8</v>
      </c>
    </row>
    <row r="794" spans="4:11" ht="39.75" customHeight="1" x14ac:dyDescent="0.3">
      <c r="D794" s="48" t="s">
        <v>2158</v>
      </c>
      <c r="E794" s="49" t="s">
        <v>2159</v>
      </c>
      <c r="F794" s="50" t="s">
        <v>163</v>
      </c>
      <c r="G794" s="51" t="s">
        <v>2056</v>
      </c>
      <c r="H794" s="53">
        <v>1022</v>
      </c>
      <c r="I794" s="38">
        <v>46267</v>
      </c>
      <c r="J794" s="35">
        <v>46274</v>
      </c>
      <c r="K794" s="36" t="s">
        <v>8</v>
      </c>
    </row>
    <row r="795" spans="4:11" ht="39.75" customHeight="1" x14ac:dyDescent="0.3">
      <c r="D795" s="48" t="s">
        <v>2160</v>
      </c>
      <c r="E795" s="49" t="s">
        <v>2161</v>
      </c>
      <c r="F795" s="50" t="s">
        <v>163</v>
      </c>
      <c r="G795" s="51" t="s">
        <v>2162</v>
      </c>
      <c r="H795" s="53">
        <v>1029</v>
      </c>
      <c r="I795" s="38">
        <v>46267</v>
      </c>
      <c r="J795" s="35">
        <v>46273</v>
      </c>
      <c r="K795" s="36" t="s">
        <v>8</v>
      </c>
    </row>
    <row r="796" spans="4:11" ht="39.75" customHeight="1" x14ac:dyDescent="0.3">
      <c r="D796" s="48" t="s">
        <v>2163</v>
      </c>
      <c r="E796" s="49" t="s">
        <v>2164</v>
      </c>
      <c r="F796" s="50" t="s">
        <v>163</v>
      </c>
      <c r="G796" s="51" t="s">
        <v>1530</v>
      </c>
      <c r="H796" s="53">
        <v>1022</v>
      </c>
      <c r="I796" s="38">
        <v>46267</v>
      </c>
      <c r="J796" s="35">
        <v>46274</v>
      </c>
      <c r="K796" s="36" t="s">
        <v>8</v>
      </c>
    </row>
    <row r="797" spans="4:11" ht="39.75" customHeight="1" x14ac:dyDescent="0.3">
      <c r="D797" s="48" t="s">
        <v>2165</v>
      </c>
      <c r="E797" s="49" t="s">
        <v>2166</v>
      </c>
      <c r="F797" s="50" t="s">
        <v>163</v>
      </c>
      <c r="G797" s="51" t="s">
        <v>2167</v>
      </c>
      <c r="H797" s="53">
        <v>1029</v>
      </c>
      <c r="I797" s="38">
        <v>46267</v>
      </c>
      <c r="J797" s="35">
        <v>46273</v>
      </c>
      <c r="K797" s="36" t="s">
        <v>8</v>
      </c>
    </row>
    <row r="798" spans="4:11" ht="39.75" customHeight="1" x14ac:dyDescent="0.3">
      <c r="D798" s="48" t="s">
        <v>2168</v>
      </c>
      <c r="E798" s="49" t="s">
        <v>2169</v>
      </c>
      <c r="F798" s="50" t="s">
        <v>163</v>
      </c>
      <c r="G798" s="51" t="s">
        <v>2170</v>
      </c>
      <c r="H798" s="53">
        <v>1021</v>
      </c>
      <c r="I798" s="38">
        <v>46268</v>
      </c>
      <c r="J798" s="35">
        <v>46275</v>
      </c>
      <c r="K798" s="36" t="s">
        <v>8</v>
      </c>
    </row>
    <row r="799" spans="4:11" ht="39.75" customHeight="1" x14ac:dyDescent="0.3">
      <c r="D799" s="48" t="s">
        <v>2171</v>
      </c>
      <c r="E799" s="49" t="s">
        <v>2172</v>
      </c>
      <c r="F799" s="50" t="s">
        <v>163</v>
      </c>
      <c r="G799" s="51" t="s">
        <v>2173</v>
      </c>
      <c r="H799" s="53">
        <v>1031</v>
      </c>
      <c r="I799" s="38">
        <v>46268</v>
      </c>
      <c r="J799" s="35">
        <v>46273</v>
      </c>
      <c r="K799" s="36" t="s">
        <v>8</v>
      </c>
    </row>
    <row r="800" spans="4:11" ht="39.75" customHeight="1" x14ac:dyDescent="0.3">
      <c r="D800" s="48" t="s">
        <v>2174</v>
      </c>
      <c r="E800" s="49" t="s">
        <v>2175</v>
      </c>
      <c r="F800" s="50" t="s">
        <v>163</v>
      </c>
      <c r="G800" s="51" t="s">
        <v>2176</v>
      </c>
      <c r="H800" s="53">
        <v>1022</v>
      </c>
      <c r="I800" s="38">
        <v>46268</v>
      </c>
      <c r="J800" s="35">
        <v>46273</v>
      </c>
      <c r="K800" s="36" t="s">
        <v>8</v>
      </c>
    </row>
    <row r="801" spans="4:11" ht="39.75" customHeight="1" x14ac:dyDescent="0.3">
      <c r="D801" s="48" t="s">
        <v>2177</v>
      </c>
      <c r="E801" s="49" t="s">
        <v>2178</v>
      </c>
      <c r="F801" s="50" t="s">
        <v>163</v>
      </c>
      <c r="G801" s="51" t="s">
        <v>2179</v>
      </c>
      <c r="H801" s="53">
        <v>1022</v>
      </c>
      <c r="I801" s="38">
        <v>46268</v>
      </c>
      <c r="J801" s="35">
        <v>46273</v>
      </c>
      <c r="K801" s="36" t="s">
        <v>8</v>
      </c>
    </row>
    <row r="802" spans="4:11" ht="39.75" customHeight="1" x14ac:dyDescent="0.3">
      <c r="D802" s="48" t="s">
        <v>2180</v>
      </c>
      <c r="E802" s="49" t="s">
        <v>2181</v>
      </c>
      <c r="F802" s="50" t="s">
        <v>163</v>
      </c>
      <c r="G802" s="51" t="s">
        <v>2182</v>
      </c>
      <c r="H802" s="53">
        <v>1026</v>
      </c>
      <c r="I802" s="38">
        <v>46268</v>
      </c>
      <c r="J802" s="35">
        <v>46273</v>
      </c>
      <c r="K802" s="36" t="s">
        <v>8</v>
      </c>
    </row>
    <row r="803" spans="4:11" ht="39.75" customHeight="1" x14ac:dyDescent="0.3">
      <c r="D803" s="48" t="s">
        <v>2183</v>
      </c>
      <c r="E803" s="49" t="s">
        <v>2184</v>
      </c>
      <c r="F803" s="50" t="s">
        <v>163</v>
      </c>
      <c r="G803" s="51" t="s">
        <v>2185</v>
      </c>
      <c r="H803" s="53">
        <v>1029</v>
      </c>
      <c r="I803" s="38">
        <v>46268</v>
      </c>
      <c r="J803" s="35">
        <v>46273</v>
      </c>
      <c r="K803" s="36" t="s">
        <v>8</v>
      </c>
    </row>
    <row r="804" spans="4:11" ht="39.75" customHeight="1" x14ac:dyDescent="0.3">
      <c r="D804" s="48" t="s">
        <v>2186</v>
      </c>
      <c r="E804" s="49" t="s">
        <v>2187</v>
      </c>
      <c r="F804" s="50" t="s">
        <v>163</v>
      </c>
      <c r="G804" s="51" t="s">
        <v>1203</v>
      </c>
      <c r="H804" s="53">
        <v>1022</v>
      </c>
      <c r="I804" s="38">
        <v>46268</v>
      </c>
      <c r="J804" s="35">
        <v>46274</v>
      </c>
      <c r="K804" s="36" t="s">
        <v>8</v>
      </c>
    </row>
    <row r="805" spans="4:11" ht="39.75" customHeight="1" x14ac:dyDescent="0.3">
      <c r="D805" s="48" t="s">
        <v>2188</v>
      </c>
      <c r="E805" s="49" t="s">
        <v>2189</v>
      </c>
      <c r="F805" s="50" t="s">
        <v>163</v>
      </c>
      <c r="G805" s="51" t="s">
        <v>2190</v>
      </c>
      <c r="H805" s="53">
        <v>1023</v>
      </c>
      <c r="I805" s="38">
        <v>46271</v>
      </c>
      <c r="J805" s="35">
        <v>46274</v>
      </c>
      <c r="K805" s="36" t="s">
        <v>8</v>
      </c>
    </row>
    <row r="806" spans="4:11" ht="39.75" customHeight="1" x14ac:dyDescent="0.3">
      <c r="D806" s="48" t="s">
        <v>2191</v>
      </c>
      <c r="E806" s="49" t="s">
        <v>2192</v>
      </c>
      <c r="F806" s="50" t="s">
        <v>163</v>
      </c>
      <c r="G806" s="51" t="s">
        <v>2193</v>
      </c>
      <c r="H806" s="53">
        <v>1024</v>
      </c>
      <c r="I806" s="38">
        <v>46271</v>
      </c>
      <c r="J806" s="35">
        <v>46273</v>
      </c>
      <c r="K806" s="36" t="s">
        <v>8</v>
      </c>
    </row>
    <row r="807" spans="4:11" ht="39.75" customHeight="1" x14ac:dyDescent="0.3">
      <c r="D807" s="48" t="s">
        <v>2194</v>
      </c>
      <c r="E807" s="49" t="s">
        <v>2195</v>
      </c>
      <c r="F807" s="50" t="s">
        <v>163</v>
      </c>
      <c r="G807" s="51" t="s">
        <v>2196</v>
      </c>
      <c r="H807" s="53">
        <v>1027</v>
      </c>
      <c r="I807" s="38">
        <v>46271</v>
      </c>
      <c r="J807" s="35">
        <v>46274</v>
      </c>
      <c r="K807" s="36" t="s">
        <v>8</v>
      </c>
    </row>
    <row r="808" spans="4:11" ht="39.75" customHeight="1" x14ac:dyDescent="0.3">
      <c r="D808" s="48" t="s">
        <v>2197</v>
      </c>
      <c r="E808" s="49" t="s">
        <v>2198</v>
      </c>
      <c r="F808" s="50" t="s">
        <v>163</v>
      </c>
      <c r="G808" s="51" t="s">
        <v>2199</v>
      </c>
      <c r="H808" s="53">
        <v>1029</v>
      </c>
      <c r="I808" s="38">
        <v>46271</v>
      </c>
      <c r="J808" s="35">
        <v>46273</v>
      </c>
      <c r="K808" s="36" t="s">
        <v>8</v>
      </c>
    </row>
    <row r="809" spans="4:11" ht="39.75" customHeight="1" x14ac:dyDescent="0.3">
      <c r="D809" s="48" t="s">
        <v>2200</v>
      </c>
      <c r="E809" s="49" t="s">
        <v>2201</v>
      </c>
      <c r="F809" s="50" t="s">
        <v>163</v>
      </c>
      <c r="G809" s="51" t="s">
        <v>2202</v>
      </c>
      <c r="H809" s="53">
        <v>1029</v>
      </c>
      <c r="I809" s="38">
        <v>46271</v>
      </c>
      <c r="J809" s="35">
        <v>46280</v>
      </c>
      <c r="K809" s="36" t="s">
        <v>8</v>
      </c>
    </row>
    <row r="810" spans="4:11" ht="39.75" customHeight="1" x14ac:dyDescent="0.3">
      <c r="D810" s="48" t="s">
        <v>2203</v>
      </c>
      <c r="E810" s="49" t="s">
        <v>2204</v>
      </c>
      <c r="F810" s="50" t="s">
        <v>163</v>
      </c>
      <c r="G810" s="51" t="s">
        <v>2205</v>
      </c>
      <c r="H810" s="53">
        <v>1029</v>
      </c>
      <c r="I810" s="38">
        <v>46271</v>
      </c>
      <c r="J810" s="35">
        <v>46274</v>
      </c>
      <c r="K810" s="36" t="s">
        <v>8</v>
      </c>
    </row>
    <row r="811" spans="4:11" ht="39.75" customHeight="1" x14ac:dyDescent="0.3">
      <c r="D811" s="48" t="s">
        <v>2206</v>
      </c>
      <c r="E811" s="49" t="s">
        <v>2207</v>
      </c>
      <c r="F811" s="50" t="s">
        <v>163</v>
      </c>
      <c r="G811" s="51" t="s">
        <v>2208</v>
      </c>
      <c r="H811" s="53">
        <v>1029</v>
      </c>
      <c r="I811" s="38">
        <v>46271</v>
      </c>
      <c r="J811" s="35">
        <v>46273</v>
      </c>
      <c r="K811" s="36" t="s">
        <v>8</v>
      </c>
    </row>
    <row r="812" spans="4:11" ht="39.75" customHeight="1" x14ac:dyDescent="0.3">
      <c r="D812" s="48" t="s">
        <v>2209</v>
      </c>
      <c r="E812" s="49" t="s">
        <v>2210</v>
      </c>
      <c r="F812" s="50" t="s">
        <v>163</v>
      </c>
      <c r="G812" s="51" t="s">
        <v>2211</v>
      </c>
      <c r="H812" s="53">
        <v>1060</v>
      </c>
      <c r="I812" s="38">
        <v>46271</v>
      </c>
      <c r="J812" s="35">
        <v>46272</v>
      </c>
      <c r="K812" s="36" t="s">
        <v>8</v>
      </c>
    </row>
    <row r="813" spans="4:11" ht="39.75" customHeight="1" x14ac:dyDescent="0.3">
      <c r="D813" s="48" t="s">
        <v>2212</v>
      </c>
      <c r="E813" s="49" t="s">
        <v>2213</v>
      </c>
      <c r="F813" s="50" t="s">
        <v>163</v>
      </c>
      <c r="G813" s="51" t="s">
        <v>2214</v>
      </c>
      <c r="H813" s="53">
        <v>1043</v>
      </c>
      <c r="I813" s="38">
        <v>46271</v>
      </c>
      <c r="J813" s="35">
        <v>46273</v>
      </c>
      <c r="K813" s="36" t="s">
        <v>8</v>
      </c>
    </row>
    <row r="814" spans="4:11" ht="39.75" customHeight="1" x14ac:dyDescent="0.3">
      <c r="D814" s="48" t="s">
        <v>2215</v>
      </c>
      <c r="E814" s="49" t="s">
        <v>2216</v>
      </c>
      <c r="F814" s="50" t="s">
        <v>163</v>
      </c>
      <c r="G814" s="51" t="s">
        <v>2217</v>
      </c>
      <c r="H814" s="53">
        <v>1043</v>
      </c>
      <c r="I814" s="38">
        <v>46271</v>
      </c>
      <c r="J814" s="35">
        <v>46273</v>
      </c>
      <c r="K814" s="36" t="s">
        <v>8</v>
      </c>
    </row>
    <row r="815" spans="4:11" ht="39.75" customHeight="1" x14ac:dyDescent="0.3">
      <c r="D815" s="48" t="s">
        <v>2218</v>
      </c>
      <c r="E815" s="49" t="s">
        <v>2219</v>
      </c>
      <c r="F815" s="50" t="s">
        <v>163</v>
      </c>
      <c r="G815" s="51" t="s">
        <v>2220</v>
      </c>
      <c r="H815" s="53">
        <v>1029</v>
      </c>
      <c r="I815" s="38">
        <v>46271</v>
      </c>
      <c r="J815" s="35">
        <v>46273</v>
      </c>
      <c r="K815" s="36" t="s">
        <v>8</v>
      </c>
    </row>
    <row r="816" spans="4:11" ht="39.75" customHeight="1" x14ac:dyDescent="0.3">
      <c r="D816" s="48" t="s">
        <v>2221</v>
      </c>
      <c r="E816" s="49" t="s">
        <v>2222</v>
      </c>
      <c r="F816" s="50" t="s">
        <v>163</v>
      </c>
      <c r="G816" s="51" t="s">
        <v>2223</v>
      </c>
      <c r="H816" s="53">
        <v>1029</v>
      </c>
      <c r="I816" s="38">
        <v>46272</v>
      </c>
      <c r="J816" s="35">
        <v>46275</v>
      </c>
      <c r="K816" s="36" t="s">
        <v>8</v>
      </c>
    </row>
    <row r="817" spans="4:11" ht="39.75" customHeight="1" x14ac:dyDescent="0.3">
      <c r="D817" s="48" t="s">
        <v>2224</v>
      </c>
      <c r="E817" s="49" t="s">
        <v>2225</v>
      </c>
      <c r="F817" s="50" t="s">
        <v>163</v>
      </c>
      <c r="G817" s="51" t="s">
        <v>2226</v>
      </c>
      <c r="H817" s="53">
        <v>1022</v>
      </c>
      <c r="I817" s="38">
        <v>46272</v>
      </c>
      <c r="J817" s="35">
        <v>46275</v>
      </c>
      <c r="K817" s="36" t="s">
        <v>8</v>
      </c>
    </row>
    <row r="818" spans="4:11" ht="39.75" customHeight="1" x14ac:dyDescent="0.3">
      <c r="D818" s="48" t="s">
        <v>2227</v>
      </c>
      <c r="E818" s="49" t="s">
        <v>2228</v>
      </c>
      <c r="F818" s="50" t="s">
        <v>163</v>
      </c>
      <c r="G818" s="51" t="s">
        <v>2229</v>
      </c>
      <c r="H818" s="53">
        <v>1022</v>
      </c>
      <c r="I818" s="38">
        <v>46272</v>
      </c>
      <c r="J818" s="35">
        <v>46275</v>
      </c>
      <c r="K818" s="36" t="s">
        <v>8</v>
      </c>
    </row>
    <row r="819" spans="4:11" ht="39.75" customHeight="1" x14ac:dyDescent="0.3">
      <c r="D819" s="48" t="s">
        <v>2230</v>
      </c>
      <c r="E819" s="49" t="s">
        <v>2231</v>
      </c>
      <c r="F819" s="50" t="s">
        <v>163</v>
      </c>
      <c r="G819" s="51" t="s">
        <v>2232</v>
      </c>
      <c r="H819" s="53">
        <v>1029</v>
      </c>
      <c r="I819" s="38">
        <v>46272</v>
      </c>
      <c r="J819" s="35">
        <v>46275</v>
      </c>
      <c r="K819" s="36" t="s">
        <v>8</v>
      </c>
    </row>
    <row r="820" spans="4:11" ht="39.75" customHeight="1" x14ac:dyDescent="0.3">
      <c r="D820" s="48" t="s">
        <v>2233</v>
      </c>
      <c r="E820" s="49" t="s">
        <v>2234</v>
      </c>
      <c r="F820" s="50" t="s">
        <v>163</v>
      </c>
      <c r="G820" s="51" t="s">
        <v>2235</v>
      </c>
      <c r="H820" s="53">
        <v>1029</v>
      </c>
      <c r="I820" s="38">
        <v>46272</v>
      </c>
      <c r="J820" s="35">
        <v>46275</v>
      </c>
      <c r="K820" s="36" t="s">
        <v>8</v>
      </c>
    </row>
    <row r="821" spans="4:11" ht="39.75" customHeight="1" x14ac:dyDescent="0.3">
      <c r="D821" s="48" t="s">
        <v>2236</v>
      </c>
      <c r="E821" s="49" t="s">
        <v>2237</v>
      </c>
      <c r="F821" s="50" t="s">
        <v>163</v>
      </c>
      <c r="G821" s="51" t="s">
        <v>2238</v>
      </c>
      <c r="H821" s="53">
        <v>1022</v>
      </c>
      <c r="I821" s="38">
        <v>46272</v>
      </c>
      <c r="J821" s="35">
        <v>46281</v>
      </c>
      <c r="K821" s="36" t="s">
        <v>8</v>
      </c>
    </row>
    <row r="822" spans="4:11" ht="39.75" customHeight="1" x14ac:dyDescent="0.3">
      <c r="D822" s="48" t="s">
        <v>2239</v>
      </c>
      <c r="E822" s="49" t="s">
        <v>2240</v>
      </c>
      <c r="F822" s="50" t="s">
        <v>163</v>
      </c>
      <c r="G822" s="51" t="s">
        <v>2241</v>
      </c>
      <c r="H822" s="53">
        <v>1022</v>
      </c>
      <c r="I822" s="38">
        <v>46273</v>
      </c>
      <c r="J822" s="35">
        <v>46301</v>
      </c>
      <c r="K822" s="36" t="s">
        <v>8</v>
      </c>
    </row>
    <row r="823" spans="4:11" ht="39.75" customHeight="1" x14ac:dyDescent="0.3">
      <c r="D823" s="48" t="s">
        <v>2242</v>
      </c>
      <c r="E823" s="49" t="s">
        <v>2243</v>
      </c>
      <c r="F823" s="50" t="s">
        <v>163</v>
      </c>
      <c r="G823" s="51" t="s">
        <v>2244</v>
      </c>
      <c r="H823" s="53">
        <v>1029</v>
      </c>
      <c r="I823" s="38">
        <v>46273</v>
      </c>
      <c r="J823" s="35">
        <v>46275</v>
      </c>
      <c r="K823" s="36" t="s">
        <v>8</v>
      </c>
    </row>
    <row r="824" spans="4:11" ht="39.75" customHeight="1" x14ac:dyDescent="0.3">
      <c r="D824" s="48" t="s">
        <v>2245</v>
      </c>
      <c r="E824" s="49" t="s">
        <v>2246</v>
      </c>
      <c r="F824" s="50" t="s">
        <v>163</v>
      </c>
      <c r="G824" s="51" t="s">
        <v>2247</v>
      </c>
      <c r="H824" s="53">
        <v>1043</v>
      </c>
      <c r="I824" s="38">
        <v>46273</v>
      </c>
      <c r="J824" s="35">
        <v>46279</v>
      </c>
      <c r="K824" s="36" t="s">
        <v>8</v>
      </c>
    </row>
    <row r="825" spans="4:11" ht="39.75" customHeight="1" x14ac:dyDescent="0.3">
      <c r="D825" s="48" t="s">
        <v>2248</v>
      </c>
      <c r="E825" s="49"/>
      <c r="F825" s="50" t="s">
        <v>163</v>
      </c>
      <c r="G825" s="51" t="s">
        <v>2249</v>
      </c>
      <c r="H825" s="53">
        <v>1022</v>
      </c>
      <c r="I825" s="38">
        <v>46273</v>
      </c>
      <c r="J825" s="35">
        <v>46281</v>
      </c>
      <c r="K825" s="36" t="s">
        <v>8</v>
      </c>
    </row>
    <row r="826" spans="4:11" ht="39.75" customHeight="1" x14ac:dyDescent="0.3">
      <c r="D826" s="48" t="s">
        <v>2250</v>
      </c>
      <c r="E826" s="49" t="s">
        <v>2251</v>
      </c>
      <c r="F826" s="50" t="s">
        <v>163</v>
      </c>
      <c r="G826" s="51" t="s">
        <v>2252</v>
      </c>
      <c r="H826" s="53">
        <v>1022</v>
      </c>
      <c r="I826" s="38">
        <v>46273</v>
      </c>
      <c r="J826" s="35">
        <v>46281</v>
      </c>
      <c r="K826" s="36" t="s">
        <v>8</v>
      </c>
    </row>
    <row r="827" spans="4:11" ht="39.75" customHeight="1" x14ac:dyDescent="0.3">
      <c r="D827" s="48" t="s">
        <v>2253</v>
      </c>
      <c r="E827" s="49" t="s">
        <v>2254</v>
      </c>
      <c r="F827" s="50" t="s">
        <v>163</v>
      </c>
      <c r="G827" s="51" t="s">
        <v>2255</v>
      </c>
      <c r="H827" s="53">
        <v>1023</v>
      </c>
      <c r="I827" s="38">
        <v>46273</v>
      </c>
      <c r="J827" s="35">
        <v>46280</v>
      </c>
      <c r="K827" s="36" t="s">
        <v>8</v>
      </c>
    </row>
    <row r="828" spans="4:11" ht="39.75" customHeight="1" x14ac:dyDescent="0.3">
      <c r="D828" s="48" t="s">
        <v>2256</v>
      </c>
      <c r="E828" s="49" t="s">
        <v>2257</v>
      </c>
      <c r="F828" s="50" t="s">
        <v>163</v>
      </c>
      <c r="G828" s="51" t="s">
        <v>2258</v>
      </c>
      <c r="H828" s="53">
        <v>1025</v>
      </c>
      <c r="I828" s="38">
        <v>46273</v>
      </c>
      <c r="J828" s="35">
        <v>46278</v>
      </c>
      <c r="K828" s="36" t="s">
        <v>8</v>
      </c>
    </row>
    <row r="829" spans="4:11" ht="39.75" customHeight="1" x14ac:dyDescent="0.3">
      <c r="D829" s="48" t="s">
        <v>2259</v>
      </c>
      <c r="E829" s="49"/>
      <c r="F829" s="50" t="s">
        <v>163</v>
      </c>
      <c r="G829" s="51" t="s">
        <v>2260</v>
      </c>
      <c r="H829" s="53">
        <v>1029</v>
      </c>
      <c r="I829" s="38">
        <v>46273</v>
      </c>
      <c r="J829" s="35">
        <v>46280</v>
      </c>
      <c r="K829" s="36" t="s">
        <v>8</v>
      </c>
    </row>
    <row r="830" spans="4:11" ht="39.75" customHeight="1" x14ac:dyDescent="0.3">
      <c r="D830" s="48" t="s">
        <v>2261</v>
      </c>
      <c r="E830" s="49"/>
      <c r="F830" s="50" t="s">
        <v>163</v>
      </c>
      <c r="G830" s="51" t="s">
        <v>2262</v>
      </c>
      <c r="H830" s="53">
        <v>1029</v>
      </c>
      <c r="I830" s="38">
        <v>46273</v>
      </c>
      <c r="J830" s="35">
        <v>46280</v>
      </c>
      <c r="K830" s="36" t="s">
        <v>8</v>
      </c>
    </row>
    <row r="831" spans="4:11" ht="39.75" customHeight="1" x14ac:dyDescent="0.3">
      <c r="D831" s="48" t="s">
        <v>2263</v>
      </c>
      <c r="E831" s="49" t="s">
        <v>2264</v>
      </c>
      <c r="F831" s="50" t="s">
        <v>163</v>
      </c>
      <c r="G831" s="51" t="s">
        <v>2071</v>
      </c>
      <c r="H831" s="53">
        <v>1043</v>
      </c>
      <c r="I831" s="38">
        <v>46273</v>
      </c>
      <c r="J831" s="35">
        <v>46278</v>
      </c>
      <c r="K831" s="36" t="s">
        <v>8</v>
      </c>
    </row>
    <row r="832" spans="4:11" ht="39.75" customHeight="1" x14ac:dyDescent="0.3">
      <c r="D832" s="48" t="s">
        <v>2265</v>
      </c>
      <c r="E832" s="49" t="s">
        <v>2266</v>
      </c>
      <c r="F832" s="50" t="s">
        <v>163</v>
      </c>
      <c r="G832" s="51" t="s">
        <v>2267</v>
      </c>
      <c r="H832" s="53">
        <v>1027</v>
      </c>
      <c r="I832" s="38">
        <v>46274</v>
      </c>
      <c r="J832" s="35">
        <v>46278</v>
      </c>
      <c r="K832" s="36" t="s">
        <v>8</v>
      </c>
    </row>
    <row r="833" spans="4:11" ht="39.75" customHeight="1" x14ac:dyDescent="0.3">
      <c r="D833" s="48" t="s">
        <v>2268</v>
      </c>
      <c r="E833" s="49" t="s">
        <v>2269</v>
      </c>
      <c r="F833" s="50" t="s">
        <v>163</v>
      </c>
      <c r="G833" s="51" t="s">
        <v>2270</v>
      </c>
      <c r="H833" s="53">
        <v>1029</v>
      </c>
      <c r="I833" s="38">
        <v>46274</v>
      </c>
      <c r="J833" s="35">
        <v>46280</v>
      </c>
      <c r="K833" s="36" t="s">
        <v>8</v>
      </c>
    </row>
    <row r="834" spans="4:11" ht="39.75" customHeight="1" x14ac:dyDescent="0.3">
      <c r="D834" s="48" t="s">
        <v>2271</v>
      </c>
      <c r="E834" s="49" t="s">
        <v>2272</v>
      </c>
      <c r="F834" s="50" t="s">
        <v>163</v>
      </c>
      <c r="G834" s="51" t="s">
        <v>2273</v>
      </c>
      <c r="H834" s="53">
        <v>1047</v>
      </c>
      <c r="I834" s="38">
        <v>46274</v>
      </c>
      <c r="J834" s="35">
        <v>46278</v>
      </c>
      <c r="K834" s="36" t="s">
        <v>8</v>
      </c>
    </row>
    <row r="835" spans="4:11" ht="39.75" customHeight="1" x14ac:dyDescent="0.3">
      <c r="D835" s="48" t="s">
        <v>2274</v>
      </c>
      <c r="E835" s="49" t="s">
        <v>2275</v>
      </c>
      <c r="F835" s="50" t="s">
        <v>163</v>
      </c>
      <c r="G835" s="51" t="s">
        <v>2276</v>
      </c>
      <c r="H835" s="53">
        <v>1029</v>
      </c>
      <c r="I835" s="38">
        <v>46274</v>
      </c>
      <c r="J835" s="35">
        <v>46285</v>
      </c>
      <c r="K835" s="36" t="s">
        <v>8</v>
      </c>
    </row>
    <row r="836" spans="4:11" ht="39.75" customHeight="1" x14ac:dyDescent="0.3">
      <c r="D836" s="48" t="s">
        <v>2277</v>
      </c>
      <c r="E836" s="49" t="s">
        <v>2278</v>
      </c>
      <c r="F836" s="50" t="s">
        <v>163</v>
      </c>
      <c r="G836" s="51" t="s">
        <v>2279</v>
      </c>
      <c r="H836" s="53">
        <v>1029</v>
      </c>
      <c r="I836" s="38">
        <v>46274</v>
      </c>
      <c r="J836" s="35">
        <v>46280</v>
      </c>
      <c r="K836" s="36" t="s">
        <v>8</v>
      </c>
    </row>
    <row r="837" spans="4:11" ht="39.75" customHeight="1" x14ac:dyDescent="0.3">
      <c r="D837" s="48" t="s">
        <v>2280</v>
      </c>
      <c r="E837" s="49" t="s">
        <v>2281</v>
      </c>
      <c r="F837" s="50" t="s">
        <v>163</v>
      </c>
      <c r="G837" s="51" t="s">
        <v>2279</v>
      </c>
      <c r="H837" s="53">
        <v>1029</v>
      </c>
      <c r="I837" s="38">
        <v>46274</v>
      </c>
      <c r="J837" s="35">
        <v>46280</v>
      </c>
      <c r="K837" s="36" t="s">
        <v>8</v>
      </c>
    </row>
    <row r="838" spans="4:11" ht="39.75" customHeight="1" x14ac:dyDescent="0.3">
      <c r="D838" s="48" t="s">
        <v>2282</v>
      </c>
      <c r="E838" s="49" t="s">
        <v>2283</v>
      </c>
      <c r="F838" s="50" t="s">
        <v>163</v>
      </c>
      <c r="G838" s="51" t="s">
        <v>2284</v>
      </c>
      <c r="H838" s="53">
        <v>1043</v>
      </c>
      <c r="I838" s="38">
        <v>46275</v>
      </c>
      <c r="J838" s="35">
        <v>46279</v>
      </c>
      <c r="K838" s="36" t="s">
        <v>8</v>
      </c>
    </row>
    <row r="839" spans="4:11" ht="39.75" customHeight="1" x14ac:dyDescent="0.3">
      <c r="D839" s="48" t="s">
        <v>2285</v>
      </c>
      <c r="E839" s="49" t="s">
        <v>2286</v>
      </c>
      <c r="F839" s="50" t="s">
        <v>163</v>
      </c>
      <c r="G839" s="51" t="s">
        <v>2287</v>
      </c>
      <c r="H839" s="53">
        <v>1022</v>
      </c>
      <c r="I839" s="38">
        <v>46275</v>
      </c>
      <c r="J839" s="35">
        <v>46288</v>
      </c>
      <c r="K839" s="36" t="s">
        <v>8</v>
      </c>
    </row>
    <row r="840" spans="4:11" ht="39.75" customHeight="1" x14ac:dyDescent="0.3">
      <c r="D840" s="48" t="s">
        <v>2288</v>
      </c>
      <c r="E840" s="49" t="s">
        <v>2289</v>
      </c>
      <c r="F840" s="50" t="s">
        <v>163</v>
      </c>
      <c r="G840" s="51" t="s">
        <v>2290</v>
      </c>
      <c r="H840" s="53">
        <v>1029</v>
      </c>
      <c r="I840" s="38">
        <v>46275</v>
      </c>
      <c r="J840" s="35">
        <v>46281</v>
      </c>
      <c r="K840" s="36" t="s">
        <v>8</v>
      </c>
    </row>
    <row r="841" spans="4:11" ht="39.75" customHeight="1" x14ac:dyDescent="0.3">
      <c r="D841" s="48" t="s">
        <v>2291</v>
      </c>
      <c r="E841" s="49" t="s">
        <v>2292</v>
      </c>
      <c r="F841" s="50" t="s">
        <v>163</v>
      </c>
      <c r="G841" s="51" t="s">
        <v>2276</v>
      </c>
      <c r="H841" s="53">
        <v>1029</v>
      </c>
      <c r="I841" s="38">
        <v>46275</v>
      </c>
      <c r="J841" s="35">
        <v>46282</v>
      </c>
      <c r="K841" s="36" t="s">
        <v>8</v>
      </c>
    </row>
    <row r="842" spans="4:11" ht="39.75" customHeight="1" x14ac:dyDescent="0.3">
      <c r="D842" s="48" t="s">
        <v>2293</v>
      </c>
      <c r="E842" s="49" t="s">
        <v>2294</v>
      </c>
      <c r="F842" s="50" t="s">
        <v>163</v>
      </c>
      <c r="G842" s="51" t="s">
        <v>2295</v>
      </c>
      <c r="H842" s="53">
        <v>1031</v>
      </c>
      <c r="I842" s="38">
        <v>46275</v>
      </c>
      <c r="J842" s="35">
        <v>46281</v>
      </c>
      <c r="K842" s="36" t="s">
        <v>8</v>
      </c>
    </row>
    <row r="843" spans="4:11" ht="39.75" customHeight="1" x14ac:dyDescent="0.3">
      <c r="D843" s="48" t="s">
        <v>2296</v>
      </c>
      <c r="E843" s="49" t="s">
        <v>2297</v>
      </c>
      <c r="F843" s="50" t="s">
        <v>163</v>
      </c>
      <c r="G843" s="51" t="s">
        <v>1203</v>
      </c>
      <c r="H843" s="53">
        <v>1022</v>
      </c>
      <c r="I843" s="38">
        <v>46275</v>
      </c>
      <c r="J843" s="35">
        <v>46280</v>
      </c>
      <c r="K843" s="36" t="s">
        <v>8</v>
      </c>
    </row>
    <row r="844" spans="4:11" ht="39.75" customHeight="1" x14ac:dyDescent="0.3">
      <c r="D844" s="48" t="s">
        <v>2298</v>
      </c>
      <c r="E844" s="49" t="s">
        <v>2299</v>
      </c>
      <c r="F844" s="50" t="s">
        <v>163</v>
      </c>
      <c r="G844" s="51" t="s">
        <v>2300</v>
      </c>
      <c r="H844" s="53">
        <v>1024</v>
      </c>
      <c r="I844" s="38">
        <v>46275</v>
      </c>
      <c r="J844" s="35">
        <v>46278</v>
      </c>
      <c r="K844" s="36" t="s">
        <v>8</v>
      </c>
    </row>
    <row r="845" spans="4:11" ht="39.75" customHeight="1" x14ac:dyDescent="0.3">
      <c r="D845" s="48" t="s">
        <v>2301</v>
      </c>
      <c r="E845" s="49" t="s">
        <v>2302</v>
      </c>
      <c r="F845" s="50" t="s">
        <v>163</v>
      </c>
      <c r="G845" s="51" t="s">
        <v>2303</v>
      </c>
      <c r="H845" s="53">
        <v>1027</v>
      </c>
      <c r="I845" s="38">
        <v>46275</v>
      </c>
      <c r="J845" s="35">
        <v>46285</v>
      </c>
      <c r="K845" s="36" t="s">
        <v>8</v>
      </c>
    </row>
    <row r="846" spans="4:11" ht="39.75" customHeight="1" x14ac:dyDescent="0.3">
      <c r="D846" s="48" t="s">
        <v>2304</v>
      </c>
      <c r="E846" s="49" t="s">
        <v>2305</v>
      </c>
      <c r="F846" s="50" t="s">
        <v>163</v>
      </c>
      <c r="G846" s="51" t="s">
        <v>2306</v>
      </c>
      <c r="H846" s="53">
        <v>1029</v>
      </c>
      <c r="I846" s="38">
        <v>46277</v>
      </c>
      <c r="J846" s="35">
        <v>46281</v>
      </c>
      <c r="K846" s="36" t="s">
        <v>8</v>
      </c>
    </row>
    <row r="847" spans="4:11" ht="39.75" customHeight="1" x14ac:dyDescent="0.3">
      <c r="D847" s="48" t="s">
        <v>2307</v>
      </c>
      <c r="E847" s="49" t="s">
        <v>2308</v>
      </c>
      <c r="F847" s="50" t="s">
        <v>163</v>
      </c>
      <c r="G847" s="51" t="s">
        <v>2309</v>
      </c>
      <c r="H847" s="53">
        <v>1022</v>
      </c>
      <c r="I847" s="38">
        <v>46277</v>
      </c>
      <c r="J847" s="35">
        <v>46280</v>
      </c>
      <c r="K847" s="36" t="s">
        <v>8</v>
      </c>
    </row>
    <row r="848" spans="4:11" ht="39.75" customHeight="1" x14ac:dyDescent="0.3">
      <c r="D848" s="48" t="s">
        <v>2310</v>
      </c>
      <c r="E848" s="49" t="s">
        <v>2311</v>
      </c>
      <c r="F848" s="50" t="s">
        <v>163</v>
      </c>
      <c r="G848" s="51" t="s">
        <v>2312</v>
      </c>
      <c r="H848" s="53">
        <v>1024</v>
      </c>
      <c r="I848" s="38">
        <v>46278</v>
      </c>
      <c r="J848" s="35">
        <v>46281</v>
      </c>
      <c r="K848" s="36" t="s">
        <v>8</v>
      </c>
    </row>
    <row r="849" spans="4:11" ht="39.75" customHeight="1" x14ac:dyDescent="0.3">
      <c r="D849" s="48" t="s">
        <v>2313</v>
      </c>
      <c r="E849" s="49" t="s">
        <v>2314</v>
      </c>
      <c r="F849" s="50" t="s">
        <v>163</v>
      </c>
      <c r="G849" s="51" t="s">
        <v>2315</v>
      </c>
      <c r="H849" s="53">
        <v>1031</v>
      </c>
      <c r="I849" s="38">
        <v>46278</v>
      </c>
      <c r="J849" s="35">
        <v>46281</v>
      </c>
      <c r="K849" s="36" t="s">
        <v>8</v>
      </c>
    </row>
    <row r="850" spans="4:11" ht="39.75" customHeight="1" x14ac:dyDescent="0.3">
      <c r="D850" s="48" t="s">
        <v>2316</v>
      </c>
      <c r="E850" s="49" t="s">
        <v>2317</v>
      </c>
      <c r="F850" s="50" t="s">
        <v>163</v>
      </c>
      <c r="G850" s="51" t="s">
        <v>2318</v>
      </c>
      <c r="H850" s="53">
        <v>1031</v>
      </c>
      <c r="I850" s="38">
        <v>46278</v>
      </c>
      <c r="J850" s="35">
        <v>46281</v>
      </c>
      <c r="K850" s="36" t="s">
        <v>8</v>
      </c>
    </row>
    <row r="851" spans="4:11" ht="39.75" customHeight="1" x14ac:dyDescent="0.3">
      <c r="D851" s="48" t="s">
        <v>2319</v>
      </c>
      <c r="E851" s="49" t="s">
        <v>2320</v>
      </c>
      <c r="F851" s="50" t="s">
        <v>163</v>
      </c>
      <c r="G851" s="51" t="s">
        <v>2321</v>
      </c>
      <c r="H851" s="53">
        <v>1022</v>
      </c>
      <c r="I851" s="38">
        <v>46278</v>
      </c>
      <c r="J851" s="35">
        <v>46282</v>
      </c>
      <c r="K851" s="36" t="s">
        <v>8</v>
      </c>
    </row>
    <row r="852" spans="4:11" ht="39.75" customHeight="1" x14ac:dyDescent="0.3">
      <c r="D852" s="48" t="s">
        <v>2322</v>
      </c>
      <c r="E852" s="49" t="s">
        <v>2323</v>
      </c>
      <c r="F852" s="50" t="s">
        <v>163</v>
      </c>
      <c r="G852" s="51" t="s">
        <v>2324</v>
      </c>
      <c r="H852" s="52" t="s">
        <v>193</v>
      </c>
      <c r="I852" s="38">
        <v>46278</v>
      </c>
      <c r="J852" s="35">
        <v>46285</v>
      </c>
      <c r="K852" s="36" t="s">
        <v>8</v>
      </c>
    </row>
    <row r="853" spans="4:11" ht="39.75" customHeight="1" x14ac:dyDescent="0.3">
      <c r="D853" s="48" t="s">
        <v>2325</v>
      </c>
      <c r="E853" s="49" t="s">
        <v>2326</v>
      </c>
      <c r="F853" s="50" t="s">
        <v>163</v>
      </c>
      <c r="G853" s="51" t="s">
        <v>2041</v>
      </c>
      <c r="H853" s="53">
        <v>1029</v>
      </c>
      <c r="I853" s="38">
        <v>46279</v>
      </c>
      <c r="J853" s="35">
        <v>46282</v>
      </c>
      <c r="K853" s="36" t="s">
        <v>8</v>
      </c>
    </row>
    <row r="854" spans="4:11" ht="39.75" customHeight="1" x14ac:dyDescent="0.3">
      <c r="D854" s="48" t="s">
        <v>2327</v>
      </c>
      <c r="E854" s="49" t="s">
        <v>2328</v>
      </c>
      <c r="F854" s="50" t="s">
        <v>163</v>
      </c>
      <c r="G854" s="51" t="s">
        <v>2279</v>
      </c>
      <c r="H854" s="53">
        <v>1029</v>
      </c>
      <c r="I854" s="38">
        <v>46279</v>
      </c>
      <c r="J854" s="35">
        <v>46285</v>
      </c>
      <c r="K854" s="36" t="s">
        <v>8</v>
      </c>
    </row>
    <row r="855" spans="4:11" ht="39.75" customHeight="1" x14ac:dyDescent="0.3">
      <c r="D855" s="48" t="s">
        <v>2329</v>
      </c>
      <c r="E855" s="49" t="s">
        <v>2330</v>
      </c>
      <c r="F855" s="50" t="s">
        <v>163</v>
      </c>
      <c r="G855" s="51" t="s">
        <v>2331</v>
      </c>
      <c r="H855" s="53">
        <v>1029</v>
      </c>
      <c r="I855" s="38">
        <v>46279</v>
      </c>
      <c r="J855" s="35">
        <v>46285</v>
      </c>
      <c r="K855" s="36" t="s">
        <v>8</v>
      </c>
    </row>
    <row r="856" spans="4:11" ht="39.75" customHeight="1" x14ac:dyDescent="0.3">
      <c r="D856" s="48" t="s">
        <v>2332</v>
      </c>
      <c r="E856" s="49" t="s">
        <v>2333</v>
      </c>
      <c r="F856" s="50" t="s">
        <v>163</v>
      </c>
      <c r="G856" s="51" t="s">
        <v>2220</v>
      </c>
      <c r="H856" s="53">
        <v>1029</v>
      </c>
      <c r="I856" s="38">
        <v>46279</v>
      </c>
      <c r="J856" s="35">
        <v>46285</v>
      </c>
      <c r="K856" s="36" t="s">
        <v>8</v>
      </c>
    </row>
    <row r="857" spans="4:11" ht="39.75" customHeight="1" x14ac:dyDescent="0.3">
      <c r="D857" s="48" t="s">
        <v>2334</v>
      </c>
      <c r="E857" s="49" t="s">
        <v>2335</v>
      </c>
      <c r="F857" s="50" t="s">
        <v>163</v>
      </c>
      <c r="G857" s="51" t="s">
        <v>2336</v>
      </c>
      <c r="H857" s="53">
        <v>1060</v>
      </c>
      <c r="I857" s="38">
        <v>46279</v>
      </c>
      <c r="J857" s="35">
        <v>46280</v>
      </c>
      <c r="K857" s="36" t="s">
        <v>8</v>
      </c>
    </row>
    <row r="858" spans="4:11" ht="39.75" customHeight="1" x14ac:dyDescent="0.3">
      <c r="D858" s="48" t="s">
        <v>2337</v>
      </c>
      <c r="E858" s="49" t="s">
        <v>2338</v>
      </c>
      <c r="F858" s="50" t="s">
        <v>163</v>
      </c>
      <c r="G858" s="51" t="s">
        <v>2339</v>
      </c>
      <c r="H858" s="52">
        <v>1027</v>
      </c>
      <c r="I858" s="38">
        <v>46280</v>
      </c>
      <c r="J858" s="35">
        <v>46292</v>
      </c>
      <c r="K858" s="36" t="s">
        <v>8</v>
      </c>
    </row>
    <row r="859" spans="4:11" ht="39.75" customHeight="1" x14ac:dyDescent="0.3">
      <c r="D859" s="48" t="s">
        <v>2340</v>
      </c>
      <c r="E859" s="49" t="s">
        <v>2341</v>
      </c>
      <c r="F859" s="50" t="s">
        <v>163</v>
      </c>
      <c r="G859" s="51" t="s">
        <v>2342</v>
      </c>
      <c r="H859" s="53">
        <v>1024</v>
      </c>
      <c r="I859" s="38">
        <v>46280</v>
      </c>
      <c r="J859" s="35">
        <v>46281</v>
      </c>
      <c r="K859" s="36" t="s">
        <v>8</v>
      </c>
    </row>
    <row r="860" spans="4:11" ht="39.75" customHeight="1" x14ac:dyDescent="0.3">
      <c r="D860" s="48" t="s">
        <v>2343</v>
      </c>
      <c r="E860" s="49" t="s">
        <v>2344</v>
      </c>
      <c r="F860" s="50" t="s">
        <v>163</v>
      </c>
      <c r="G860" s="51" t="s">
        <v>2345</v>
      </c>
      <c r="H860" s="53">
        <v>1024</v>
      </c>
      <c r="I860" s="38">
        <v>46280</v>
      </c>
      <c r="J860" s="35">
        <v>46281</v>
      </c>
      <c r="K860" s="36" t="s">
        <v>8</v>
      </c>
    </row>
    <row r="861" spans="4:11" ht="39.75" customHeight="1" x14ac:dyDescent="0.3">
      <c r="D861" s="48" t="s">
        <v>2346</v>
      </c>
      <c r="E861" s="49" t="s">
        <v>2347</v>
      </c>
      <c r="F861" s="50" t="s">
        <v>163</v>
      </c>
      <c r="G861" s="51" t="s">
        <v>2348</v>
      </c>
      <c r="H861" s="52">
        <v>1022</v>
      </c>
      <c r="I861" s="38">
        <v>46280</v>
      </c>
      <c r="J861" s="35">
        <v>46288</v>
      </c>
      <c r="K861" s="36" t="s">
        <v>8</v>
      </c>
    </row>
    <row r="862" spans="4:11" ht="39.75" customHeight="1" x14ac:dyDescent="0.3">
      <c r="D862" s="48" t="s">
        <v>2349</v>
      </c>
      <c r="E862" s="49" t="s">
        <v>2350</v>
      </c>
      <c r="F862" s="50" t="s">
        <v>163</v>
      </c>
      <c r="G862" s="51" t="s">
        <v>2351</v>
      </c>
      <c r="H862" s="52">
        <v>1024</v>
      </c>
      <c r="I862" s="38">
        <v>46280</v>
      </c>
      <c r="J862" s="35">
        <v>46282</v>
      </c>
      <c r="K862" s="36" t="s">
        <v>8</v>
      </c>
    </row>
    <row r="863" spans="4:11" ht="39.75" customHeight="1" x14ac:dyDescent="0.3">
      <c r="D863" s="48" t="s">
        <v>2352</v>
      </c>
      <c r="E863" s="49" t="s">
        <v>2353</v>
      </c>
      <c r="F863" s="50" t="s">
        <v>163</v>
      </c>
      <c r="G863" s="51" t="s">
        <v>2354</v>
      </c>
      <c r="H863" s="52">
        <v>1041</v>
      </c>
      <c r="I863" s="38">
        <v>46280</v>
      </c>
      <c r="J863" s="35">
        <v>46294</v>
      </c>
      <c r="K863" s="36" t="s">
        <v>8</v>
      </c>
    </row>
    <row r="864" spans="4:11" ht="39.75" customHeight="1" x14ac:dyDescent="0.3">
      <c r="D864" s="48" t="s">
        <v>2355</v>
      </c>
      <c r="E864" s="49" t="s">
        <v>2356</v>
      </c>
      <c r="F864" s="50" t="s">
        <v>163</v>
      </c>
      <c r="G864" s="51" t="s">
        <v>1203</v>
      </c>
      <c r="H864" s="52">
        <v>1022</v>
      </c>
      <c r="I864" s="38">
        <v>46281</v>
      </c>
      <c r="J864" s="35">
        <v>46288</v>
      </c>
      <c r="K864" s="36" t="s">
        <v>8</v>
      </c>
    </row>
    <row r="865" spans="4:11" ht="39.75" customHeight="1" x14ac:dyDescent="0.3">
      <c r="D865" s="48" t="s">
        <v>2357</v>
      </c>
      <c r="E865" s="49" t="s">
        <v>2358</v>
      </c>
      <c r="F865" s="50" t="s">
        <v>163</v>
      </c>
      <c r="G865" s="51" t="s">
        <v>2359</v>
      </c>
      <c r="H865" s="52">
        <v>1022</v>
      </c>
      <c r="I865" s="38">
        <v>46281</v>
      </c>
      <c r="J865" s="35">
        <v>46288</v>
      </c>
      <c r="K865" s="36" t="s">
        <v>8</v>
      </c>
    </row>
    <row r="866" spans="4:11" ht="39.75" customHeight="1" x14ac:dyDescent="0.3">
      <c r="D866" s="48" t="s">
        <v>2360</v>
      </c>
      <c r="E866" s="49" t="s">
        <v>2361</v>
      </c>
      <c r="F866" s="50" t="s">
        <v>163</v>
      </c>
      <c r="G866" s="51" t="s">
        <v>2362</v>
      </c>
      <c r="H866" s="52">
        <v>1043</v>
      </c>
      <c r="I866" s="38">
        <v>46281</v>
      </c>
      <c r="J866" s="35">
        <v>46287</v>
      </c>
      <c r="K866" s="36" t="s">
        <v>8</v>
      </c>
    </row>
    <row r="867" spans="4:11" ht="39.75" customHeight="1" x14ac:dyDescent="0.3">
      <c r="D867" s="48" t="s">
        <v>2363</v>
      </c>
      <c r="E867" s="49" t="s">
        <v>2364</v>
      </c>
      <c r="F867" s="50" t="s">
        <v>163</v>
      </c>
      <c r="G867" s="51" t="s">
        <v>2365</v>
      </c>
      <c r="H867" s="53">
        <v>1029</v>
      </c>
      <c r="I867" s="38">
        <v>46282</v>
      </c>
      <c r="J867" s="35">
        <v>46288</v>
      </c>
      <c r="K867" s="36" t="s">
        <v>8</v>
      </c>
    </row>
    <row r="868" spans="4:11" ht="39.75" customHeight="1" x14ac:dyDescent="0.3">
      <c r="D868" s="48" t="s">
        <v>2366</v>
      </c>
      <c r="E868" s="49" t="s">
        <v>2367</v>
      </c>
      <c r="F868" s="50" t="s">
        <v>163</v>
      </c>
      <c r="G868" s="51" t="s">
        <v>2368</v>
      </c>
      <c r="H868" s="52">
        <v>1023</v>
      </c>
      <c r="I868" s="38">
        <v>46282</v>
      </c>
      <c r="J868" s="35">
        <v>46287</v>
      </c>
      <c r="K868" s="36" t="s">
        <v>8</v>
      </c>
    </row>
    <row r="869" spans="4:11" ht="39.75" customHeight="1" x14ac:dyDescent="0.3">
      <c r="D869" s="48" t="s">
        <v>2369</v>
      </c>
      <c r="E869" s="49" t="s">
        <v>2370</v>
      </c>
      <c r="F869" s="50" t="s">
        <v>163</v>
      </c>
      <c r="G869" s="51" t="s">
        <v>1623</v>
      </c>
      <c r="H869" s="52">
        <v>1024</v>
      </c>
      <c r="I869" s="38">
        <v>46282</v>
      </c>
      <c r="J869" s="35">
        <v>46286</v>
      </c>
      <c r="K869" s="36" t="s">
        <v>8</v>
      </c>
    </row>
    <row r="870" spans="4:11" ht="39.75" customHeight="1" x14ac:dyDescent="0.3">
      <c r="D870" s="48" t="s">
        <v>2371</v>
      </c>
      <c r="E870" s="49" t="s">
        <v>2372</v>
      </c>
      <c r="F870" s="50" t="s">
        <v>163</v>
      </c>
      <c r="G870" s="51" t="s">
        <v>2373</v>
      </c>
      <c r="H870" s="52">
        <v>1022</v>
      </c>
      <c r="I870" s="38">
        <v>46282</v>
      </c>
      <c r="J870" s="35">
        <v>46296</v>
      </c>
      <c r="K870" s="36" t="s">
        <v>8</v>
      </c>
    </row>
    <row r="871" spans="4:11" ht="39.75" customHeight="1" x14ac:dyDescent="0.3">
      <c r="D871" s="48" t="s">
        <v>2374</v>
      </c>
      <c r="E871" s="49" t="s">
        <v>2375</v>
      </c>
      <c r="F871" s="50">
        <v>0</v>
      </c>
      <c r="G871" s="51" t="s">
        <v>2376</v>
      </c>
      <c r="H871" s="52">
        <v>1022</v>
      </c>
      <c r="I871" s="38">
        <v>46282</v>
      </c>
      <c r="J871" s="35">
        <v>46293</v>
      </c>
      <c r="K871" s="36" t="s">
        <v>8</v>
      </c>
    </row>
    <row r="872" spans="4:11" ht="39.75" customHeight="1" x14ac:dyDescent="0.3">
      <c r="D872" s="48" t="s">
        <v>2377</v>
      </c>
      <c r="E872" s="49" t="s">
        <v>2378</v>
      </c>
      <c r="F872" s="50">
        <v>0</v>
      </c>
      <c r="G872" s="51" t="s">
        <v>2379</v>
      </c>
      <c r="H872" s="52">
        <v>1060</v>
      </c>
      <c r="I872" s="38">
        <v>46284</v>
      </c>
      <c r="J872" s="35">
        <v>46293</v>
      </c>
      <c r="K872" s="36" t="s">
        <v>8</v>
      </c>
    </row>
    <row r="873" spans="4:11" ht="39.75" customHeight="1" x14ac:dyDescent="0.3">
      <c r="D873" s="48" t="s">
        <v>2380</v>
      </c>
      <c r="E873" s="49" t="s">
        <v>2381</v>
      </c>
      <c r="F873" s="50">
        <v>0</v>
      </c>
      <c r="G873" s="51" t="s">
        <v>2382</v>
      </c>
      <c r="H873" s="52">
        <v>1026</v>
      </c>
      <c r="I873" s="38">
        <v>46284</v>
      </c>
      <c r="J873" s="35">
        <v>46286</v>
      </c>
      <c r="K873" s="36" t="s">
        <v>8</v>
      </c>
    </row>
    <row r="874" spans="4:11" ht="39.75" customHeight="1" x14ac:dyDescent="0.3">
      <c r="D874" s="48" t="s">
        <v>2383</v>
      </c>
      <c r="E874" s="49" t="s">
        <v>2384</v>
      </c>
      <c r="F874" s="50">
        <v>0</v>
      </c>
      <c r="G874" s="51" t="s">
        <v>2382</v>
      </c>
      <c r="H874" s="52">
        <v>1026</v>
      </c>
      <c r="I874" s="38">
        <v>46284</v>
      </c>
      <c r="J874" s="35">
        <v>46286</v>
      </c>
      <c r="K874" s="36" t="s">
        <v>8</v>
      </c>
    </row>
    <row r="875" spans="4:11" ht="39.75" customHeight="1" x14ac:dyDescent="0.3">
      <c r="D875" s="48" t="s">
        <v>2385</v>
      </c>
      <c r="E875" s="49" t="s">
        <v>2386</v>
      </c>
      <c r="F875" s="50">
        <v>0</v>
      </c>
      <c r="G875" s="51" t="s">
        <v>1203</v>
      </c>
      <c r="H875" s="52">
        <v>1022</v>
      </c>
      <c r="I875" s="38">
        <v>46284</v>
      </c>
      <c r="J875" s="35">
        <v>46285</v>
      </c>
      <c r="K875" s="36" t="s">
        <v>8</v>
      </c>
    </row>
    <row r="876" spans="4:11" ht="39.75" customHeight="1" x14ac:dyDescent="0.3">
      <c r="D876" s="48" t="s">
        <v>2387</v>
      </c>
      <c r="E876" s="49" t="s">
        <v>2388</v>
      </c>
      <c r="F876" s="50">
        <v>0</v>
      </c>
      <c r="G876" s="51" t="s">
        <v>2389</v>
      </c>
      <c r="H876" s="52">
        <v>1047</v>
      </c>
      <c r="I876" s="38">
        <v>46284</v>
      </c>
      <c r="J876" s="35">
        <v>46286</v>
      </c>
      <c r="K876" s="36" t="s">
        <v>8</v>
      </c>
    </row>
    <row r="877" spans="4:11" ht="39.75" customHeight="1" x14ac:dyDescent="0.3">
      <c r="D877" s="48" t="s">
        <v>2390</v>
      </c>
      <c r="E877" s="49" t="s">
        <v>2391</v>
      </c>
      <c r="F877" s="50">
        <v>0</v>
      </c>
      <c r="G877" s="51" t="s">
        <v>2392</v>
      </c>
      <c r="H877" s="52">
        <v>1029</v>
      </c>
      <c r="I877" s="38">
        <v>46285</v>
      </c>
      <c r="J877" s="35">
        <v>46288</v>
      </c>
      <c r="K877" s="36" t="s">
        <v>8</v>
      </c>
    </row>
    <row r="878" spans="4:11" ht="39.75" customHeight="1" x14ac:dyDescent="0.3">
      <c r="D878" s="48" t="s">
        <v>2393</v>
      </c>
      <c r="E878" s="49" t="s">
        <v>2394</v>
      </c>
      <c r="F878" s="50">
        <v>0</v>
      </c>
      <c r="G878" s="51" t="s">
        <v>2395</v>
      </c>
      <c r="H878" s="52">
        <v>1029</v>
      </c>
      <c r="I878" s="38">
        <v>46285</v>
      </c>
      <c r="J878" s="35">
        <v>46289</v>
      </c>
      <c r="K878" s="36" t="s">
        <v>8</v>
      </c>
    </row>
    <row r="879" spans="4:11" ht="39.75" customHeight="1" x14ac:dyDescent="0.3">
      <c r="D879" s="48" t="s">
        <v>2396</v>
      </c>
      <c r="E879" s="49" t="s">
        <v>2397</v>
      </c>
      <c r="F879" s="50">
        <v>0</v>
      </c>
      <c r="G879" s="51" t="s">
        <v>2398</v>
      </c>
      <c r="H879" s="52">
        <v>1029</v>
      </c>
      <c r="I879" s="38">
        <v>46285</v>
      </c>
      <c r="J879" s="35">
        <v>46289</v>
      </c>
      <c r="K879" s="36" t="s">
        <v>8</v>
      </c>
    </row>
    <row r="880" spans="4:11" ht="39.75" customHeight="1" x14ac:dyDescent="0.3">
      <c r="D880" s="48" t="s">
        <v>2399</v>
      </c>
      <c r="E880" s="49" t="s">
        <v>2400</v>
      </c>
      <c r="F880" s="50">
        <v>0</v>
      </c>
      <c r="G880" s="51" t="s">
        <v>2401</v>
      </c>
      <c r="H880" s="52">
        <v>1029</v>
      </c>
      <c r="I880" s="38">
        <v>46285</v>
      </c>
      <c r="J880" s="35">
        <v>46288</v>
      </c>
      <c r="K880" s="36" t="s">
        <v>8</v>
      </c>
    </row>
    <row r="881" spans="4:11" ht="39.75" customHeight="1" x14ac:dyDescent="0.3">
      <c r="D881" s="48" t="s">
        <v>2402</v>
      </c>
      <c r="E881" s="49" t="s">
        <v>2403</v>
      </c>
      <c r="F881" s="50">
        <v>0</v>
      </c>
      <c r="G881" s="51" t="s">
        <v>2404</v>
      </c>
      <c r="H881" s="52">
        <v>1023</v>
      </c>
      <c r="I881" s="38">
        <v>46285</v>
      </c>
      <c r="J881" s="35">
        <v>46289</v>
      </c>
      <c r="K881" s="36" t="s">
        <v>8</v>
      </c>
    </row>
    <row r="882" spans="4:11" ht="39.75" customHeight="1" x14ac:dyDescent="0.3">
      <c r="D882" s="48" t="s">
        <v>2405</v>
      </c>
      <c r="E882" s="49" t="s">
        <v>2406</v>
      </c>
      <c r="F882" s="50">
        <v>0</v>
      </c>
      <c r="G882" s="51" t="s">
        <v>2407</v>
      </c>
      <c r="H882" s="52">
        <v>1047</v>
      </c>
      <c r="I882" s="38">
        <v>46285</v>
      </c>
      <c r="J882" s="35">
        <v>46287</v>
      </c>
      <c r="K882" s="36" t="s">
        <v>8</v>
      </c>
    </row>
    <row r="883" spans="4:11" ht="39.75" customHeight="1" x14ac:dyDescent="0.3">
      <c r="D883" s="48" t="s">
        <v>2408</v>
      </c>
      <c r="E883" s="49" t="s">
        <v>2409</v>
      </c>
      <c r="F883" s="50">
        <v>0</v>
      </c>
      <c r="G883" s="51" t="s">
        <v>2410</v>
      </c>
      <c r="H883" s="52">
        <v>1029</v>
      </c>
      <c r="I883" s="38">
        <v>46286</v>
      </c>
      <c r="J883" s="35">
        <v>46289</v>
      </c>
      <c r="K883" s="36" t="s">
        <v>8</v>
      </c>
    </row>
    <row r="884" spans="4:11" ht="39.75" customHeight="1" x14ac:dyDescent="0.3">
      <c r="D884" s="48" t="s">
        <v>2411</v>
      </c>
      <c r="E884" s="49" t="s">
        <v>2412</v>
      </c>
      <c r="F884" s="50">
        <v>0</v>
      </c>
      <c r="G884" s="51" t="s">
        <v>2413</v>
      </c>
      <c r="H884" s="52">
        <v>1028</v>
      </c>
      <c r="I884" s="38">
        <v>46286</v>
      </c>
      <c r="J884" s="35">
        <v>46293</v>
      </c>
      <c r="K884" s="36" t="s">
        <v>8</v>
      </c>
    </row>
    <row r="885" spans="4:11" ht="39.75" customHeight="1" x14ac:dyDescent="0.3">
      <c r="D885" s="48" t="s">
        <v>2414</v>
      </c>
      <c r="E885" s="49" t="s">
        <v>2415</v>
      </c>
      <c r="F885" s="50">
        <v>0</v>
      </c>
      <c r="G885" s="51" t="s">
        <v>2416</v>
      </c>
      <c r="H885" s="52">
        <v>1026</v>
      </c>
      <c r="I885" s="38">
        <v>46286</v>
      </c>
      <c r="J885" s="35">
        <v>46289</v>
      </c>
      <c r="K885" s="36" t="s">
        <v>8</v>
      </c>
    </row>
    <row r="886" spans="4:11" ht="39.75" customHeight="1" x14ac:dyDescent="0.3">
      <c r="D886" s="48" t="s">
        <v>2417</v>
      </c>
      <c r="E886" s="49" t="s">
        <v>2418</v>
      </c>
      <c r="F886" s="50">
        <v>0</v>
      </c>
      <c r="G886" s="51" t="s">
        <v>2419</v>
      </c>
      <c r="H886" s="52">
        <v>1041</v>
      </c>
      <c r="I886" s="38">
        <v>46286</v>
      </c>
      <c r="J886" s="35">
        <v>46296</v>
      </c>
      <c r="K886" s="36" t="s">
        <v>8</v>
      </c>
    </row>
    <row r="887" spans="4:11" ht="39.75" customHeight="1" x14ac:dyDescent="0.3">
      <c r="D887" s="48" t="s">
        <v>2420</v>
      </c>
      <c r="E887" s="49" t="s">
        <v>2421</v>
      </c>
      <c r="F887" s="50">
        <v>0</v>
      </c>
      <c r="G887" s="51" t="s">
        <v>2422</v>
      </c>
      <c r="H887" s="52">
        <v>1022</v>
      </c>
      <c r="I887" s="38">
        <v>46287</v>
      </c>
      <c r="J887" s="35">
        <v>46292</v>
      </c>
      <c r="K887" s="36" t="s">
        <v>8</v>
      </c>
    </row>
    <row r="888" spans="4:11" ht="39.75" customHeight="1" x14ac:dyDescent="0.3">
      <c r="D888" s="48" t="s">
        <v>2423</v>
      </c>
      <c r="E888" s="49" t="s">
        <v>2424</v>
      </c>
      <c r="F888" s="50">
        <v>0</v>
      </c>
      <c r="G888" s="51" t="s">
        <v>2425</v>
      </c>
      <c r="H888" s="52">
        <v>1029</v>
      </c>
      <c r="I888" s="38">
        <v>46287</v>
      </c>
      <c r="J888" s="35">
        <v>46289</v>
      </c>
      <c r="K888" s="36" t="s">
        <v>8</v>
      </c>
    </row>
    <row r="889" spans="4:11" ht="39.75" customHeight="1" x14ac:dyDescent="0.3">
      <c r="D889" s="48" t="s">
        <v>2426</v>
      </c>
      <c r="E889" s="49" t="s">
        <v>2427</v>
      </c>
      <c r="F889" s="50">
        <v>0</v>
      </c>
      <c r="G889" s="51" t="s">
        <v>2428</v>
      </c>
      <c r="H889" s="52">
        <v>1023</v>
      </c>
      <c r="I889" s="38">
        <v>46287</v>
      </c>
      <c r="J889" s="35">
        <v>46294</v>
      </c>
      <c r="K889" s="36" t="s">
        <v>8</v>
      </c>
    </row>
    <row r="890" spans="4:11" ht="39.75" customHeight="1" x14ac:dyDescent="0.3">
      <c r="D890" s="48" t="s">
        <v>2429</v>
      </c>
      <c r="E890" s="49" t="s">
        <v>2430</v>
      </c>
      <c r="F890" s="50">
        <v>0</v>
      </c>
      <c r="G890" s="51" t="s">
        <v>2431</v>
      </c>
      <c r="H890" s="52">
        <v>1043</v>
      </c>
      <c r="I890" s="38">
        <v>46287</v>
      </c>
      <c r="J890" s="35">
        <v>46294</v>
      </c>
      <c r="K890" s="36" t="s">
        <v>8</v>
      </c>
    </row>
    <row r="891" spans="4:11" ht="39.75" customHeight="1" x14ac:dyDescent="0.3">
      <c r="D891" s="48" t="s">
        <v>2432</v>
      </c>
      <c r="E891" s="49" t="s">
        <v>2433</v>
      </c>
      <c r="F891" s="50">
        <v>0</v>
      </c>
      <c r="G891" s="51" t="s">
        <v>2434</v>
      </c>
      <c r="H891" s="52" t="s">
        <v>193</v>
      </c>
      <c r="I891" s="38">
        <v>46288</v>
      </c>
      <c r="J891" s="35">
        <v>46289</v>
      </c>
      <c r="K891" s="36" t="s">
        <v>8</v>
      </c>
    </row>
    <row r="892" spans="4:11" ht="39.75" customHeight="1" x14ac:dyDescent="0.3">
      <c r="D892" s="48" t="s">
        <v>2435</v>
      </c>
      <c r="E892" s="49" t="s">
        <v>2436</v>
      </c>
      <c r="F892" s="50">
        <v>0</v>
      </c>
      <c r="G892" s="51" t="s">
        <v>1530</v>
      </c>
      <c r="H892" s="52">
        <v>1022</v>
      </c>
      <c r="I892" s="38">
        <v>46288</v>
      </c>
      <c r="J892" s="35">
        <v>46296</v>
      </c>
      <c r="K892" s="36" t="s">
        <v>8</v>
      </c>
    </row>
    <row r="893" spans="4:11" ht="39.75" customHeight="1" x14ac:dyDescent="0.3">
      <c r="D893" s="48" t="s">
        <v>2437</v>
      </c>
      <c r="E893" s="49" t="s">
        <v>2438</v>
      </c>
      <c r="F893" s="50">
        <v>0</v>
      </c>
      <c r="G893" s="51" t="s">
        <v>2439</v>
      </c>
      <c r="H893" s="52">
        <v>1047</v>
      </c>
      <c r="I893" s="38">
        <v>46288</v>
      </c>
      <c r="J893" s="35">
        <v>46288</v>
      </c>
      <c r="K893" s="36" t="s">
        <v>8</v>
      </c>
    </row>
    <row r="894" spans="4:11" ht="39.75" customHeight="1" x14ac:dyDescent="0.3">
      <c r="D894" s="48" t="s">
        <v>2440</v>
      </c>
      <c r="E894" s="49" t="s">
        <v>2441</v>
      </c>
      <c r="F894" s="50">
        <v>0</v>
      </c>
      <c r="G894" s="51" t="s">
        <v>2442</v>
      </c>
      <c r="H894" s="52">
        <v>1022</v>
      </c>
      <c r="I894" s="38">
        <v>46288</v>
      </c>
      <c r="J894" s="35">
        <v>46293</v>
      </c>
      <c r="K894" s="36" t="s">
        <v>8</v>
      </c>
    </row>
    <row r="895" spans="4:11" ht="39.75" customHeight="1" x14ac:dyDescent="0.3">
      <c r="D895" s="48" t="s">
        <v>2443</v>
      </c>
      <c r="E895" s="49" t="s">
        <v>2444</v>
      </c>
      <c r="F895" s="50">
        <v>0</v>
      </c>
      <c r="G895" s="51" t="s">
        <v>2445</v>
      </c>
      <c r="H895" s="52">
        <v>1021</v>
      </c>
      <c r="I895" s="38">
        <v>46288</v>
      </c>
      <c r="J895" s="35">
        <v>46294</v>
      </c>
      <c r="K895" s="36" t="s">
        <v>8</v>
      </c>
    </row>
    <row r="896" spans="4:11" ht="39.75" customHeight="1" x14ac:dyDescent="0.3">
      <c r="D896" s="48" t="s">
        <v>2446</v>
      </c>
      <c r="E896" s="49" t="s">
        <v>2447</v>
      </c>
      <c r="F896" s="50">
        <v>0</v>
      </c>
      <c r="G896" s="51" t="s">
        <v>2448</v>
      </c>
      <c r="H896" s="52">
        <v>1023</v>
      </c>
      <c r="I896" s="38">
        <v>46288</v>
      </c>
      <c r="J896" s="35">
        <v>46295</v>
      </c>
      <c r="K896" s="36" t="s">
        <v>8</v>
      </c>
    </row>
    <row r="897" spans="4:11" ht="39.75" customHeight="1" x14ac:dyDescent="0.3">
      <c r="D897" s="48" t="s">
        <v>2449</v>
      </c>
      <c r="E897" s="49" t="s">
        <v>2450</v>
      </c>
      <c r="F897" s="50">
        <v>0</v>
      </c>
      <c r="G897" s="51" t="s">
        <v>2260</v>
      </c>
      <c r="H897" s="52">
        <v>1029</v>
      </c>
      <c r="I897" s="38">
        <v>46289</v>
      </c>
      <c r="J897" s="35">
        <v>46294</v>
      </c>
      <c r="K897" s="36" t="s">
        <v>8</v>
      </c>
    </row>
    <row r="898" spans="4:11" ht="39.75" customHeight="1" x14ac:dyDescent="0.3">
      <c r="D898" s="48" t="s">
        <v>2451</v>
      </c>
      <c r="E898" s="49" t="s">
        <v>2452</v>
      </c>
      <c r="F898" s="50">
        <v>0</v>
      </c>
      <c r="G898" s="51" t="s">
        <v>2453</v>
      </c>
      <c r="H898" s="52">
        <v>1043</v>
      </c>
      <c r="I898" s="38">
        <v>46289</v>
      </c>
      <c r="J898" s="35">
        <v>46296</v>
      </c>
      <c r="K898" s="36" t="s">
        <v>8</v>
      </c>
    </row>
    <row r="899" spans="4:11" ht="39.75" customHeight="1" x14ac:dyDescent="0.3">
      <c r="D899" s="48" t="s">
        <v>2454</v>
      </c>
      <c r="E899" s="49" t="s">
        <v>2455</v>
      </c>
      <c r="F899" s="50">
        <v>0</v>
      </c>
      <c r="G899" s="51" t="s">
        <v>1530</v>
      </c>
      <c r="H899" s="52">
        <v>1022</v>
      </c>
      <c r="I899" s="38">
        <v>46289</v>
      </c>
      <c r="J899" s="35">
        <v>46296</v>
      </c>
      <c r="K899" s="36" t="s">
        <v>8</v>
      </c>
    </row>
    <row r="900" spans="4:11" ht="39.75" customHeight="1" x14ac:dyDescent="0.3">
      <c r="D900" s="48" t="s">
        <v>2456</v>
      </c>
      <c r="E900" s="49" t="s">
        <v>2457</v>
      </c>
      <c r="F900" s="50">
        <v>0</v>
      </c>
      <c r="G900" s="51" t="s">
        <v>2260</v>
      </c>
      <c r="H900" s="52">
        <v>1029</v>
      </c>
      <c r="I900" s="38">
        <v>46289</v>
      </c>
      <c r="J900" s="35">
        <v>46294</v>
      </c>
      <c r="K900" s="36" t="s">
        <v>8</v>
      </c>
    </row>
    <row r="901" spans="4:11" ht="39.75" customHeight="1" x14ac:dyDescent="0.3">
      <c r="D901" s="48" t="s">
        <v>2458</v>
      </c>
      <c r="E901" s="49" t="s">
        <v>2459</v>
      </c>
      <c r="F901" s="50">
        <v>0</v>
      </c>
      <c r="G901" s="51" t="s">
        <v>2460</v>
      </c>
      <c r="H901" s="52">
        <v>1029</v>
      </c>
      <c r="I901" s="38">
        <v>46289</v>
      </c>
      <c r="J901" s="35">
        <v>46293</v>
      </c>
      <c r="K901" s="36" t="s">
        <v>8</v>
      </c>
    </row>
    <row r="902" spans="4:11" ht="39.75" customHeight="1" x14ac:dyDescent="0.3">
      <c r="D902" s="48" t="s">
        <v>2461</v>
      </c>
      <c r="E902" s="49" t="s">
        <v>2462</v>
      </c>
      <c r="F902" s="50">
        <v>0</v>
      </c>
      <c r="G902" s="51" t="s">
        <v>1530</v>
      </c>
      <c r="H902" s="52">
        <v>1022</v>
      </c>
      <c r="I902" s="38">
        <v>46289</v>
      </c>
      <c r="J902" s="35">
        <v>46295</v>
      </c>
      <c r="K902" s="36" t="s">
        <v>8</v>
      </c>
    </row>
    <row r="903" spans="4:11" ht="39.75" customHeight="1" x14ac:dyDescent="0.3">
      <c r="D903" s="48" t="s">
        <v>2463</v>
      </c>
      <c r="E903" s="49" t="s">
        <v>2464</v>
      </c>
      <c r="F903" s="50">
        <v>0</v>
      </c>
      <c r="G903" s="51" t="s">
        <v>2465</v>
      </c>
      <c r="H903" s="52">
        <v>1047</v>
      </c>
      <c r="I903" s="38">
        <v>46289</v>
      </c>
      <c r="J903" s="35">
        <v>46295</v>
      </c>
      <c r="K903" s="36" t="s">
        <v>8</v>
      </c>
    </row>
    <row r="904" spans="4:11" ht="39.75" customHeight="1" x14ac:dyDescent="0.3">
      <c r="D904" s="48" t="s">
        <v>2466</v>
      </c>
      <c r="E904" s="49" t="s">
        <v>2467</v>
      </c>
      <c r="F904" s="50">
        <v>0</v>
      </c>
      <c r="G904" s="51" t="s">
        <v>2468</v>
      </c>
      <c r="H904" s="52">
        <v>1024</v>
      </c>
      <c r="I904" s="38">
        <v>46291</v>
      </c>
      <c r="J904" s="35">
        <v>46295</v>
      </c>
      <c r="K904" s="36" t="s">
        <v>8</v>
      </c>
    </row>
    <row r="905" spans="4:11" ht="39.75" customHeight="1" x14ac:dyDescent="0.3">
      <c r="D905" s="48" t="s">
        <v>2469</v>
      </c>
      <c r="E905" s="49" t="s">
        <v>2470</v>
      </c>
      <c r="F905" s="50">
        <v>0</v>
      </c>
      <c r="G905" s="51" t="s">
        <v>2471</v>
      </c>
      <c r="H905" s="52">
        <v>1020</v>
      </c>
      <c r="I905" s="38">
        <v>46292</v>
      </c>
      <c r="J905" s="35">
        <v>46299</v>
      </c>
      <c r="K905" s="36" t="s">
        <v>8</v>
      </c>
    </row>
    <row r="906" spans="4:11" ht="39.75" customHeight="1" x14ac:dyDescent="0.3">
      <c r="D906" s="48" t="s">
        <v>2472</v>
      </c>
      <c r="E906" s="49" t="s">
        <v>2473</v>
      </c>
      <c r="F906" s="50">
        <v>0</v>
      </c>
      <c r="G906" s="51" t="s">
        <v>2474</v>
      </c>
      <c r="H906" s="52">
        <v>1022</v>
      </c>
      <c r="I906" s="38">
        <v>46292</v>
      </c>
      <c r="J906" s="35">
        <v>46295</v>
      </c>
      <c r="K906" s="36" t="s">
        <v>8</v>
      </c>
    </row>
    <row r="907" spans="4:11" ht="39.75" customHeight="1" x14ac:dyDescent="0.3">
      <c r="D907" s="48" t="s">
        <v>2475</v>
      </c>
      <c r="E907" s="49" t="s">
        <v>2476</v>
      </c>
      <c r="F907" s="50">
        <v>0</v>
      </c>
      <c r="G907" s="51" t="s">
        <v>2477</v>
      </c>
      <c r="H907" s="52">
        <v>1023</v>
      </c>
      <c r="I907" s="38">
        <v>46292</v>
      </c>
      <c r="J907" s="35">
        <v>46292</v>
      </c>
      <c r="K907" s="36" t="s">
        <v>8</v>
      </c>
    </row>
    <row r="908" spans="4:11" ht="39.75" customHeight="1" x14ac:dyDescent="0.3">
      <c r="D908" s="48" t="s">
        <v>2478</v>
      </c>
      <c r="E908" s="49" t="s">
        <v>2479</v>
      </c>
      <c r="F908" s="50">
        <v>0</v>
      </c>
      <c r="G908" s="51" t="s">
        <v>63</v>
      </c>
      <c r="H908" s="52">
        <v>1044</v>
      </c>
      <c r="I908" s="38">
        <v>46293</v>
      </c>
      <c r="J908" s="35">
        <v>46300</v>
      </c>
      <c r="K908" s="36" t="s">
        <v>8</v>
      </c>
    </row>
    <row r="909" spans="4:11" ht="39.75" customHeight="1" x14ac:dyDescent="0.3">
      <c r="D909" s="48" t="s">
        <v>2480</v>
      </c>
      <c r="E909" s="49" t="s">
        <v>2481</v>
      </c>
      <c r="F909" s="50">
        <v>0</v>
      </c>
      <c r="G909" s="51" t="s">
        <v>2482</v>
      </c>
      <c r="H909" s="52">
        <v>1024</v>
      </c>
      <c r="I909" s="38">
        <v>46293</v>
      </c>
      <c r="J909" s="35">
        <v>46295</v>
      </c>
      <c r="K909" s="36" t="s">
        <v>8</v>
      </c>
    </row>
    <row r="910" spans="4:11" ht="39.75" customHeight="1" x14ac:dyDescent="0.3">
      <c r="D910" s="48" t="s">
        <v>2483</v>
      </c>
      <c r="E910" s="49" t="s">
        <v>2484</v>
      </c>
      <c r="F910" s="50">
        <v>0</v>
      </c>
      <c r="G910" s="51" t="s">
        <v>2485</v>
      </c>
      <c r="H910" s="52" t="s">
        <v>193</v>
      </c>
      <c r="I910" s="38">
        <v>46293</v>
      </c>
      <c r="J910" s="35">
        <v>46293</v>
      </c>
      <c r="K910" s="36" t="s">
        <v>8</v>
      </c>
    </row>
    <row r="911" spans="4:11" ht="39.75" customHeight="1" x14ac:dyDescent="0.3">
      <c r="D911" s="48" t="s">
        <v>2486</v>
      </c>
      <c r="E911" s="49" t="s">
        <v>2487</v>
      </c>
      <c r="F911" s="50">
        <v>0</v>
      </c>
      <c r="G911" s="51" t="s">
        <v>2488</v>
      </c>
      <c r="H911" s="52">
        <v>1029</v>
      </c>
      <c r="I911" s="38">
        <v>46293</v>
      </c>
      <c r="J911" s="35">
        <v>46295</v>
      </c>
      <c r="K911" s="36" t="s">
        <v>8</v>
      </c>
    </row>
    <row r="912" spans="4:11" ht="39.75" customHeight="1" x14ac:dyDescent="0.3">
      <c r="D912" s="48" t="s">
        <v>2489</v>
      </c>
      <c r="E912" s="49" t="s">
        <v>2490</v>
      </c>
      <c r="F912" s="50">
        <v>0</v>
      </c>
      <c r="G912" s="51" t="s">
        <v>2491</v>
      </c>
      <c r="H912" s="52">
        <v>1023</v>
      </c>
      <c r="I912" s="38">
        <v>46294</v>
      </c>
      <c r="J912" s="35">
        <v>46294</v>
      </c>
      <c r="K912" s="36" t="s">
        <v>8</v>
      </c>
    </row>
    <row r="913" spans="4:11" ht="39.75" customHeight="1" x14ac:dyDescent="0.3">
      <c r="D913" s="48" t="s">
        <v>2492</v>
      </c>
      <c r="E913" s="49" t="s">
        <v>2493</v>
      </c>
      <c r="F913" s="50">
        <v>0</v>
      </c>
      <c r="G913" s="51" t="s">
        <v>2494</v>
      </c>
      <c r="H913" s="52">
        <v>1026</v>
      </c>
      <c r="I913" s="38">
        <v>46294</v>
      </c>
      <c r="J913" s="35">
        <v>46296</v>
      </c>
      <c r="K913" s="36" t="s">
        <v>8</v>
      </c>
    </row>
    <row r="914" spans="4:11" ht="39.75" customHeight="1" x14ac:dyDescent="0.3">
      <c r="D914" s="48" t="s">
        <v>2495</v>
      </c>
      <c r="E914" s="49" t="s">
        <v>2496</v>
      </c>
      <c r="F914" s="50">
        <v>0</v>
      </c>
      <c r="G914" s="51" t="s">
        <v>2398</v>
      </c>
      <c r="H914" s="52">
        <v>1029</v>
      </c>
      <c r="I914" s="38">
        <v>46294</v>
      </c>
      <c r="J914" s="35">
        <v>46296</v>
      </c>
      <c r="K914" s="36" t="s">
        <v>8</v>
      </c>
    </row>
    <row r="915" spans="4:11" ht="39.75" customHeight="1" x14ac:dyDescent="0.3">
      <c r="D915" s="48" t="s">
        <v>2497</v>
      </c>
      <c r="E915" s="49" t="s">
        <v>2498</v>
      </c>
      <c r="F915" s="50">
        <v>0</v>
      </c>
      <c r="G915" s="51" t="s">
        <v>2499</v>
      </c>
      <c r="H915" s="52">
        <v>1029</v>
      </c>
      <c r="I915" s="38">
        <v>46294</v>
      </c>
      <c r="J915" s="35">
        <v>46296</v>
      </c>
      <c r="K915" s="36" t="s">
        <v>8</v>
      </c>
    </row>
    <row r="916" spans="4:11" ht="39.75" customHeight="1" x14ac:dyDescent="0.3">
      <c r="D916" s="48" t="s">
        <v>2500</v>
      </c>
      <c r="E916" s="49" t="s">
        <v>2501</v>
      </c>
      <c r="F916" s="50">
        <v>0</v>
      </c>
      <c r="G916" s="51" t="s">
        <v>2331</v>
      </c>
      <c r="H916" s="52">
        <v>1029</v>
      </c>
      <c r="I916" s="38">
        <v>46295</v>
      </c>
      <c r="J916" s="35">
        <v>46296</v>
      </c>
      <c r="K916" s="36" t="s">
        <v>8</v>
      </c>
    </row>
    <row r="917" spans="4:11" ht="39.75" customHeight="1" x14ac:dyDescent="0.3">
      <c r="D917" s="48" t="s">
        <v>2502</v>
      </c>
      <c r="E917" s="49" t="s">
        <v>2503</v>
      </c>
      <c r="F917" s="50">
        <v>0</v>
      </c>
      <c r="G917" s="51" t="s">
        <v>2504</v>
      </c>
      <c r="H917" s="52">
        <v>1029</v>
      </c>
      <c r="I917" s="38">
        <v>46295</v>
      </c>
      <c r="J917" s="35">
        <v>46296</v>
      </c>
      <c r="K917" s="36" t="s">
        <v>8</v>
      </c>
    </row>
    <row r="918" spans="4:11" ht="39.75" customHeight="1" x14ac:dyDescent="0.3">
      <c r="D918" s="48" t="s">
        <v>2505</v>
      </c>
      <c r="E918" s="49" t="s">
        <v>2506</v>
      </c>
      <c r="F918" s="50">
        <v>0</v>
      </c>
      <c r="G918" s="51" t="s">
        <v>2507</v>
      </c>
      <c r="H918" s="52">
        <v>1031</v>
      </c>
      <c r="I918" s="38">
        <v>46295</v>
      </c>
      <c r="J918" s="35">
        <v>46301</v>
      </c>
      <c r="K918" s="36" t="s">
        <v>8</v>
      </c>
    </row>
    <row r="919" spans="4:11" ht="39.75" customHeight="1" x14ac:dyDescent="0.3">
      <c r="D919" s="48" t="s">
        <v>2508</v>
      </c>
      <c r="E919" s="49" t="s">
        <v>2509</v>
      </c>
      <c r="F919" s="50">
        <v>0</v>
      </c>
      <c r="G919" s="51" t="s">
        <v>2510</v>
      </c>
      <c r="H919" s="52">
        <v>1047</v>
      </c>
      <c r="I919" s="38">
        <v>46295</v>
      </c>
      <c r="J919" s="35"/>
      <c r="K919" s="36" t="s">
        <v>7</v>
      </c>
    </row>
    <row r="920" spans="4:11" ht="39.75" customHeight="1" x14ac:dyDescent="0.3">
      <c r="D920" s="48" t="s">
        <v>2511</v>
      </c>
      <c r="E920" s="49" t="s">
        <v>2512</v>
      </c>
      <c r="F920" s="50">
        <v>0</v>
      </c>
      <c r="G920" s="51" t="s">
        <v>2513</v>
      </c>
      <c r="H920" s="52">
        <v>1029</v>
      </c>
      <c r="I920" s="38">
        <v>46296</v>
      </c>
      <c r="J920" s="35">
        <v>46300</v>
      </c>
      <c r="K920" s="36" t="s">
        <v>8</v>
      </c>
    </row>
    <row r="921" spans="4:11" ht="39.75" customHeight="1" x14ac:dyDescent="0.3">
      <c r="D921" s="48" t="s">
        <v>2514</v>
      </c>
      <c r="E921" s="49" t="s">
        <v>2515</v>
      </c>
      <c r="F921" s="50">
        <v>0</v>
      </c>
      <c r="G921" s="51" t="s">
        <v>2516</v>
      </c>
      <c r="H921" s="52">
        <v>1029</v>
      </c>
      <c r="I921" s="38">
        <v>46296</v>
      </c>
      <c r="J921" s="35">
        <v>46300</v>
      </c>
      <c r="K921" s="36" t="s">
        <v>8</v>
      </c>
    </row>
    <row r="922" spans="4:11" ht="39.75" customHeight="1" x14ac:dyDescent="0.3">
      <c r="D922" s="48" t="s">
        <v>2517</v>
      </c>
      <c r="E922" s="49" t="s">
        <v>2518</v>
      </c>
      <c r="F922" s="50">
        <v>0</v>
      </c>
      <c r="G922" s="51" t="s">
        <v>2519</v>
      </c>
      <c r="H922" s="52">
        <v>1029</v>
      </c>
      <c r="I922" s="38">
        <v>46296</v>
      </c>
      <c r="J922" s="35">
        <v>46300</v>
      </c>
      <c r="K922" s="36" t="s">
        <v>8</v>
      </c>
    </row>
    <row r="923" spans="4:11" ht="39.75" customHeight="1" x14ac:dyDescent="0.3">
      <c r="D923" s="48" t="s">
        <v>2520</v>
      </c>
      <c r="E923" s="49" t="s">
        <v>2521</v>
      </c>
      <c r="F923" s="50">
        <v>0</v>
      </c>
      <c r="G923" s="51" t="s">
        <v>2522</v>
      </c>
      <c r="H923" s="52" t="s">
        <v>193</v>
      </c>
      <c r="I923" s="38">
        <v>46296</v>
      </c>
      <c r="J923" s="35"/>
      <c r="K923" s="36" t="s">
        <v>7</v>
      </c>
    </row>
    <row r="924" spans="4:11" ht="39.75" customHeight="1" x14ac:dyDescent="0.3">
      <c r="D924" s="48" t="s">
        <v>2523</v>
      </c>
      <c r="E924" s="49" t="s">
        <v>2524</v>
      </c>
      <c r="F924" s="50">
        <v>0</v>
      </c>
      <c r="G924" s="51" t="s">
        <v>2525</v>
      </c>
      <c r="H924" s="52">
        <v>1021</v>
      </c>
      <c r="I924" s="38">
        <v>46296</v>
      </c>
      <c r="J924" s="35">
        <v>46301</v>
      </c>
      <c r="K924" s="36" t="s">
        <v>8</v>
      </c>
    </row>
    <row r="925" spans="4:11" ht="39.75" customHeight="1" x14ac:dyDescent="0.3">
      <c r="D925" s="48" t="s">
        <v>2526</v>
      </c>
      <c r="E925" s="49" t="s">
        <v>2527</v>
      </c>
      <c r="F925" s="50">
        <v>0</v>
      </c>
      <c r="G925" s="51" t="s">
        <v>2217</v>
      </c>
      <c r="H925" s="52">
        <v>1043</v>
      </c>
      <c r="I925" s="38">
        <v>46298</v>
      </c>
      <c r="J925" s="35">
        <v>46302</v>
      </c>
      <c r="K925" s="36" t="s">
        <v>8</v>
      </c>
    </row>
    <row r="926" spans="4:11" ht="39.75" customHeight="1" x14ac:dyDescent="0.3">
      <c r="D926" s="48" t="s">
        <v>2528</v>
      </c>
      <c r="E926" s="49" t="s">
        <v>2529</v>
      </c>
      <c r="F926" s="50">
        <v>0</v>
      </c>
      <c r="G926" s="51" t="s">
        <v>2530</v>
      </c>
      <c r="H926" s="52">
        <v>1023</v>
      </c>
      <c r="I926" s="38">
        <v>46299</v>
      </c>
      <c r="J926" s="35">
        <v>46302</v>
      </c>
      <c r="K926" s="36" t="s">
        <v>8</v>
      </c>
    </row>
    <row r="927" spans="4:11" ht="39.75" customHeight="1" x14ac:dyDescent="0.3">
      <c r="D927" s="48" t="s">
        <v>2531</v>
      </c>
      <c r="E927" s="49" t="s">
        <v>2532</v>
      </c>
      <c r="F927" s="50">
        <v>0</v>
      </c>
      <c r="G927" s="51" t="s">
        <v>2533</v>
      </c>
      <c r="H927" s="52">
        <v>1022</v>
      </c>
      <c r="I927" s="38">
        <v>46299</v>
      </c>
      <c r="J927" s="35">
        <v>46300</v>
      </c>
      <c r="K927" s="36" t="s">
        <v>8</v>
      </c>
    </row>
    <row r="928" spans="4:11" ht="39.75" customHeight="1" x14ac:dyDescent="0.3">
      <c r="D928" s="48" t="s">
        <v>2534</v>
      </c>
      <c r="E928" s="49" t="s">
        <v>2535</v>
      </c>
      <c r="F928" s="50">
        <v>0</v>
      </c>
      <c r="G928" s="51" t="s">
        <v>2536</v>
      </c>
      <c r="H928" s="52">
        <v>1022</v>
      </c>
      <c r="I928" s="38">
        <v>46299</v>
      </c>
      <c r="J928" s="35">
        <v>46300</v>
      </c>
      <c r="K928" s="36" t="s">
        <v>8</v>
      </c>
    </row>
    <row r="929" spans="4:11" ht="39.75" customHeight="1" x14ac:dyDescent="0.3">
      <c r="D929" s="48" t="s">
        <v>2537</v>
      </c>
      <c r="E929" s="49" t="s">
        <v>2538</v>
      </c>
      <c r="F929" s="50">
        <v>0</v>
      </c>
      <c r="G929" s="51" t="s">
        <v>2539</v>
      </c>
      <c r="H929" s="52">
        <v>1022</v>
      </c>
      <c r="I929" s="38">
        <v>46300</v>
      </c>
      <c r="J929" s="35"/>
      <c r="K929" s="36" t="s">
        <v>7</v>
      </c>
    </row>
    <row r="930" spans="4:11" ht="39.75" customHeight="1" x14ac:dyDescent="0.3">
      <c r="D930" s="48" t="s">
        <v>2540</v>
      </c>
      <c r="E930" s="49" t="s">
        <v>2541</v>
      </c>
      <c r="F930" s="50">
        <v>0</v>
      </c>
      <c r="G930" s="51" t="s">
        <v>2542</v>
      </c>
      <c r="H930" s="52">
        <v>1021</v>
      </c>
      <c r="I930" s="38">
        <v>46300</v>
      </c>
      <c r="J930" s="35">
        <v>46302</v>
      </c>
      <c r="K930" s="36" t="s">
        <v>8</v>
      </c>
    </row>
    <row r="931" spans="4:11" ht="39.75" customHeight="1" x14ac:dyDescent="0.3">
      <c r="D931" s="48" t="s">
        <v>2543</v>
      </c>
      <c r="E931" s="49" t="s">
        <v>2544</v>
      </c>
      <c r="F931" s="50">
        <v>0</v>
      </c>
      <c r="G931" s="51" t="s">
        <v>2545</v>
      </c>
      <c r="H931" s="52">
        <v>1022</v>
      </c>
      <c r="I931" s="38">
        <v>46300</v>
      </c>
      <c r="J931" s="35">
        <v>46302</v>
      </c>
      <c r="K931" s="36" t="s">
        <v>8</v>
      </c>
    </row>
    <row r="932" spans="4:11" ht="39.75" customHeight="1" x14ac:dyDescent="0.3">
      <c r="D932" s="48" t="s">
        <v>2546</v>
      </c>
      <c r="E932" s="49" t="s">
        <v>2547</v>
      </c>
      <c r="F932" s="50">
        <v>0</v>
      </c>
      <c r="G932" s="15" t="s">
        <v>2548</v>
      </c>
      <c r="H932" s="52">
        <v>1025</v>
      </c>
      <c r="I932" s="38">
        <v>46300</v>
      </c>
      <c r="J932" s="35"/>
      <c r="K932" s="36" t="s">
        <v>7</v>
      </c>
    </row>
    <row r="933" spans="4:11" ht="39.75" customHeight="1" x14ac:dyDescent="0.3">
      <c r="D933" s="48" t="s">
        <v>2549</v>
      </c>
      <c r="E933" s="49" t="s">
        <v>2550</v>
      </c>
      <c r="F933" s="50">
        <v>0</v>
      </c>
      <c r="G933" s="51" t="s">
        <v>2551</v>
      </c>
      <c r="H933" s="52">
        <v>1022</v>
      </c>
      <c r="I933" s="38">
        <v>46300</v>
      </c>
      <c r="J933" s="35">
        <v>46301</v>
      </c>
      <c r="K933" s="36" t="s">
        <v>8</v>
      </c>
    </row>
    <row r="934" spans="4:11" ht="39.75" customHeight="1" x14ac:dyDescent="0.3">
      <c r="D934" s="48" t="s">
        <v>2552</v>
      </c>
      <c r="E934" s="49" t="s">
        <v>2553</v>
      </c>
      <c r="F934" s="50">
        <v>0</v>
      </c>
      <c r="G934" s="51" t="s">
        <v>2554</v>
      </c>
      <c r="H934" s="52">
        <v>1043</v>
      </c>
      <c r="I934" s="38">
        <v>46300</v>
      </c>
      <c r="J934" s="35"/>
      <c r="K934" s="36" t="s">
        <v>7</v>
      </c>
    </row>
    <row r="935" spans="4:11" ht="39.75" customHeight="1" x14ac:dyDescent="0.3">
      <c r="D935" s="48" t="s">
        <v>2555</v>
      </c>
      <c r="E935" s="49" t="s">
        <v>2556</v>
      </c>
      <c r="F935" s="50">
        <v>0</v>
      </c>
      <c r="G935" s="51" t="s">
        <v>2557</v>
      </c>
      <c r="H935" s="52" t="s">
        <v>193</v>
      </c>
      <c r="I935" s="38">
        <v>46300</v>
      </c>
      <c r="J935" s="35">
        <v>46306</v>
      </c>
      <c r="K935" s="36" t="s">
        <v>8</v>
      </c>
    </row>
    <row r="936" spans="4:11" ht="39.75" customHeight="1" x14ac:dyDescent="0.3">
      <c r="D936" s="48" t="s">
        <v>2558</v>
      </c>
      <c r="E936" s="49" t="s">
        <v>2559</v>
      </c>
      <c r="F936" s="50">
        <v>0</v>
      </c>
      <c r="G936" s="51" t="s">
        <v>2560</v>
      </c>
      <c r="H936" s="52" t="s">
        <v>193</v>
      </c>
      <c r="I936" s="38">
        <v>46300</v>
      </c>
      <c r="J936" s="35">
        <v>46306</v>
      </c>
      <c r="K936" s="36" t="s">
        <v>8</v>
      </c>
    </row>
    <row r="937" spans="4:11" ht="39.75" customHeight="1" x14ac:dyDescent="0.3">
      <c r="D937" s="48" t="s">
        <v>2561</v>
      </c>
      <c r="E937" s="49" t="s">
        <v>2562</v>
      </c>
      <c r="F937" s="50">
        <v>0</v>
      </c>
      <c r="G937" s="51" t="s">
        <v>2563</v>
      </c>
      <c r="H937" s="52" t="s">
        <v>193</v>
      </c>
      <c r="I937" s="38">
        <v>46300</v>
      </c>
      <c r="J937" s="35">
        <v>46306</v>
      </c>
      <c r="K937" s="36" t="s">
        <v>8</v>
      </c>
    </row>
    <row r="938" spans="4:11" ht="39.75" customHeight="1" x14ac:dyDescent="0.3">
      <c r="D938" s="48" t="s">
        <v>2564</v>
      </c>
      <c r="E938" s="49" t="s">
        <v>2565</v>
      </c>
      <c r="F938" s="50">
        <v>0</v>
      </c>
      <c r="G938" s="51" t="s">
        <v>2566</v>
      </c>
      <c r="H938" s="52" t="s">
        <v>193</v>
      </c>
      <c r="I938" s="38">
        <v>46300</v>
      </c>
      <c r="J938" s="35">
        <v>46306</v>
      </c>
      <c r="K938" s="36" t="s">
        <v>8</v>
      </c>
    </row>
    <row r="939" spans="4:11" ht="39.75" customHeight="1" x14ac:dyDescent="0.3">
      <c r="D939" s="48" t="s">
        <v>2567</v>
      </c>
      <c r="E939" s="49" t="s">
        <v>2568</v>
      </c>
      <c r="F939" s="50">
        <v>0</v>
      </c>
      <c r="G939" s="51" t="s">
        <v>2569</v>
      </c>
      <c r="H939" s="52" t="s">
        <v>193</v>
      </c>
      <c r="I939" s="38">
        <v>46300</v>
      </c>
      <c r="J939" s="35">
        <v>46306</v>
      </c>
      <c r="K939" s="36" t="s">
        <v>8</v>
      </c>
    </row>
    <row r="940" spans="4:11" ht="39.75" customHeight="1" x14ac:dyDescent="0.3">
      <c r="D940" s="48" t="s">
        <v>4775</v>
      </c>
      <c r="E940" s="49" t="s">
        <v>4776</v>
      </c>
      <c r="F940" s="50">
        <v>0</v>
      </c>
      <c r="G940" s="51" t="s">
        <v>4774</v>
      </c>
      <c r="H940" s="52" t="s">
        <v>193</v>
      </c>
      <c r="I940" s="38">
        <v>46301</v>
      </c>
      <c r="J940" s="35">
        <v>46306</v>
      </c>
      <c r="K940" s="36" t="s">
        <v>8</v>
      </c>
    </row>
    <row r="941" spans="4:11" ht="39.75" customHeight="1" x14ac:dyDescent="0.3">
      <c r="D941" s="48" t="s">
        <v>2570</v>
      </c>
      <c r="E941" s="49" t="s">
        <v>2571</v>
      </c>
      <c r="F941" s="50">
        <v>0</v>
      </c>
      <c r="G941" s="51" t="s">
        <v>2572</v>
      </c>
      <c r="H941" s="52">
        <v>1021</v>
      </c>
      <c r="I941" s="38">
        <v>46301</v>
      </c>
      <c r="J941" s="35"/>
      <c r="K941" s="36" t="s">
        <v>7</v>
      </c>
    </row>
    <row r="942" spans="4:11" ht="39.75" customHeight="1" x14ac:dyDescent="0.3">
      <c r="D942" s="48" t="s">
        <v>2573</v>
      </c>
      <c r="E942" s="49" t="s">
        <v>2574</v>
      </c>
      <c r="F942" s="50">
        <v>0</v>
      </c>
      <c r="G942" s="51" t="s">
        <v>2575</v>
      </c>
      <c r="H942" s="52">
        <v>1029</v>
      </c>
      <c r="I942" s="38">
        <v>46301</v>
      </c>
      <c r="J942" s="35"/>
      <c r="K942" s="36" t="s">
        <v>7</v>
      </c>
    </row>
    <row r="943" spans="4:11" ht="39.75" customHeight="1" x14ac:dyDescent="0.3">
      <c r="D943" s="48" t="s">
        <v>2576</v>
      </c>
      <c r="E943" s="49" t="s">
        <v>2577</v>
      </c>
      <c r="F943" s="50">
        <v>0</v>
      </c>
      <c r="G943" s="51" t="s">
        <v>2578</v>
      </c>
      <c r="H943" s="52">
        <v>1022</v>
      </c>
      <c r="I943" s="38">
        <v>46301</v>
      </c>
      <c r="J943" s="35"/>
      <c r="K943" s="36" t="s">
        <v>7</v>
      </c>
    </row>
    <row r="944" spans="4:11" ht="39.75" customHeight="1" x14ac:dyDescent="0.3">
      <c r="D944" s="48" t="s">
        <v>2579</v>
      </c>
      <c r="E944" s="49" t="s">
        <v>2580</v>
      </c>
      <c r="F944" s="50">
        <v>0</v>
      </c>
      <c r="G944" s="51" t="s">
        <v>2581</v>
      </c>
      <c r="H944" s="52">
        <v>1022</v>
      </c>
      <c r="I944" s="38">
        <v>46301</v>
      </c>
      <c r="J944" s="35"/>
      <c r="K944" s="36" t="s">
        <v>7</v>
      </c>
    </row>
    <row r="945" spans="4:11" ht="39.75" customHeight="1" x14ac:dyDescent="0.3">
      <c r="D945" s="48" t="s">
        <v>2582</v>
      </c>
      <c r="E945" s="49" t="s">
        <v>2583</v>
      </c>
      <c r="F945" s="50">
        <v>0</v>
      </c>
      <c r="G945" s="51" t="s">
        <v>2584</v>
      </c>
      <c r="H945" s="52" t="s">
        <v>193</v>
      </c>
      <c r="I945" s="38">
        <v>46301</v>
      </c>
      <c r="J945" s="35"/>
      <c r="K945" s="36" t="s">
        <v>7</v>
      </c>
    </row>
    <row r="946" spans="4:11" ht="39.75" customHeight="1" x14ac:dyDescent="0.3">
      <c r="D946" s="48" t="s">
        <v>2585</v>
      </c>
      <c r="E946" s="49" t="s">
        <v>2586</v>
      </c>
      <c r="F946" s="50">
        <v>0</v>
      </c>
      <c r="G946" s="51" t="s">
        <v>2587</v>
      </c>
      <c r="H946" s="52">
        <v>1022</v>
      </c>
      <c r="I946" s="38">
        <v>46301</v>
      </c>
      <c r="J946" s="35"/>
      <c r="K946" s="36" t="s">
        <v>7</v>
      </c>
    </row>
    <row r="947" spans="4:11" ht="39.75" customHeight="1" x14ac:dyDescent="0.3">
      <c r="D947" s="48" t="s">
        <v>2588</v>
      </c>
      <c r="E947" s="49" t="s">
        <v>2589</v>
      </c>
      <c r="F947" s="50">
        <v>0</v>
      </c>
      <c r="G947" s="51" t="s">
        <v>2590</v>
      </c>
      <c r="H947" s="52">
        <v>1025</v>
      </c>
      <c r="I947" s="38">
        <v>46301</v>
      </c>
      <c r="J947" s="35"/>
      <c r="K947" s="36" t="s">
        <v>7</v>
      </c>
    </row>
    <row r="948" spans="4:11" ht="39.75" customHeight="1" x14ac:dyDescent="0.3">
      <c r="D948" s="48" t="s">
        <v>2591</v>
      </c>
      <c r="E948" s="49" t="s">
        <v>2592</v>
      </c>
      <c r="F948" s="50">
        <v>0</v>
      </c>
      <c r="G948" s="51" t="s">
        <v>2593</v>
      </c>
      <c r="H948" s="52">
        <v>1031</v>
      </c>
      <c r="I948" s="38">
        <v>46302</v>
      </c>
      <c r="J948" s="35"/>
      <c r="K948" s="36" t="s">
        <v>7</v>
      </c>
    </row>
    <row r="949" spans="4:11" ht="39.75" customHeight="1" x14ac:dyDescent="0.3">
      <c r="D949" s="48" t="s">
        <v>2594</v>
      </c>
      <c r="E949" s="49" t="s">
        <v>2595</v>
      </c>
      <c r="F949" s="50">
        <v>0</v>
      </c>
      <c r="G949" s="51" t="s">
        <v>2596</v>
      </c>
      <c r="H949" s="52">
        <v>1021</v>
      </c>
      <c r="I949" s="38">
        <v>46302</v>
      </c>
      <c r="J949" s="35"/>
      <c r="K949" s="36" t="s">
        <v>7</v>
      </c>
    </row>
    <row r="950" spans="4:11" ht="39.75" customHeight="1" x14ac:dyDescent="0.3">
      <c r="D950" s="48" t="s">
        <v>2597</v>
      </c>
      <c r="E950" s="49" t="s">
        <v>2598</v>
      </c>
      <c r="F950" s="50">
        <v>0</v>
      </c>
      <c r="G950" s="51" t="s">
        <v>2599</v>
      </c>
      <c r="H950" s="52">
        <v>1022</v>
      </c>
      <c r="I950" s="38">
        <v>46302</v>
      </c>
      <c r="J950" s="35"/>
      <c r="K950" s="36" t="s">
        <v>7</v>
      </c>
    </row>
    <row r="951" spans="4:11" ht="39.75" customHeight="1" x14ac:dyDescent="0.3">
      <c r="D951" s="48" t="s">
        <v>4686</v>
      </c>
      <c r="E951" s="49" t="s">
        <v>4684</v>
      </c>
      <c r="F951" s="50">
        <v>0</v>
      </c>
      <c r="G951" s="51" t="s">
        <v>4685</v>
      </c>
      <c r="H951" s="52">
        <v>1022</v>
      </c>
      <c r="I951" s="38">
        <v>46302</v>
      </c>
      <c r="J951" s="35"/>
      <c r="K951" s="36" t="s">
        <v>7</v>
      </c>
    </row>
    <row r="952" spans="4:11" ht="39.75" customHeight="1" x14ac:dyDescent="0.3">
      <c r="D952" s="48" t="s">
        <v>4689</v>
      </c>
      <c r="E952" s="49" t="s">
        <v>4687</v>
      </c>
      <c r="F952" s="50">
        <v>0</v>
      </c>
      <c r="G952" s="51" t="s">
        <v>4688</v>
      </c>
      <c r="H952" s="52">
        <v>1036</v>
      </c>
      <c r="I952" s="38">
        <v>46302</v>
      </c>
      <c r="J952" s="35"/>
      <c r="K952" s="36" t="s">
        <v>7</v>
      </c>
    </row>
    <row r="953" spans="4:11" ht="39.75" customHeight="1" x14ac:dyDescent="0.3">
      <c r="D953" s="48" t="s">
        <v>4713</v>
      </c>
      <c r="E953" s="49" t="s">
        <v>4711</v>
      </c>
      <c r="F953" s="50">
        <v>0</v>
      </c>
      <c r="G953" s="51" t="s">
        <v>4712</v>
      </c>
      <c r="H953" s="52">
        <v>1023</v>
      </c>
      <c r="I953" s="38">
        <v>46302</v>
      </c>
      <c r="J953" s="35"/>
      <c r="K953" s="36" t="s">
        <v>7</v>
      </c>
    </row>
    <row r="954" spans="4:11" ht="39.75" customHeight="1" x14ac:dyDescent="0.3">
      <c r="D954" s="48" t="s">
        <v>4716</v>
      </c>
      <c r="E954" s="49" t="s">
        <v>4714</v>
      </c>
      <c r="F954" s="50">
        <v>0</v>
      </c>
      <c r="G954" s="51" t="s">
        <v>4715</v>
      </c>
      <c r="H954" s="52" t="s">
        <v>193</v>
      </c>
      <c r="I954" s="38">
        <v>46302</v>
      </c>
      <c r="J954" s="35"/>
      <c r="K954" s="36" t="s">
        <v>7</v>
      </c>
    </row>
    <row r="955" spans="4:11" ht="39.75" customHeight="1" x14ac:dyDescent="0.3">
      <c r="D955" s="48" t="s">
        <v>4719</v>
      </c>
      <c r="E955" s="49" t="s">
        <v>4717</v>
      </c>
      <c r="F955" s="50">
        <v>0</v>
      </c>
      <c r="G955" s="51" t="s">
        <v>4718</v>
      </c>
      <c r="H955" s="52" t="s">
        <v>193</v>
      </c>
      <c r="I955" s="38">
        <v>46302</v>
      </c>
      <c r="J955" s="35"/>
      <c r="K955" s="36" t="s">
        <v>7</v>
      </c>
    </row>
    <row r="956" spans="4:11" ht="39.75" customHeight="1" x14ac:dyDescent="0.3">
      <c r="D956" s="48" t="s">
        <v>4730</v>
      </c>
      <c r="E956" s="49" t="s">
        <v>4731</v>
      </c>
      <c r="F956" s="50">
        <v>0</v>
      </c>
      <c r="G956" s="51" t="s">
        <v>4729</v>
      </c>
      <c r="H956" s="52">
        <v>1020</v>
      </c>
      <c r="I956" s="38">
        <v>46302</v>
      </c>
      <c r="J956" s="35"/>
      <c r="K956" s="36" t="s">
        <v>7</v>
      </c>
    </row>
    <row r="957" spans="4:11" ht="39.75" customHeight="1" x14ac:dyDescent="0.3">
      <c r="D957" s="48" t="s">
        <v>4770</v>
      </c>
      <c r="E957" s="49" t="s">
        <v>4742</v>
      </c>
      <c r="F957" s="50">
        <v>0</v>
      </c>
      <c r="G957" s="51" t="s">
        <v>4741</v>
      </c>
      <c r="H957" s="52">
        <v>1022</v>
      </c>
      <c r="I957" s="38">
        <v>46305</v>
      </c>
      <c r="J957" s="35"/>
      <c r="K957" s="36" t="s">
        <v>7</v>
      </c>
    </row>
    <row r="958" spans="4:11" ht="39.75" customHeight="1" x14ac:dyDescent="0.3">
      <c r="D958" s="48" t="s">
        <v>4747</v>
      </c>
      <c r="E958" s="49" t="s">
        <v>4748</v>
      </c>
      <c r="F958" s="50">
        <v>0</v>
      </c>
      <c r="G958" s="51" t="s">
        <v>4746</v>
      </c>
      <c r="H958" s="52">
        <v>1060</v>
      </c>
      <c r="I958" s="38">
        <v>46305</v>
      </c>
      <c r="J958" s="35"/>
      <c r="K958" s="36" t="s">
        <v>7</v>
      </c>
    </row>
    <row r="959" spans="4:11" ht="39.75" customHeight="1" x14ac:dyDescent="0.3">
      <c r="D959" s="48" t="s">
        <v>4759</v>
      </c>
      <c r="E959" s="49" t="s">
        <v>4760</v>
      </c>
      <c r="F959" s="50">
        <v>0</v>
      </c>
      <c r="G959" s="51" t="s">
        <v>4758</v>
      </c>
      <c r="H959" s="52">
        <v>1022</v>
      </c>
      <c r="I959" s="38">
        <v>46306</v>
      </c>
      <c r="J959" s="35"/>
      <c r="K959" s="36" t="s">
        <v>7</v>
      </c>
    </row>
    <row r="960" spans="4:11" ht="39.75" customHeight="1" x14ac:dyDescent="0.3">
      <c r="D960" s="48" t="s">
        <v>4762</v>
      </c>
      <c r="E960" s="49" t="s">
        <v>4763</v>
      </c>
      <c r="F960" s="50">
        <v>0</v>
      </c>
      <c r="G960" s="51" t="s">
        <v>4761</v>
      </c>
      <c r="H960" s="52">
        <v>1022</v>
      </c>
      <c r="I960" s="38">
        <v>46306</v>
      </c>
      <c r="J960" s="35"/>
      <c r="K960" s="36" t="s">
        <v>7</v>
      </c>
    </row>
    <row r="961" spans="4:11" ht="39.75" customHeight="1" x14ac:dyDescent="0.3">
      <c r="D961" s="48" t="s">
        <v>4765</v>
      </c>
      <c r="E961" s="49" t="s">
        <v>4766</v>
      </c>
      <c r="F961" s="50">
        <v>0</v>
      </c>
      <c r="G961" s="51" t="s">
        <v>4764</v>
      </c>
      <c r="H961" s="52">
        <v>1022</v>
      </c>
      <c r="I961" s="38">
        <v>46306</v>
      </c>
      <c r="J961" s="35"/>
      <c r="K961" s="36" t="s">
        <v>7</v>
      </c>
    </row>
    <row r="962" spans="4:11" ht="39.75" customHeight="1" x14ac:dyDescent="0.3">
      <c r="D962" s="48" t="s">
        <v>4779</v>
      </c>
      <c r="E962" s="49" t="s">
        <v>4777</v>
      </c>
      <c r="F962" s="50">
        <v>0</v>
      </c>
      <c r="G962" s="51" t="s">
        <v>4778</v>
      </c>
      <c r="H962" s="52">
        <v>1022</v>
      </c>
      <c r="I962" s="38">
        <v>46306</v>
      </c>
      <c r="J962" s="35"/>
      <c r="K962" s="36" t="s">
        <v>7</v>
      </c>
    </row>
    <row r="963" spans="4:11" ht="39.75" customHeight="1" x14ac:dyDescent="0.3">
      <c r="D963" s="48" t="s">
        <v>4784</v>
      </c>
      <c r="E963" s="49" t="s">
        <v>4785</v>
      </c>
      <c r="F963" s="50">
        <v>0</v>
      </c>
      <c r="G963" s="51" t="s">
        <v>4783</v>
      </c>
      <c r="H963" s="52">
        <v>1029</v>
      </c>
      <c r="I963" s="38">
        <v>46306</v>
      </c>
      <c r="J963" s="35"/>
      <c r="K963" s="36" t="s">
        <v>7</v>
      </c>
    </row>
    <row r="964" spans="4:11" ht="39.75" customHeight="1" x14ac:dyDescent="0.3">
      <c r="D964" s="48" t="s">
        <v>4787</v>
      </c>
      <c r="E964" s="49" t="s">
        <v>4788</v>
      </c>
      <c r="F964" s="50">
        <v>0</v>
      </c>
      <c r="G964" s="51" t="s">
        <v>4786</v>
      </c>
      <c r="H964" s="52">
        <v>1020</v>
      </c>
      <c r="I964" s="38">
        <v>46306</v>
      </c>
      <c r="J964" s="35"/>
      <c r="K964" s="36" t="s">
        <v>7</v>
      </c>
    </row>
    <row r="965" spans="4:11" ht="39.75" customHeight="1" x14ac:dyDescent="0.3">
      <c r="D965" s="48" t="s">
        <v>4806</v>
      </c>
      <c r="E965" s="49" t="s">
        <v>4805</v>
      </c>
      <c r="F965" s="50">
        <v>0</v>
      </c>
      <c r="G965" s="51" t="s">
        <v>4804</v>
      </c>
      <c r="H965" s="52">
        <v>1031</v>
      </c>
      <c r="I965" s="38">
        <v>46306</v>
      </c>
      <c r="J965" s="35"/>
      <c r="K965" s="36" t="s">
        <v>7</v>
      </c>
    </row>
    <row r="966" spans="4:11" ht="39.75" customHeight="1" x14ac:dyDescent="0.3">
      <c r="D966" s="48" t="s">
        <v>4821</v>
      </c>
      <c r="E966" s="49" t="s">
        <v>4819</v>
      </c>
      <c r="F966" s="50">
        <v>0</v>
      </c>
      <c r="G966" s="51" t="s">
        <v>4820</v>
      </c>
      <c r="H966" s="52">
        <v>1027</v>
      </c>
      <c r="I966" s="38">
        <v>46306</v>
      </c>
      <c r="J966" s="35"/>
      <c r="K966" s="36" t="s">
        <v>7</v>
      </c>
    </row>
    <row r="968" spans="4:11" ht="39.75" customHeight="1" x14ac:dyDescent="0.3">
      <c r="D968" s="48"/>
      <c r="E968" s="49" t="s">
        <v>4824</v>
      </c>
      <c r="F968" s="50"/>
      <c r="G968" s="51"/>
      <c r="H968" s="52"/>
      <c r="I968" s="38"/>
      <c r="J968" s="35"/>
      <c r="K968" s="36"/>
    </row>
    <row r="969" spans="4:11" ht="39.75" customHeight="1" x14ac:dyDescent="0.3">
      <c r="D969" s="48" t="s">
        <v>4818</v>
      </c>
      <c r="E969" s="49" t="s">
        <v>4817</v>
      </c>
      <c r="F969" s="50">
        <v>0</v>
      </c>
      <c r="G969" s="51" t="s">
        <v>4816</v>
      </c>
      <c r="H969" s="52">
        <v>1031</v>
      </c>
      <c r="I969" s="38">
        <v>46307</v>
      </c>
      <c r="J969" s="35"/>
      <c r="K969" s="36" t="s">
        <v>7</v>
      </c>
    </row>
    <row r="970" spans="4:11" ht="39.75" customHeight="1" x14ac:dyDescent="0.3">
      <c r="D970" s="48"/>
      <c r="E970" s="49"/>
      <c r="F970" s="50">
        <v>0</v>
      </c>
      <c r="G970" s="51"/>
      <c r="H970" s="52"/>
      <c r="I970" s="38"/>
      <c r="J970" s="35"/>
      <c r="K970" s="36"/>
    </row>
  </sheetData>
  <autoFilter ref="D4:K961" xr:uid="{00000000-0009-0000-0000-000002000000}"/>
  <mergeCells count="4">
    <mergeCell ref="G1:K1"/>
    <mergeCell ref="G2:K2"/>
    <mergeCell ref="J3:K3"/>
    <mergeCell ref="D1:E3"/>
  </mergeCells>
  <conditionalFormatting sqref="D1 D4:D966 D968:D1048576">
    <cfRule type="duplicateValues" dxfId="39" priority="5"/>
    <cfRule type="duplicateValues" dxfId="38" priority="6"/>
  </conditionalFormatting>
  <conditionalFormatting sqref="E4:E966 E968:E1048576">
    <cfRule type="duplicateValues" dxfId="37" priority="2"/>
    <cfRule type="duplicateValues" dxfId="36" priority="3"/>
    <cfRule type="duplicateValues" dxfId="35" priority="4"/>
  </conditionalFormatting>
  <conditionalFormatting sqref="K5:K966 K968:K970">
    <cfRule type="cellIs" dxfId="34" priority="7" operator="equal">
      <formula>"Pending"</formula>
    </cfRule>
    <cfRule type="cellIs" dxfId="33" priority="8" operator="equal">
      <formula>"Responded"</formula>
    </cfRule>
  </conditionalFormatting>
  <dataValidations count="1">
    <dataValidation type="list" sqref="K5:K966 K968:K969" xr:uid="{00000000-0002-0000-0200-000000000000}">
      <formula1>"Pending,Responded"</formula1>
      <formula2>0</formula2>
    </dataValidation>
  </dataValidations>
  <pageMargins left="0.7" right="0.7" top="0.75" bottom="0.75" header="0.511811023622047" footer="0.511811023622047"/>
  <pageSetup paperSize="9" scale="2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FAADC"/>
  </sheetPr>
  <dimension ref="A1:N74"/>
  <sheetViews>
    <sheetView showGridLines="0" view="pageBreakPreview" topLeftCell="D1" zoomScale="70" zoomScaleNormal="70" zoomScaleSheetLayoutView="70" zoomScalePageLayoutView="55" workbookViewId="0">
      <pane ySplit="4" topLeftCell="A63" activePane="bottomLeft" state="frozen"/>
      <selection activeCell="D1" sqref="D1"/>
      <selection pane="bottomLeft" activeCell="G69" sqref="G69"/>
    </sheetView>
  </sheetViews>
  <sheetFormatPr defaultColWidth="9.109375" defaultRowHeight="21" customHeight="1" x14ac:dyDescent="0.3"/>
  <cols>
    <col min="1" max="3" width="13" style="13" hidden="1" customWidth="1"/>
    <col min="4" max="4" width="73.88671875" style="13" customWidth="1"/>
    <col min="5" max="5" width="29.109375" style="14" customWidth="1"/>
    <col min="6" max="6" width="10.6640625" style="40" customWidth="1"/>
    <col min="7" max="7" width="135.44140625" style="54" customWidth="1"/>
    <col min="8" max="8" width="16.44140625" style="16" customWidth="1"/>
    <col min="9" max="9" width="20.44140625" style="17" customWidth="1"/>
    <col min="10" max="10" width="18.5546875" style="17" customWidth="1"/>
    <col min="11" max="11" width="15.6640625" style="18" customWidth="1"/>
    <col min="12" max="16384" width="9.109375" style="13"/>
  </cols>
  <sheetData>
    <row r="1" spans="4:14" s="19" customFormat="1" ht="133.5" customHeight="1" x14ac:dyDescent="0.3">
      <c r="D1" s="71"/>
      <c r="E1" s="72"/>
      <c r="F1" s="42"/>
      <c r="G1" s="95"/>
      <c r="H1" s="95"/>
      <c r="I1" s="95"/>
      <c r="J1" s="95"/>
      <c r="K1" s="95"/>
    </row>
    <row r="2" spans="4:14" s="19" customFormat="1" ht="81.75" customHeight="1" x14ac:dyDescent="0.3">
      <c r="D2" s="73"/>
      <c r="E2" s="74"/>
      <c r="F2" s="40"/>
      <c r="G2" s="96" t="s">
        <v>2600</v>
      </c>
      <c r="H2" s="96"/>
      <c r="I2" s="96"/>
      <c r="J2" s="96"/>
      <c r="K2" s="96"/>
    </row>
    <row r="3" spans="4:14" s="19" customFormat="1" ht="30" customHeight="1" x14ac:dyDescent="0.3">
      <c r="D3" s="75"/>
      <c r="E3" s="76"/>
      <c r="F3" s="40"/>
      <c r="G3" s="55"/>
      <c r="H3" s="26"/>
      <c r="I3" s="27"/>
      <c r="J3" s="97"/>
      <c r="K3" s="97"/>
    </row>
    <row r="4" spans="4:14" s="56" customFormat="1" ht="58.2" customHeight="1" x14ac:dyDescent="0.3">
      <c r="D4" s="29" t="s">
        <v>18</v>
      </c>
      <c r="E4" s="29" t="s">
        <v>19</v>
      </c>
      <c r="F4" s="29" t="s">
        <v>20</v>
      </c>
      <c r="G4" s="29" t="s">
        <v>21</v>
      </c>
      <c r="H4" s="29" t="s">
        <v>22</v>
      </c>
      <c r="I4" s="29" t="s">
        <v>23</v>
      </c>
      <c r="J4" s="29" t="s">
        <v>24</v>
      </c>
      <c r="K4" s="29" t="s">
        <v>25</v>
      </c>
      <c r="L4" s="57"/>
      <c r="M4" s="57"/>
      <c r="N4" s="57"/>
    </row>
    <row r="5" spans="4:14" s="37" customFormat="1" ht="34.5" customHeight="1" x14ac:dyDescent="0.3">
      <c r="D5" s="58" t="s">
        <v>2601</v>
      </c>
      <c r="E5" s="49" t="s">
        <v>2602</v>
      </c>
      <c r="F5" s="50" t="s">
        <v>163</v>
      </c>
      <c r="G5" s="59" t="s">
        <v>2603</v>
      </c>
      <c r="H5" s="52" t="s">
        <v>2604</v>
      </c>
      <c r="I5" s="60">
        <v>46152</v>
      </c>
      <c r="J5" s="35">
        <v>46154</v>
      </c>
      <c r="K5" s="36" t="s">
        <v>8</v>
      </c>
    </row>
    <row r="6" spans="4:14" s="37" customFormat="1" ht="35.25" customHeight="1" x14ac:dyDescent="0.3">
      <c r="D6" s="58" t="s">
        <v>2605</v>
      </c>
      <c r="E6" s="49" t="s">
        <v>2606</v>
      </c>
      <c r="F6" s="50" t="s">
        <v>163</v>
      </c>
      <c r="G6" s="59" t="s">
        <v>2607</v>
      </c>
      <c r="H6" s="52" t="s">
        <v>2604</v>
      </c>
      <c r="I6" s="60">
        <v>46155</v>
      </c>
      <c r="J6" s="35">
        <v>46174</v>
      </c>
      <c r="K6" s="36" t="s">
        <v>8</v>
      </c>
    </row>
    <row r="7" spans="4:14" s="37" customFormat="1" ht="35.25" customHeight="1" x14ac:dyDescent="0.3">
      <c r="D7" s="58" t="s">
        <v>2608</v>
      </c>
      <c r="E7" s="49" t="s">
        <v>2609</v>
      </c>
      <c r="F7" s="50" t="s">
        <v>163</v>
      </c>
      <c r="G7" s="59" t="s">
        <v>2610</v>
      </c>
      <c r="H7" s="52" t="s">
        <v>2604</v>
      </c>
      <c r="I7" s="60">
        <v>46159</v>
      </c>
      <c r="J7" s="35">
        <v>46174</v>
      </c>
      <c r="K7" s="36" t="s">
        <v>8</v>
      </c>
    </row>
    <row r="8" spans="4:14" s="37" customFormat="1" ht="35.25" customHeight="1" x14ac:dyDescent="0.3">
      <c r="D8" s="58" t="s">
        <v>2611</v>
      </c>
      <c r="E8" s="49" t="s">
        <v>2612</v>
      </c>
      <c r="F8" s="50" t="s">
        <v>163</v>
      </c>
      <c r="G8" s="59" t="s">
        <v>2613</v>
      </c>
      <c r="H8" s="52" t="s">
        <v>2614</v>
      </c>
      <c r="I8" s="60">
        <v>46166</v>
      </c>
      <c r="J8" s="35">
        <v>46174</v>
      </c>
      <c r="K8" s="36" t="s">
        <v>8</v>
      </c>
    </row>
    <row r="9" spans="4:14" s="37" customFormat="1" ht="35.25" customHeight="1" x14ac:dyDescent="0.3">
      <c r="D9" s="58" t="s">
        <v>2615</v>
      </c>
      <c r="E9" s="49" t="s">
        <v>2616</v>
      </c>
      <c r="F9" s="50" t="s">
        <v>163</v>
      </c>
      <c r="G9" s="59" t="s">
        <v>2617</v>
      </c>
      <c r="H9" s="52" t="s">
        <v>2618</v>
      </c>
      <c r="I9" s="60">
        <v>46175</v>
      </c>
      <c r="J9" s="35">
        <v>46183</v>
      </c>
      <c r="K9" s="36" t="s">
        <v>8</v>
      </c>
    </row>
    <row r="10" spans="4:14" s="37" customFormat="1" ht="35.25" customHeight="1" x14ac:dyDescent="0.3">
      <c r="D10" s="58" t="s">
        <v>2619</v>
      </c>
      <c r="E10" s="49" t="s">
        <v>2620</v>
      </c>
      <c r="F10" s="50" t="s">
        <v>163</v>
      </c>
      <c r="G10" s="59" t="s">
        <v>2621</v>
      </c>
      <c r="H10" s="52" t="s">
        <v>2622</v>
      </c>
      <c r="I10" s="60">
        <v>46187</v>
      </c>
      <c r="J10" s="35">
        <v>46190</v>
      </c>
      <c r="K10" s="36" t="s">
        <v>8</v>
      </c>
    </row>
    <row r="11" spans="4:14" s="37" customFormat="1" ht="35.25" customHeight="1" x14ac:dyDescent="0.3">
      <c r="D11" s="58" t="s">
        <v>2623</v>
      </c>
      <c r="E11" s="49" t="s">
        <v>2624</v>
      </c>
      <c r="F11" s="50" t="s">
        <v>163</v>
      </c>
      <c r="G11" s="59" t="s">
        <v>2625</v>
      </c>
      <c r="H11" s="52" t="s">
        <v>2604</v>
      </c>
      <c r="I11" s="60">
        <v>46198</v>
      </c>
      <c r="J11" s="35">
        <v>46204</v>
      </c>
      <c r="K11" s="36" t="s">
        <v>8</v>
      </c>
    </row>
    <row r="12" spans="4:14" s="37" customFormat="1" ht="35.25" customHeight="1" x14ac:dyDescent="0.3">
      <c r="D12" s="58" t="s">
        <v>2626</v>
      </c>
      <c r="E12" s="49" t="s">
        <v>2627</v>
      </c>
      <c r="F12" s="50" t="s">
        <v>163</v>
      </c>
      <c r="G12" s="59" t="s">
        <v>2628</v>
      </c>
      <c r="H12" s="52" t="s">
        <v>2604</v>
      </c>
      <c r="I12" s="60">
        <v>46198</v>
      </c>
      <c r="J12" s="35">
        <v>46204</v>
      </c>
      <c r="K12" s="36" t="s">
        <v>8</v>
      </c>
    </row>
    <row r="13" spans="4:14" s="37" customFormat="1" ht="35.25" customHeight="1" x14ac:dyDescent="0.3">
      <c r="D13" s="58" t="s">
        <v>2629</v>
      </c>
      <c r="E13" s="49" t="s">
        <v>2630</v>
      </c>
      <c r="F13" s="50" t="s">
        <v>163</v>
      </c>
      <c r="G13" s="59" t="s">
        <v>2631</v>
      </c>
      <c r="H13" s="52" t="s">
        <v>29</v>
      </c>
      <c r="I13" s="60">
        <v>46198</v>
      </c>
      <c r="J13" s="35">
        <v>46204</v>
      </c>
      <c r="K13" s="36" t="s">
        <v>8</v>
      </c>
    </row>
    <row r="14" spans="4:14" s="37" customFormat="1" ht="35.25" customHeight="1" x14ac:dyDescent="0.3">
      <c r="D14" s="58" t="s">
        <v>2632</v>
      </c>
      <c r="E14" s="49" t="s">
        <v>2633</v>
      </c>
      <c r="F14" s="50" t="s">
        <v>163</v>
      </c>
      <c r="G14" s="59" t="s">
        <v>2634</v>
      </c>
      <c r="H14" s="52" t="s">
        <v>40</v>
      </c>
      <c r="I14" s="60">
        <v>46203</v>
      </c>
      <c r="J14" s="35">
        <v>46218</v>
      </c>
      <c r="K14" s="36" t="s">
        <v>8</v>
      </c>
    </row>
    <row r="15" spans="4:14" s="37" customFormat="1" ht="35.25" customHeight="1" x14ac:dyDescent="0.3">
      <c r="D15" s="58" t="s">
        <v>2635</v>
      </c>
      <c r="E15" s="49" t="s">
        <v>2636</v>
      </c>
      <c r="F15" s="50" t="s">
        <v>163</v>
      </c>
      <c r="G15" s="59" t="s">
        <v>2637</v>
      </c>
      <c r="H15" s="52" t="s">
        <v>54</v>
      </c>
      <c r="I15" s="60">
        <v>46204</v>
      </c>
      <c r="J15" s="35">
        <v>46210</v>
      </c>
      <c r="K15" s="36" t="s">
        <v>8</v>
      </c>
    </row>
    <row r="16" spans="4:14" s="37" customFormat="1" ht="35.25" customHeight="1" x14ac:dyDescent="0.3">
      <c r="D16" s="58" t="s">
        <v>2638</v>
      </c>
      <c r="E16" s="49" t="s">
        <v>2639</v>
      </c>
      <c r="F16" s="50" t="s">
        <v>163</v>
      </c>
      <c r="G16" s="59" t="s">
        <v>2640</v>
      </c>
      <c r="H16" s="52" t="s">
        <v>40</v>
      </c>
      <c r="I16" s="60">
        <v>46204</v>
      </c>
      <c r="J16" s="35">
        <v>46208</v>
      </c>
      <c r="K16" s="36" t="s">
        <v>8</v>
      </c>
    </row>
    <row r="17" spans="4:11" s="37" customFormat="1" ht="35.25" customHeight="1" x14ac:dyDescent="0.3">
      <c r="D17" s="58" t="s">
        <v>2641</v>
      </c>
      <c r="E17" s="49" t="s">
        <v>2642</v>
      </c>
      <c r="F17" s="50" t="s">
        <v>163</v>
      </c>
      <c r="G17" s="59" t="s">
        <v>2643</v>
      </c>
      <c r="H17" s="52" t="s">
        <v>40</v>
      </c>
      <c r="I17" s="60">
        <v>46204</v>
      </c>
      <c r="J17" s="35">
        <v>46217</v>
      </c>
      <c r="K17" s="36" t="s">
        <v>8</v>
      </c>
    </row>
    <row r="18" spans="4:11" s="37" customFormat="1" ht="35.25" customHeight="1" x14ac:dyDescent="0.3">
      <c r="D18" s="58" t="s">
        <v>2644</v>
      </c>
      <c r="E18" s="49" t="s">
        <v>2645</v>
      </c>
      <c r="F18" s="50" t="s">
        <v>163</v>
      </c>
      <c r="G18" s="59" t="s">
        <v>2646</v>
      </c>
      <c r="H18" s="52" t="s">
        <v>54</v>
      </c>
      <c r="I18" s="60">
        <v>46208</v>
      </c>
      <c r="J18" s="35">
        <v>46211</v>
      </c>
      <c r="K18" s="36" t="s">
        <v>8</v>
      </c>
    </row>
    <row r="19" spans="4:11" s="37" customFormat="1" ht="35.25" customHeight="1" x14ac:dyDescent="0.3">
      <c r="D19" s="58" t="s">
        <v>2647</v>
      </c>
      <c r="E19" s="49" t="s">
        <v>2648</v>
      </c>
      <c r="F19" s="50" t="s">
        <v>163</v>
      </c>
      <c r="G19" s="59" t="s">
        <v>2649</v>
      </c>
      <c r="H19" s="52" t="s">
        <v>29</v>
      </c>
      <c r="I19" s="60">
        <v>46210</v>
      </c>
      <c r="J19" s="35">
        <v>46221</v>
      </c>
      <c r="K19" s="36" t="s">
        <v>8</v>
      </c>
    </row>
    <row r="20" spans="4:11" s="37" customFormat="1" ht="35.25" customHeight="1" x14ac:dyDescent="0.3">
      <c r="D20" s="58" t="s">
        <v>2650</v>
      </c>
      <c r="E20" s="49" t="s">
        <v>2651</v>
      </c>
      <c r="F20" s="50" t="s">
        <v>163</v>
      </c>
      <c r="G20" s="59" t="s">
        <v>2652</v>
      </c>
      <c r="H20" s="52" t="s">
        <v>2622</v>
      </c>
      <c r="I20" s="60">
        <v>46218</v>
      </c>
      <c r="J20" s="35">
        <v>46230</v>
      </c>
      <c r="K20" s="36" t="s">
        <v>8</v>
      </c>
    </row>
    <row r="21" spans="4:11" s="37" customFormat="1" ht="35.25" customHeight="1" x14ac:dyDescent="0.3">
      <c r="D21" s="58" t="s">
        <v>2653</v>
      </c>
      <c r="E21" s="49" t="s">
        <v>2654</v>
      </c>
      <c r="F21" s="50" t="s">
        <v>163</v>
      </c>
      <c r="G21" s="59" t="s">
        <v>2655</v>
      </c>
      <c r="H21" s="52" t="s">
        <v>54</v>
      </c>
      <c r="I21" s="60">
        <v>46219</v>
      </c>
      <c r="J21" s="35">
        <v>46224</v>
      </c>
      <c r="K21" s="36" t="s">
        <v>8</v>
      </c>
    </row>
    <row r="22" spans="4:11" s="37" customFormat="1" ht="35.25" customHeight="1" x14ac:dyDescent="0.3">
      <c r="D22" s="58" t="s">
        <v>2656</v>
      </c>
      <c r="E22" s="49" t="s">
        <v>2657</v>
      </c>
      <c r="F22" s="50" t="s">
        <v>163</v>
      </c>
      <c r="G22" s="59" t="s">
        <v>2658</v>
      </c>
      <c r="H22" s="52" t="s">
        <v>2622</v>
      </c>
      <c r="I22" s="60">
        <v>46219</v>
      </c>
      <c r="J22" s="35">
        <v>46232</v>
      </c>
      <c r="K22" s="36" t="s">
        <v>8</v>
      </c>
    </row>
    <row r="23" spans="4:11" s="37" customFormat="1" ht="35.25" customHeight="1" x14ac:dyDescent="0.3">
      <c r="D23" s="58" t="s">
        <v>2659</v>
      </c>
      <c r="E23" s="49" t="s">
        <v>2660</v>
      </c>
      <c r="F23" s="50" t="s">
        <v>163</v>
      </c>
      <c r="G23" s="59" t="s">
        <v>2661</v>
      </c>
      <c r="H23" s="52" t="s">
        <v>54</v>
      </c>
      <c r="I23" s="60">
        <v>46233</v>
      </c>
      <c r="J23" s="35">
        <v>46236</v>
      </c>
      <c r="K23" s="36" t="s">
        <v>8</v>
      </c>
    </row>
    <row r="24" spans="4:11" s="37" customFormat="1" ht="35.25" customHeight="1" x14ac:dyDescent="0.3">
      <c r="D24" s="58" t="s">
        <v>2662</v>
      </c>
      <c r="E24" s="49" t="s">
        <v>2663</v>
      </c>
      <c r="F24" s="50" t="s">
        <v>163</v>
      </c>
      <c r="G24" s="59" t="s">
        <v>2664</v>
      </c>
      <c r="H24" s="52" t="s">
        <v>2604</v>
      </c>
      <c r="I24" s="60">
        <v>46238</v>
      </c>
      <c r="J24" s="35">
        <v>46244</v>
      </c>
      <c r="K24" s="36" t="s">
        <v>8</v>
      </c>
    </row>
    <row r="25" spans="4:11" s="37" customFormat="1" ht="35.25" customHeight="1" x14ac:dyDescent="0.3">
      <c r="D25" s="58" t="s">
        <v>2665</v>
      </c>
      <c r="E25" s="49" t="s">
        <v>2666</v>
      </c>
      <c r="F25" s="50" t="s">
        <v>163</v>
      </c>
      <c r="G25" s="59" t="s">
        <v>2667</v>
      </c>
      <c r="H25" s="52" t="s">
        <v>54</v>
      </c>
      <c r="I25" s="60">
        <v>46239</v>
      </c>
      <c r="J25" s="35">
        <v>46240</v>
      </c>
      <c r="K25" s="36" t="s">
        <v>8</v>
      </c>
    </row>
    <row r="26" spans="4:11" s="37" customFormat="1" ht="35.25" customHeight="1" x14ac:dyDescent="0.3">
      <c r="D26" s="58" t="s">
        <v>2668</v>
      </c>
      <c r="E26" s="49" t="s">
        <v>2669</v>
      </c>
      <c r="F26" s="50" t="s">
        <v>163</v>
      </c>
      <c r="G26" s="59" t="s">
        <v>2670</v>
      </c>
      <c r="H26" s="52" t="s">
        <v>2622</v>
      </c>
      <c r="I26" s="60">
        <v>46245</v>
      </c>
      <c r="J26" s="35">
        <v>46253</v>
      </c>
      <c r="K26" s="36" t="s">
        <v>8</v>
      </c>
    </row>
    <row r="27" spans="4:11" s="37" customFormat="1" ht="35.25" customHeight="1" x14ac:dyDescent="0.3">
      <c r="D27" s="58" t="s">
        <v>2671</v>
      </c>
      <c r="E27" s="49" t="s">
        <v>2672</v>
      </c>
      <c r="F27" s="50" t="s">
        <v>163</v>
      </c>
      <c r="G27" s="59" t="s">
        <v>2673</v>
      </c>
      <c r="H27" s="52" t="s">
        <v>2674</v>
      </c>
      <c r="I27" s="60">
        <v>46245</v>
      </c>
      <c r="J27" s="35">
        <v>46253</v>
      </c>
      <c r="K27" s="36" t="s">
        <v>8</v>
      </c>
    </row>
    <row r="28" spans="4:11" s="37" customFormat="1" ht="35.25" customHeight="1" x14ac:dyDescent="0.3">
      <c r="D28" s="58" t="s">
        <v>2675</v>
      </c>
      <c r="E28" s="49" t="s">
        <v>2676</v>
      </c>
      <c r="F28" s="50" t="s">
        <v>163</v>
      </c>
      <c r="G28" s="59" t="s">
        <v>2677</v>
      </c>
      <c r="H28" s="52" t="s">
        <v>2678</v>
      </c>
      <c r="I28" s="60">
        <v>46246</v>
      </c>
      <c r="J28" s="35">
        <v>46256</v>
      </c>
      <c r="K28" s="36" t="s">
        <v>8</v>
      </c>
    </row>
    <row r="29" spans="4:11" s="37" customFormat="1" ht="35.25" customHeight="1" x14ac:dyDescent="0.3">
      <c r="D29" s="58" t="s">
        <v>2679</v>
      </c>
      <c r="E29" s="49" t="s">
        <v>2680</v>
      </c>
      <c r="F29" s="50" t="s">
        <v>163</v>
      </c>
      <c r="G29" s="59" t="s">
        <v>2681</v>
      </c>
      <c r="H29" s="52" t="s">
        <v>2622</v>
      </c>
      <c r="I29" s="60">
        <v>46252</v>
      </c>
      <c r="J29" s="35">
        <v>46266</v>
      </c>
      <c r="K29" s="36" t="s">
        <v>8</v>
      </c>
    </row>
    <row r="30" spans="4:11" s="37" customFormat="1" ht="35.25" customHeight="1" x14ac:dyDescent="0.3">
      <c r="D30" s="58" t="s">
        <v>2682</v>
      </c>
      <c r="E30" s="49" t="s">
        <v>2683</v>
      </c>
      <c r="F30" s="50" t="s">
        <v>163</v>
      </c>
      <c r="G30" s="59" t="s">
        <v>2684</v>
      </c>
      <c r="H30" s="52" t="s">
        <v>2678</v>
      </c>
      <c r="I30" s="60">
        <v>46252</v>
      </c>
      <c r="J30" s="35">
        <v>46266</v>
      </c>
      <c r="K30" s="36" t="s">
        <v>8</v>
      </c>
    </row>
    <row r="31" spans="4:11" s="37" customFormat="1" ht="35.25" customHeight="1" x14ac:dyDescent="0.3">
      <c r="D31" s="58" t="s">
        <v>2685</v>
      </c>
      <c r="E31" s="49" t="s">
        <v>2686</v>
      </c>
      <c r="F31" s="50" t="s">
        <v>163</v>
      </c>
      <c r="G31" s="59" t="s">
        <v>2687</v>
      </c>
      <c r="H31" s="52" t="s">
        <v>2604</v>
      </c>
      <c r="I31" s="60">
        <v>46253</v>
      </c>
      <c r="J31" s="35">
        <v>46257</v>
      </c>
      <c r="K31" s="36" t="s">
        <v>8</v>
      </c>
    </row>
    <row r="32" spans="4:11" s="37" customFormat="1" ht="35.25" customHeight="1" x14ac:dyDescent="0.3">
      <c r="D32" s="58" t="s">
        <v>2688</v>
      </c>
      <c r="E32" s="49" t="s">
        <v>2689</v>
      </c>
      <c r="F32" s="50" t="s">
        <v>163</v>
      </c>
      <c r="G32" s="59" t="s">
        <v>2690</v>
      </c>
      <c r="H32" s="52" t="s">
        <v>2622</v>
      </c>
      <c r="I32" s="60">
        <v>46257</v>
      </c>
      <c r="J32" s="35">
        <v>46266</v>
      </c>
      <c r="K32" s="36" t="s">
        <v>8</v>
      </c>
    </row>
    <row r="33" spans="4:11" s="37" customFormat="1" ht="35.25" customHeight="1" x14ac:dyDescent="0.3">
      <c r="D33" s="58" t="s">
        <v>2691</v>
      </c>
      <c r="E33" s="49" t="s">
        <v>2692</v>
      </c>
      <c r="F33" s="50" t="s">
        <v>163</v>
      </c>
      <c r="G33" s="59" t="s">
        <v>2693</v>
      </c>
      <c r="H33" s="52" t="s">
        <v>2674</v>
      </c>
      <c r="I33" s="60">
        <v>46258</v>
      </c>
      <c r="J33" s="35">
        <v>46268</v>
      </c>
      <c r="K33" s="36" t="s">
        <v>8</v>
      </c>
    </row>
    <row r="34" spans="4:11" s="37" customFormat="1" ht="35.25" customHeight="1" x14ac:dyDescent="0.3">
      <c r="D34" s="58" t="s">
        <v>2694</v>
      </c>
      <c r="E34" s="49" t="s">
        <v>2695</v>
      </c>
      <c r="F34" s="50" t="s">
        <v>163</v>
      </c>
      <c r="G34" s="59" t="s">
        <v>2696</v>
      </c>
      <c r="H34" s="52" t="s">
        <v>2622</v>
      </c>
      <c r="I34" s="60">
        <v>46266</v>
      </c>
      <c r="J34" s="35">
        <v>46271</v>
      </c>
      <c r="K34" s="36" t="s">
        <v>8</v>
      </c>
    </row>
    <row r="35" spans="4:11" s="37" customFormat="1" ht="35.25" customHeight="1" x14ac:dyDescent="0.3">
      <c r="D35" s="58" t="s">
        <v>2697</v>
      </c>
      <c r="E35" s="49" t="s">
        <v>2698</v>
      </c>
      <c r="F35" s="50" t="s">
        <v>163</v>
      </c>
      <c r="G35" s="59" t="s">
        <v>2699</v>
      </c>
      <c r="H35" s="52" t="s">
        <v>193</v>
      </c>
      <c r="I35" s="60">
        <v>46271</v>
      </c>
      <c r="J35" s="35">
        <v>46278</v>
      </c>
      <c r="K35" s="36" t="s">
        <v>8</v>
      </c>
    </row>
    <row r="36" spans="4:11" s="37" customFormat="1" ht="35.25" customHeight="1" x14ac:dyDescent="0.3">
      <c r="D36" s="58" t="s">
        <v>2700</v>
      </c>
      <c r="E36" s="49" t="s">
        <v>2701</v>
      </c>
      <c r="F36" s="50" t="s">
        <v>163</v>
      </c>
      <c r="G36" s="59" t="s">
        <v>2702</v>
      </c>
      <c r="H36" s="52" t="s">
        <v>29</v>
      </c>
      <c r="I36" s="60">
        <v>46271</v>
      </c>
      <c r="J36" s="35">
        <v>46274</v>
      </c>
      <c r="K36" s="36" t="s">
        <v>8</v>
      </c>
    </row>
    <row r="37" spans="4:11" s="37" customFormat="1" ht="35.25" customHeight="1" x14ac:dyDescent="0.3">
      <c r="D37" s="58" t="s">
        <v>2703</v>
      </c>
      <c r="E37" s="49" t="s">
        <v>2704</v>
      </c>
      <c r="F37" s="50" t="s">
        <v>163</v>
      </c>
      <c r="G37" s="59" t="s">
        <v>2705</v>
      </c>
      <c r="H37" s="52" t="s">
        <v>29</v>
      </c>
      <c r="I37" s="60">
        <v>46271</v>
      </c>
      <c r="J37" s="35">
        <v>46274</v>
      </c>
      <c r="K37" s="36" t="s">
        <v>8</v>
      </c>
    </row>
    <row r="38" spans="4:11" s="37" customFormat="1" ht="35.25" customHeight="1" x14ac:dyDescent="0.3">
      <c r="D38" s="58" t="s">
        <v>2706</v>
      </c>
      <c r="E38" s="49" t="s">
        <v>2707</v>
      </c>
      <c r="F38" s="50" t="s">
        <v>163</v>
      </c>
      <c r="G38" s="59" t="s">
        <v>2708</v>
      </c>
      <c r="H38" s="52" t="s">
        <v>29</v>
      </c>
      <c r="I38" s="60">
        <v>46272</v>
      </c>
      <c r="J38" s="35">
        <v>46274</v>
      </c>
      <c r="K38" s="36" t="s">
        <v>8</v>
      </c>
    </row>
    <row r="39" spans="4:11" s="37" customFormat="1" ht="35.25" customHeight="1" x14ac:dyDescent="0.3">
      <c r="D39" s="58" t="s">
        <v>2709</v>
      </c>
      <c r="E39" s="49" t="s">
        <v>2710</v>
      </c>
      <c r="F39" s="50" t="s">
        <v>163</v>
      </c>
      <c r="G39" s="59" t="s">
        <v>2711</v>
      </c>
      <c r="H39" s="52" t="s">
        <v>29</v>
      </c>
      <c r="I39" s="60">
        <v>46272</v>
      </c>
      <c r="J39" s="35">
        <v>46279</v>
      </c>
      <c r="K39" s="36" t="s">
        <v>8</v>
      </c>
    </row>
    <row r="40" spans="4:11" s="37" customFormat="1" ht="35.25" customHeight="1" x14ac:dyDescent="0.3">
      <c r="D40" s="58" t="s">
        <v>2712</v>
      </c>
      <c r="E40" s="49" t="s">
        <v>2713</v>
      </c>
      <c r="F40" s="50" t="s">
        <v>163</v>
      </c>
      <c r="G40" s="59" t="s">
        <v>2714</v>
      </c>
      <c r="H40" s="52" t="s">
        <v>2674</v>
      </c>
      <c r="I40" s="60">
        <v>46273</v>
      </c>
      <c r="J40" s="35">
        <v>46275</v>
      </c>
      <c r="K40" s="36" t="s">
        <v>8</v>
      </c>
    </row>
    <row r="41" spans="4:11" s="37" customFormat="1" ht="35.25" customHeight="1" x14ac:dyDescent="0.3">
      <c r="D41" s="58" t="s">
        <v>2715</v>
      </c>
      <c r="E41" s="49" t="s">
        <v>2716</v>
      </c>
      <c r="F41" s="50" t="s">
        <v>163</v>
      </c>
      <c r="G41" s="59" t="s">
        <v>2717</v>
      </c>
      <c r="H41" s="52" t="s">
        <v>2674</v>
      </c>
      <c r="I41" s="60">
        <v>46273</v>
      </c>
      <c r="J41" s="35">
        <v>46280</v>
      </c>
      <c r="K41" s="36" t="s">
        <v>8</v>
      </c>
    </row>
    <row r="42" spans="4:11" s="37" customFormat="1" ht="35.25" customHeight="1" x14ac:dyDescent="0.3">
      <c r="D42" s="58" t="s">
        <v>2718</v>
      </c>
      <c r="E42" s="49" t="s">
        <v>2719</v>
      </c>
      <c r="F42" s="50" t="s">
        <v>163</v>
      </c>
      <c r="G42" s="59" t="s">
        <v>2720</v>
      </c>
      <c r="H42" s="52" t="s">
        <v>2678</v>
      </c>
      <c r="I42" s="60">
        <v>46275</v>
      </c>
      <c r="J42" s="35"/>
      <c r="K42" s="36" t="s">
        <v>7</v>
      </c>
    </row>
    <row r="43" spans="4:11" s="37" customFormat="1" ht="35.25" customHeight="1" x14ac:dyDescent="0.3">
      <c r="D43" s="58" t="s">
        <v>2721</v>
      </c>
      <c r="E43" s="49" t="s">
        <v>2722</v>
      </c>
      <c r="F43" s="50" t="s">
        <v>163</v>
      </c>
      <c r="G43" s="59" t="s">
        <v>2723</v>
      </c>
      <c r="H43" s="52" t="s">
        <v>40</v>
      </c>
      <c r="I43" s="60">
        <v>46278</v>
      </c>
      <c r="J43" s="35"/>
      <c r="K43" s="36" t="s">
        <v>7</v>
      </c>
    </row>
    <row r="44" spans="4:11" s="37" customFormat="1" ht="35.25" customHeight="1" x14ac:dyDescent="0.3">
      <c r="D44" s="58" t="s">
        <v>2724</v>
      </c>
      <c r="E44" s="49" t="s">
        <v>2725</v>
      </c>
      <c r="F44" s="50" t="s">
        <v>163</v>
      </c>
      <c r="G44" s="59" t="s">
        <v>2726</v>
      </c>
      <c r="H44" s="52">
        <v>1022</v>
      </c>
      <c r="I44" s="60">
        <v>46281</v>
      </c>
      <c r="J44" s="35">
        <v>46301</v>
      </c>
      <c r="K44" s="36" t="s">
        <v>8</v>
      </c>
    </row>
    <row r="45" spans="4:11" s="37" customFormat="1" ht="35.25" customHeight="1" x14ac:dyDescent="0.3">
      <c r="D45" s="58" t="s">
        <v>2727</v>
      </c>
      <c r="E45" s="49" t="s">
        <v>2728</v>
      </c>
      <c r="F45" s="50" t="s">
        <v>163</v>
      </c>
      <c r="G45" s="59" t="s">
        <v>2729</v>
      </c>
      <c r="H45" s="52" t="s">
        <v>193</v>
      </c>
      <c r="I45" s="60">
        <v>46281</v>
      </c>
      <c r="J45" s="35"/>
      <c r="K45" s="36" t="s">
        <v>7</v>
      </c>
    </row>
    <row r="46" spans="4:11" s="37" customFormat="1" ht="35.25" customHeight="1" x14ac:dyDescent="0.3">
      <c r="D46" s="58" t="s">
        <v>2730</v>
      </c>
      <c r="E46" s="49" t="s">
        <v>2731</v>
      </c>
      <c r="F46" s="50" t="s">
        <v>163</v>
      </c>
      <c r="G46" s="59" t="s">
        <v>2732</v>
      </c>
      <c r="H46" s="52" t="s">
        <v>193</v>
      </c>
      <c r="I46" s="60">
        <v>46282</v>
      </c>
      <c r="J46" s="35">
        <v>46296</v>
      </c>
      <c r="K46" s="36" t="s">
        <v>8</v>
      </c>
    </row>
    <row r="47" spans="4:11" s="37" customFormat="1" ht="35.25" customHeight="1" x14ac:dyDescent="0.3">
      <c r="D47" s="58" t="s">
        <v>2733</v>
      </c>
      <c r="E47" s="49" t="s">
        <v>2734</v>
      </c>
      <c r="F47" s="50" t="s">
        <v>163</v>
      </c>
      <c r="G47" s="59" t="s">
        <v>2735</v>
      </c>
      <c r="H47" s="52">
        <v>1022</v>
      </c>
      <c r="I47" s="60">
        <v>46284</v>
      </c>
      <c r="J47" s="35">
        <v>46292</v>
      </c>
      <c r="K47" s="36" t="s">
        <v>8</v>
      </c>
    </row>
    <row r="48" spans="4:11" s="37" customFormat="1" ht="35.25" customHeight="1" x14ac:dyDescent="0.3">
      <c r="D48" s="58" t="s">
        <v>2736</v>
      </c>
      <c r="E48" s="49" t="s">
        <v>2737</v>
      </c>
      <c r="F48" s="50" t="s">
        <v>163</v>
      </c>
      <c r="G48" s="59" t="s">
        <v>2738</v>
      </c>
      <c r="H48" s="52">
        <v>1022</v>
      </c>
      <c r="I48" s="60">
        <v>46285</v>
      </c>
      <c r="J48" s="35">
        <v>46302</v>
      </c>
      <c r="K48" s="36" t="s">
        <v>8</v>
      </c>
    </row>
    <row r="49" spans="4:11" s="37" customFormat="1" ht="35.25" customHeight="1" x14ac:dyDescent="0.3">
      <c r="D49" s="58" t="s">
        <v>2739</v>
      </c>
      <c r="E49" s="49" t="s">
        <v>2740</v>
      </c>
      <c r="F49" s="50" t="s">
        <v>163</v>
      </c>
      <c r="G49" s="59" t="s">
        <v>2741</v>
      </c>
      <c r="H49" s="52">
        <v>1031</v>
      </c>
      <c r="I49" s="60">
        <v>46285</v>
      </c>
      <c r="J49" s="35"/>
      <c r="K49" s="36" t="s">
        <v>7</v>
      </c>
    </row>
    <row r="50" spans="4:11" s="37" customFormat="1" ht="35.25" customHeight="1" x14ac:dyDescent="0.3">
      <c r="D50" s="58" t="s">
        <v>2742</v>
      </c>
      <c r="E50" s="49" t="s">
        <v>2743</v>
      </c>
      <c r="F50" s="50" t="s">
        <v>163</v>
      </c>
      <c r="G50" s="59" t="s">
        <v>2744</v>
      </c>
      <c r="H50" s="52">
        <v>1022</v>
      </c>
      <c r="I50" s="60">
        <v>46286</v>
      </c>
      <c r="J50" s="35">
        <v>46302</v>
      </c>
      <c r="K50" s="36" t="s">
        <v>8</v>
      </c>
    </row>
    <row r="51" spans="4:11" s="37" customFormat="1" ht="35.25" customHeight="1" x14ac:dyDescent="0.3">
      <c r="D51" s="58" t="s">
        <v>2745</v>
      </c>
      <c r="E51" s="49" t="s">
        <v>2746</v>
      </c>
      <c r="F51" s="50" t="s">
        <v>163</v>
      </c>
      <c r="G51" s="59" t="s">
        <v>2747</v>
      </c>
      <c r="H51" s="52">
        <v>1025</v>
      </c>
      <c r="I51" s="60">
        <v>46287</v>
      </c>
      <c r="J51" s="35">
        <v>46293</v>
      </c>
      <c r="K51" s="36" t="s">
        <v>8</v>
      </c>
    </row>
    <row r="52" spans="4:11" s="37" customFormat="1" ht="35.25" customHeight="1" x14ac:dyDescent="0.3">
      <c r="D52" s="58" t="s">
        <v>2748</v>
      </c>
      <c r="E52" s="49" t="s">
        <v>2749</v>
      </c>
      <c r="F52" s="50">
        <v>0</v>
      </c>
      <c r="G52" s="59" t="s">
        <v>2750</v>
      </c>
      <c r="H52" s="52" t="s">
        <v>193</v>
      </c>
      <c r="I52" s="60">
        <v>46288</v>
      </c>
      <c r="J52" s="35">
        <v>46294</v>
      </c>
      <c r="K52" s="36" t="s">
        <v>8</v>
      </c>
    </row>
    <row r="53" spans="4:11" s="37" customFormat="1" ht="35.25" customHeight="1" x14ac:dyDescent="0.3">
      <c r="D53" s="58" t="s">
        <v>2751</v>
      </c>
      <c r="E53" s="49" t="s">
        <v>2752</v>
      </c>
      <c r="F53" s="50">
        <v>0</v>
      </c>
      <c r="G53" s="59" t="s">
        <v>2753</v>
      </c>
      <c r="H53" s="52" t="s">
        <v>193</v>
      </c>
      <c r="I53" s="60">
        <v>46288</v>
      </c>
      <c r="J53" s="35">
        <v>46294</v>
      </c>
      <c r="K53" s="36" t="s">
        <v>8</v>
      </c>
    </row>
    <row r="54" spans="4:11" s="37" customFormat="1" ht="35.25" customHeight="1" x14ac:dyDescent="0.3">
      <c r="D54" s="58" t="s">
        <v>2754</v>
      </c>
      <c r="E54" s="49" t="s">
        <v>2755</v>
      </c>
      <c r="F54" s="50">
        <v>0</v>
      </c>
      <c r="G54" s="59" t="s">
        <v>2756</v>
      </c>
      <c r="H54" s="52">
        <v>1024</v>
      </c>
      <c r="I54" s="60">
        <v>46292</v>
      </c>
      <c r="J54" s="35"/>
      <c r="K54" s="36" t="s">
        <v>7</v>
      </c>
    </row>
    <row r="55" spans="4:11" s="37" customFormat="1" ht="35.25" customHeight="1" x14ac:dyDescent="0.3">
      <c r="D55" s="58" t="s">
        <v>2757</v>
      </c>
      <c r="E55" s="49" t="s">
        <v>2758</v>
      </c>
      <c r="F55" s="50">
        <v>0</v>
      </c>
      <c r="G55" s="59" t="s">
        <v>2759</v>
      </c>
      <c r="H55" s="52">
        <v>1024</v>
      </c>
      <c r="I55" s="60">
        <v>46295</v>
      </c>
      <c r="J55" s="35">
        <v>46302</v>
      </c>
      <c r="K55" s="36" t="s">
        <v>8</v>
      </c>
    </row>
    <row r="56" spans="4:11" s="37" customFormat="1" ht="35.25" customHeight="1" x14ac:dyDescent="0.3">
      <c r="D56" s="58" t="s">
        <v>2760</v>
      </c>
      <c r="E56" s="49" t="s">
        <v>2761</v>
      </c>
      <c r="F56" s="50">
        <v>0</v>
      </c>
      <c r="G56" s="59" t="s">
        <v>2762</v>
      </c>
      <c r="H56" s="52" t="s">
        <v>193</v>
      </c>
      <c r="I56" s="60">
        <v>46296</v>
      </c>
      <c r="J56" s="35">
        <v>46296</v>
      </c>
      <c r="K56" s="36" t="s">
        <v>8</v>
      </c>
    </row>
    <row r="57" spans="4:11" s="37" customFormat="1" ht="35.25" customHeight="1" x14ac:dyDescent="0.3">
      <c r="D57" s="58" t="s">
        <v>2763</v>
      </c>
      <c r="E57" s="49" t="s">
        <v>2764</v>
      </c>
      <c r="F57" s="50">
        <v>0</v>
      </c>
      <c r="G57" s="59" t="s">
        <v>2765</v>
      </c>
      <c r="H57" s="52" t="s">
        <v>193</v>
      </c>
      <c r="I57" s="60">
        <v>46296</v>
      </c>
      <c r="J57" s="35">
        <v>46300</v>
      </c>
      <c r="K57" s="36" t="s">
        <v>8</v>
      </c>
    </row>
    <row r="58" spans="4:11" s="37" customFormat="1" ht="35.25" customHeight="1" x14ac:dyDescent="0.3">
      <c r="D58" s="58" t="s">
        <v>2766</v>
      </c>
      <c r="E58" s="49" t="s">
        <v>2767</v>
      </c>
      <c r="F58" s="50">
        <v>0</v>
      </c>
      <c r="G58" s="59" t="s">
        <v>2768</v>
      </c>
      <c r="H58" s="52">
        <v>1022</v>
      </c>
      <c r="I58" s="60">
        <v>46300</v>
      </c>
      <c r="J58" s="35"/>
      <c r="K58" s="36" t="s">
        <v>7</v>
      </c>
    </row>
    <row r="59" spans="4:11" s="37" customFormat="1" ht="35.25" customHeight="1" x14ac:dyDescent="0.3">
      <c r="D59" s="58" t="s">
        <v>2769</v>
      </c>
      <c r="E59" s="49" t="s">
        <v>2770</v>
      </c>
      <c r="F59" s="50">
        <v>0</v>
      </c>
      <c r="G59" s="59" t="s">
        <v>2771</v>
      </c>
      <c r="H59" s="52">
        <v>1047</v>
      </c>
      <c r="I59" s="60">
        <v>46300</v>
      </c>
      <c r="J59" s="35">
        <v>46300</v>
      </c>
      <c r="K59" s="36" t="s">
        <v>8</v>
      </c>
    </row>
    <row r="60" spans="4:11" s="37" customFormat="1" ht="35.25" customHeight="1" x14ac:dyDescent="0.3">
      <c r="D60" s="58" t="s">
        <v>2772</v>
      </c>
      <c r="E60" s="49" t="s">
        <v>2773</v>
      </c>
      <c r="F60" s="50">
        <v>0</v>
      </c>
      <c r="G60" s="59" t="s">
        <v>2774</v>
      </c>
      <c r="H60" s="52" t="s">
        <v>193</v>
      </c>
      <c r="I60" s="60">
        <v>46301</v>
      </c>
      <c r="J60" s="35">
        <v>46302</v>
      </c>
      <c r="K60" s="36" t="s">
        <v>8</v>
      </c>
    </row>
    <row r="61" spans="4:11" s="37" customFormat="1" ht="35.25" customHeight="1" x14ac:dyDescent="0.3">
      <c r="D61" s="58" t="s">
        <v>4751</v>
      </c>
      <c r="E61" s="49" t="s">
        <v>4750</v>
      </c>
      <c r="F61" s="50">
        <v>0</v>
      </c>
      <c r="G61" s="59" t="s">
        <v>4749</v>
      </c>
      <c r="H61" s="52" t="s">
        <v>193</v>
      </c>
      <c r="I61" s="60">
        <v>46306</v>
      </c>
      <c r="J61" s="35"/>
      <c r="K61" s="36" t="s">
        <v>7</v>
      </c>
    </row>
    <row r="62" spans="4:11" s="37" customFormat="1" ht="35.25" customHeight="1" x14ac:dyDescent="0.3">
      <c r="D62" s="58" t="s">
        <v>4753</v>
      </c>
      <c r="E62" s="49" t="s">
        <v>4754</v>
      </c>
      <c r="F62" s="50">
        <v>0</v>
      </c>
      <c r="G62" s="59" t="s">
        <v>4752</v>
      </c>
      <c r="H62" s="52" t="s">
        <v>193</v>
      </c>
      <c r="I62" s="60">
        <v>46306</v>
      </c>
      <c r="J62" s="35"/>
      <c r="K62" s="36" t="s">
        <v>7</v>
      </c>
    </row>
    <row r="63" spans="4:11" s="37" customFormat="1" ht="35.25" customHeight="1" x14ac:dyDescent="0.3">
      <c r="D63" s="58" t="s">
        <v>4756</v>
      </c>
      <c r="E63" s="49" t="s">
        <v>4757</v>
      </c>
      <c r="F63" s="50">
        <v>0</v>
      </c>
      <c r="G63" s="59" t="s">
        <v>4755</v>
      </c>
      <c r="H63" s="52" t="s">
        <v>193</v>
      </c>
      <c r="I63" s="60">
        <v>46306</v>
      </c>
      <c r="J63" s="35"/>
      <c r="K63" s="36" t="s">
        <v>7</v>
      </c>
    </row>
    <row r="64" spans="4:11" s="37" customFormat="1" ht="35.25" customHeight="1" x14ac:dyDescent="0.3">
      <c r="D64" s="58" t="s">
        <v>4773</v>
      </c>
      <c r="E64" s="49" t="s">
        <v>4771</v>
      </c>
      <c r="F64" s="50">
        <v>0</v>
      </c>
      <c r="G64" s="59" t="s">
        <v>4772</v>
      </c>
      <c r="H64" s="52">
        <v>1060</v>
      </c>
      <c r="I64" s="60">
        <v>46306</v>
      </c>
      <c r="J64" s="35"/>
      <c r="K64" s="36" t="s">
        <v>7</v>
      </c>
    </row>
    <row r="65" spans="4:11" s="37" customFormat="1" ht="35.25" customHeight="1" x14ac:dyDescent="0.3">
      <c r="D65" s="58" t="s">
        <v>4800</v>
      </c>
      <c r="E65" s="49" t="s">
        <v>4798</v>
      </c>
      <c r="F65" s="50">
        <v>0</v>
      </c>
      <c r="G65" s="94" t="s">
        <v>4799</v>
      </c>
      <c r="H65" s="52">
        <v>1021</v>
      </c>
      <c r="I65" s="60">
        <v>46306</v>
      </c>
      <c r="J65" s="35"/>
      <c r="K65" s="36" t="s">
        <v>7</v>
      </c>
    </row>
    <row r="66" spans="4:11" s="37" customFormat="1" ht="35.25" customHeight="1" x14ac:dyDescent="0.3">
      <c r="D66" s="58" t="s">
        <v>4803</v>
      </c>
      <c r="E66" s="49" t="s">
        <v>4801</v>
      </c>
      <c r="F66" s="50">
        <v>0</v>
      </c>
      <c r="G66" s="59" t="s">
        <v>4802</v>
      </c>
      <c r="H66" s="52">
        <v>1021</v>
      </c>
      <c r="I66" s="60">
        <v>46306</v>
      </c>
      <c r="J66" s="35"/>
      <c r="K66" s="36" t="s">
        <v>7</v>
      </c>
    </row>
    <row r="67" spans="4:11" s="37" customFormat="1" ht="35.25" customHeight="1" x14ac:dyDescent="0.3">
      <c r="D67" s="58"/>
      <c r="E67" s="49"/>
      <c r="F67" s="50">
        <v>0</v>
      </c>
      <c r="G67" s="59"/>
      <c r="H67" s="52"/>
      <c r="I67" s="60"/>
      <c r="J67" s="35"/>
      <c r="K67" s="36"/>
    </row>
    <row r="68" spans="4:11" s="37" customFormat="1" ht="35.25" customHeight="1" x14ac:dyDescent="0.3">
      <c r="D68" s="58"/>
      <c r="E68" s="49"/>
      <c r="F68" s="50">
        <v>0</v>
      </c>
      <c r="G68" s="59"/>
      <c r="H68" s="52"/>
      <c r="I68" s="60"/>
      <c r="J68" s="35"/>
      <c r="K68" s="36"/>
    </row>
    <row r="69" spans="4:11" s="37" customFormat="1" ht="35.25" customHeight="1" x14ac:dyDescent="0.3">
      <c r="D69" s="58"/>
      <c r="E69" s="49"/>
      <c r="F69" s="50">
        <v>0</v>
      </c>
      <c r="G69" s="59"/>
      <c r="H69" s="52"/>
      <c r="I69" s="60"/>
      <c r="J69" s="35"/>
      <c r="K69" s="36"/>
    </row>
    <row r="70" spans="4:11" s="37" customFormat="1" ht="35.25" customHeight="1" x14ac:dyDescent="0.3">
      <c r="D70" s="58"/>
      <c r="E70" s="49"/>
      <c r="F70" s="50">
        <v>0</v>
      </c>
      <c r="G70" s="59"/>
      <c r="H70" s="52"/>
      <c r="I70" s="60"/>
      <c r="J70" s="35"/>
      <c r="K70" s="36"/>
    </row>
    <row r="71" spans="4:11" s="37" customFormat="1" ht="35.25" customHeight="1" x14ac:dyDescent="0.3">
      <c r="D71" s="58"/>
      <c r="E71" s="49"/>
      <c r="F71" s="50"/>
      <c r="G71" s="59"/>
      <c r="H71" s="52"/>
      <c r="I71" s="60"/>
      <c r="J71" s="35"/>
      <c r="K71" s="36"/>
    </row>
    <row r="72" spans="4:11" s="37" customFormat="1" ht="35.25" customHeight="1" x14ac:dyDescent="0.3">
      <c r="D72" s="58"/>
      <c r="E72" s="49"/>
      <c r="F72" s="50"/>
      <c r="G72" s="59"/>
      <c r="H72" s="52"/>
      <c r="I72" s="60"/>
      <c r="J72" s="35"/>
      <c r="K72" s="36"/>
    </row>
    <row r="73" spans="4:11" s="37" customFormat="1" ht="35.25" customHeight="1" x14ac:dyDescent="0.3">
      <c r="D73" s="58"/>
      <c r="E73" s="49"/>
      <c r="F73" s="50"/>
      <c r="G73" s="59"/>
      <c r="H73" s="52"/>
      <c r="I73" s="60"/>
      <c r="J73" s="35"/>
      <c r="K73" s="36"/>
    </row>
    <row r="74" spans="4:11" s="37" customFormat="1" ht="35.25" customHeight="1" x14ac:dyDescent="0.3">
      <c r="D74" s="58"/>
      <c r="E74" s="49"/>
      <c r="F74" s="50"/>
      <c r="G74" s="59"/>
      <c r="H74" s="52"/>
      <c r="I74" s="60"/>
      <c r="J74" s="35"/>
      <c r="K74" s="36"/>
    </row>
  </sheetData>
  <autoFilter ref="D4:K64" xr:uid="{00000000-0001-0000-0300-000000000000}"/>
  <mergeCells count="3">
    <mergeCell ref="G1:K1"/>
    <mergeCell ref="G2:K2"/>
    <mergeCell ref="J3:K3"/>
  </mergeCells>
  <conditionalFormatting sqref="D1 D4:D1048576">
    <cfRule type="duplicateValues" dxfId="32" priority="5"/>
  </conditionalFormatting>
  <conditionalFormatting sqref="E4:E1048576">
    <cfRule type="duplicateValues" dxfId="31" priority="2"/>
  </conditionalFormatting>
  <conditionalFormatting sqref="G1:G64 G66:G1048576">
    <cfRule type="duplicateValues" dxfId="30" priority="3"/>
    <cfRule type="duplicateValues" dxfId="29" priority="4"/>
  </conditionalFormatting>
  <conditionalFormatting sqref="K5:K74">
    <cfRule type="cellIs" dxfId="28" priority="6" operator="equal">
      <formula>"Pending"</formula>
    </cfRule>
    <cfRule type="cellIs" dxfId="27" priority="7" operator="equal">
      <formula>"Responded"</formula>
    </cfRule>
  </conditionalFormatting>
  <dataValidations count="1">
    <dataValidation type="list" allowBlank="1" showInputMessage="1" showErrorMessage="1" sqref="K5:K66" xr:uid="{00000000-0002-0000-0300-000000000000}">
      <formula1>"Pending,Responded"</formula1>
      <formula2>0</formula2>
    </dataValidation>
  </dataValidations>
  <pageMargins left="0.7" right="0.7" top="0.75" bottom="0.75" header="0.511811023622047" footer="0.511811023622047"/>
  <pageSetup paperSize="9" scale="26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FAADC"/>
  </sheetPr>
  <dimension ref="A1:N365"/>
  <sheetViews>
    <sheetView showGridLines="0" view="pageBreakPreview" topLeftCell="D1" zoomScale="60" zoomScaleNormal="55" zoomScalePageLayoutView="55" workbookViewId="0">
      <pane ySplit="4" topLeftCell="A353" activePane="bottomLeft" state="frozen"/>
      <selection activeCell="D1" sqref="D1"/>
      <selection pane="bottomLeft" activeCell="K355" sqref="K355"/>
    </sheetView>
  </sheetViews>
  <sheetFormatPr defaultColWidth="9.109375" defaultRowHeight="23.25" customHeight="1" x14ac:dyDescent="0.3"/>
  <cols>
    <col min="1" max="3" width="13" style="13" hidden="1" customWidth="1"/>
    <col min="4" max="4" width="72" style="13" customWidth="1"/>
    <col min="5" max="5" width="28.88671875" style="39" customWidth="1"/>
    <col min="6" max="6" width="11.33203125" style="40" customWidth="1"/>
    <col min="7" max="7" width="179.5546875" style="54" customWidth="1"/>
    <col min="8" max="8" width="15.6640625" style="16" customWidth="1"/>
    <col min="9" max="9" width="25.44140625" style="17" customWidth="1"/>
    <col min="10" max="10" width="18.5546875" style="17" customWidth="1"/>
    <col min="11" max="11" width="19" style="18" customWidth="1"/>
    <col min="12" max="12" width="26.109375" style="13" customWidth="1"/>
    <col min="13" max="16384" width="9.109375" style="13"/>
  </cols>
  <sheetData>
    <row r="1" spans="4:14" s="19" customFormat="1" ht="133.5" customHeight="1" x14ac:dyDescent="0.3">
      <c r="D1" s="123"/>
      <c r="E1" s="124"/>
      <c r="F1" s="42"/>
      <c r="G1" s="95"/>
      <c r="H1" s="95"/>
      <c r="I1" s="95"/>
      <c r="J1" s="95"/>
      <c r="K1" s="95"/>
    </row>
    <row r="2" spans="4:14" s="19" customFormat="1" ht="45.75" customHeight="1" x14ac:dyDescent="0.3">
      <c r="D2" s="125"/>
      <c r="E2" s="126"/>
      <c r="F2" s="40"/>
      <c r="G2" s="96" t="s">
        <v>2775</v>
      </c>
      <c r="H2" s="96"/>
      <c r="I2" s="96"/>
      <c r="J2" s="96"/>
      <c r="K2" s="96"/>
    </row>
    <row r="3" spans="4:14" s="19" customFormat="1" ht="30" customHeight="1" x14ac:dyDescent="0.3">
      <c r="D3" s="23"/>
      <c r="E3" s="43"/>
      <c r="F3" s="40"/>
      <c r="G3" s="55"/>
      <c r="H3" s="26"/>
      <c r="I3" s="27"/>
      <c r="J3" s="97"/>
      <c r="K3" s="97"/>
    </row>
    <row r="4" spans="4:14" s="61" customFormat="1" ht="69.75" customHeight="1" x14ac:dyDescent="0.3">
      <c r="D4" s="47" t="s">
        <v>18</v>
      </c>
      <c r="E4" s="47" t="s">
        <v>19</v>
      </c>
      <c r="F4" s="47" t="s">
        <v>20</v>
      </c>
      <c r="G4" s="47" t="s">
        <v>21</v>
      </c>
      <c r="H4" s="47" t="s">
        <v>22</v>
      </c>
      <c r="I4" s="47" t="s">
        <v>23</v>
      </c>
      <c r="J4" s="47" t="s">
        <v>24</v>
      </c>
      <c r="K4" s="47" t="s">
        <v>25</v>
      </c>
      <c r="L4" s="43"/>
      <c r="M4" s="43"/>
      <c r="N4" s="43"/>
    </row>
    <row r="5" spans="4:14" s="37" customFormat="1" ht="43.5" customHeight="1" x14ac:dyDescent="0.3">
      <c r="D5" s="30" t="s">
        <v>2776</v>
      </c>
      <c r="E5" s="62" t="s">
        <v>2777</v>
      </c>
      <c r="F5" s="32">
        <v>0</v>
      </c>
      <c r="G5" s="63" t="s">
        <v>2778</v>
      </c>
      <c r="H5" s="34" t="s">
        <v>85</v>
      </c>
      <c r="I5" s="35">
        <v>46016</v>
      </c>
      <c r="J5" s="35">
        <v>46198</v>
      </c>
      <c r="K5" s="36" t="s">
        <v>8</v>
      </c>
    </row>
    <row r="6" spans="4:14" s="37" customFormat="1" ht="43.5" customHeight="1" x14ac:dyDescent="0.3">
      <c r="D6" s="30" t="s">
        <v>2779</v>
      </c>
      <c r="E6" s="62" t="s">
        <v>2780</v>
      </c>
      <c r="F6" s="32">
        <v>0</v>
      </c>
      <c r="G6" s="63" t="s">
        <v>2781</v>
      </c>
      <c r="H6" s="34" t="s">
        <v>80</v>
      </c>
      <c r="I6" s="35">
        <v>46016</v>
      </c>
      <c r="J6" s="35">
        <v>46099</v>
      </c>
      <c r="K6" s="36" t="s">
        <v>8</v>
      </c>
    </row>
    <row r="7" spans="4:14" s="37" customFormat="1" ht="43.5" customHeight="1" x14ac:dyDescent="0.3">
      <c r="D7" s="30" t="s">
        <v>2782</v>
      </c>
      <c r="E7" s="62" t="s">
        <v>2783</v>
      </c>
      <c r="F7" s="32">
        <v>0</v>
      </c>
      <c r="G7" s="63" t="s">
        <v>2784</v>
      </c>
      <c r="H7" s="34" t="s">
        <v>80</v>
      </c>
      <c r="I7" s="35">
        <v>46026</v>
      </c>
      <c r="J7" s="35"/>
      <c r="K7" s="36" t="s">
        <v>7</v>
      </c>
    </row>
    <row r="8" spans="4:14" s="37" customFormat="1" ht="43.5" customHeight="1" x14ac:dyDescent="0.3">
      <c r="D8" s="30" t="s">
        <v>2785</v>
      </c>
      <c r="E8" s="62" t="s">
        <v>2780</v>
      </c>
      <c r="F8" s="32">
        <v>0</v>
      </c>
      <c r="G8" s="63" t="s">
        <v>2781</v>
      </c>
      <c r="H8" s="34" t="s">
        <v>80</v>
      </c>
      <c r="I8" s="35">
        <v>46056</v>
      </c>
      <c r="J8" s="35">
        <v>46068</v>
      </c>
      <c r="K8" s="36" t="s">
        <v>8</v>
      </c>
    </row>
    <row r="9" spans="4:14" s="37" customFormat="1" ht="43.5" customHeight="1" x14ac:dyDescent="0.3">
      <c r="D9" s="30" t="s">
        <v>2786</v>
      </c>
      <c r="E9" s="62" t="s">
        <v>2787</v>
      </c>
      <c r="F9" s="32">
        <v>0</v>
      </c>
      <c r="G9" s="63" t="s">
        <v>2788</v>
      </c>
      <c r="H9" s="34" t="s">
        <v>88</v>
      </c>
      <c r="I9" s="35">
        <v>46067</v>
      </c>
      <c r="J9" s="35">
        <v>46085</v>
      </c>
      <c r="K9" s="36" t="s">
        <v>8</v>
      </c>
    </row>
    <row r="10" spans="4:14" s="37" customFormat="1" ht="43.5" customHeight="1" x14ac:dyDescent="0.3">
      <c r="D10" s="30" t="s">
        <v>2789</v>
      </c>
      <c r="E10" s="62"/>
      <c r="F10" s="32">
        <v>0</v>
      </c>
      <c r="G10" s="63" t="s">
        <v>2790</v>
      </c>
      <c r="H10" s="34" t="s">
        <v>88</v>
      </c>
      <c r="I10" s="35">
        <v>46070</v>
      </c>
      <c r="J10" s="35">
        <v>46085</v>
      </c>
      <c r="K10" s="36" t="s">
        <v>8</v>
      </c>
    </row>
    <row r="11" spans="4:14" ht="43.5" customHeight="1" x14ac:dyDescent="0.3">
      <c r="D11" s="30" t="s">
        <v>2791</v>
      </c>
      <c r="E11" s="62"/>
      <c r="F11" s="32">
        <v>1</v>
      </c>
      <c r="G11" s="63" t="s">
        <v>2792</v>
      </c>
      <c r="H11" s="34" t="s">
        <v>88</v>
      </c>
      <c r="I11" s="35">
        <v>46082</v>
      </c>
      <c r="J11" s="35">
        <v>46087</v>
      </c>
      <c r="K11" s="36" t="s">
        <v>8</v>
      </c>
    </row>
    <row r="12" spans="4:14" ht="43.5" customHeight="1" x14ac:dyDescent="0.3">
      <c r="D12" s="30" t="s">
        <v>2793</v>
      </c>
      <c r="E12" s="62"/>
      <c r="F12" s="32">
        <v>0</v>
      </c>
      <c r="G12" s="63" t="s">
        <v>2794</v>
      </c>
      <c r="H12" s="34" t="s">
        <v>54</v>
      </c>
      <c r="I12" s="35">
        <v>46128</v>
      </c>
      <c r="J12" s="35">
        <v>46141</v>
      </c>
      <c r="K12" s="36" t="s">
        <v>8</v>
      </c>
    </row>
    <row r="13" spans="4:14" ht="43.5" customHeight="1" x14ac:dyDescent="0.3">
      <c r="D13" s="30" t="s">
        <v>2795</v>
      </c>
      <c r="E13" s="62"/>
      <c r="F13" s="32">
        <v>0</v>
      </c>
      <c r="G13" s="63" t="s">
        <v>2796</v>
      </c>
      <c r="H13" s="34" t="s">
        <v>54</v>
      </c>
      <c r="I13" s="35">
        <v>46128</v>
      </c>
      <c r="J13" s="35">
        <v>46142</v>
      </c>
      <c r="K13" s="36" t="s">
        <v>8</v>
      </c>
    </row>
    <row r="14" spans="4:14" ht="43.5" customHeight="1" x14ac:dyDescent="0.3">
      <c r="D14" s="30" t="s">
        <v>2797</v>
      </c>
      <c r="E14" s="62"/>
      <c r="F14" s="32">
        <v>0</v>
      </c>
      <c r="G14" s="63" t="s">
        <v>2798</v>
      </c>
      <c r="H14" s="34" t="s">
        <v>2799</v>
      </c>
      <c r="I14" s="35">
        <v>46130</v>
      </c>
      <c r="J14" s="35">
        <v>46133</v>
      </c>
      <c r="K14" s="36" t="s">
        <v>8</v>
      </c>
    </row>
    <row r="15" spans="4:14" ht="43.5" customHeight="1" x14ac:dyDescent="0.3">
      <c r="D15" s="30" t="s">
        <v>2800</v>
      </c>
      <c r="E15" s="62"/>
      <c r="F15" s="32">
        <v>0</v>
      </c>
      <c r="G15" s="63" t="s">
        <v>2801</v>
      </c>
      <c r="H15" s="34" t="s">
        <v>54</v>
      </c>
      <c r="I15" s="35">
        <v>46134</v>
      </c>
      <c r="J15" s="35">
        <v>46142</v>
      </c>
      <c r="K15" s="36" t="s">
        <v>8</v>
      </c>
    </row>
    <row r="16" spans="4:14" ht="43.5" customHeight="1" x14ac:dyDescent="0.3">
      <c r="D16" s="30" t="s">
        <v>2802</v>
      </c>
      <c r="E16" s="62"/>
      <c r="F16" s="32">
        <v>0</v>
      </c>
      <c r="G16" s="63" t="s">
        <v>2803</v>
      </c>
      <c r="H16" s="34" t="s">
        <v>29</v>
      </c>
      <c r="I16" s="35">
        <v>46134</v>
      </c>
      <c r="J16" s="35">
        <v>46142</v>
      </c>
      <c r="K16" s="36" t="s">
        <v>8</v>
      </c>
    </row>
    <row r="17" spans="4:11" ht="43.5" customHeight="1" x14ac:dyDescent="0.3">
      <c r="D17" s="30" t="s">
        <v>2804</v>
      </c>
      <c r="E17" s="62" t="s">
        <v>2805</v>
      </c>
      <c r="F17" s="32">
        <v>0</v>
      </c>
      <c r="G17" s="63" t="s">
        <v>2806</v>
      </c>
      <c r="H17" s="34" t="s">
        <v>54</v>
      </c>
      <c r="I17" s="35">
        <v>46140</v>
      </c>
      <c r="J17" s="35">
        <v>46142</v>
      </c>
      <c r="K17" s="36" t="s">
        <v>8</v>
      </c>
    </row>
    <row r="18" spans="4:11" ht="43.5" customHeight="1" x14ac:dyDescent="0.3">
      <c r="D18" s="30" t="s">
        <v>2807</v>
      </c>
      <c r="E18" s="62" t="s">
        <v>2808</v>
      </c>
      <c r="F18" s="32">
        <v>0</v>
      </c>
      <c r="G18" s="63" t="s">
        <v>2809</v>
      </c>
      <c r="H18" s="34" t="s">
        <v>54</v>
      </c>
      <c r="I18" s="35">
        <v>46140</v>
      </c>
      <c r="J18" s="35">
        <v>46145</v>
      </c>
      <c r="K18" s="36" t="s">
        <v>8</v>
      </c>
    </row>
    <row r="19" spans="4:11" ht="43.5" customHeight="1" x14ac:dyDescent="0.3">
      <c r="D19" s="30" t="s">
        <v>2810</v>
      </c>
      <c r="E19" s="62"/>
      <c r="F19" s="32">
        <v>0</v>
      </c>
      <c r="G19" s="63" t="s">
        <v>2811</v>
      </c>
      <c r="H19" s="34" t="s">
        <v>54</v>
      </c>
      <c r="I19" s="35">
        <v>46148</v>
      </c>
      <c r="J19" s="35">
        <v>46161</v>
      </c>
      <c r="K19" s="36" t="s">
        <v>8</v>
      </c>
    </row>
    <row r="20" spans="4:11" ht="43.5" customHeight="1" x14ac:dyDescent="0.3">
      <c r="D20" s="30" t="s">
        <v>2812</v>
      </c>
      <c r="E20" s="62" t="s">
        <v>2813</v>
      </c>
      <c r="F20" s="32">
        <v>0</v>
      </c>
      <c r="G20" s="63" t="s">
        <v>2814</v>
      </c>
      <c r="H20" s="34" t="s">
        <v>54</v>
      </c>
      <c r="I20" s="35">
        <v>46148</v>
      </c>
      <c r="J20" s="35">
        <v>46159</v>
      </c>
      <c r="K20" s="36" t="s">
        <v>8</v>
      </c>
    </row>
    <row r="21" spans="4:11" ht="43.5" customHeight="1" x14ac:dyDescent="0.3">
      <c r="D21" s="30" t="s">
        <v>2815</v>
      </c>
      <c r="E21" s="62" t="s">
        <v>2816</v>
      </c>
      <c r="F21" s="32">
        <v>0</v>
      </c>
      <c r="G21" s="63" t="s">
        <v>2817</v>
      </c>
      <c r="H21" s="34" t="s">
        <v>2818</v>
      </c>
      <c r="I21" s="35">
        <v>46148</v>
      </c>
      <c r="J21" s="35">
        <v>46154</v>
      </c>
      <c r="K21" s="36" t="s">
        <v>8</v>
      </c>
    </row>
    <row r="22" spans="4:11" ht="43.5" customHeight="1" x14ac:dyDescent="0.3">
      <c r="D22" s="30" t="s">
        <v>2819</v>
      </c>
      <c r="E22" s="62" t="s">
        <v>2820</v>
      </c>
      <c r="F22" s="32">
        <v>0</v>
      </c>
      <c r="G22" s="63" t="s">
        <v>2821</v>
      </c>
      <c r="H22" s="34" t="s">
        <v>2818</v>
      </c>
      <c r="I22" s="35">
        <v>46148</v>
      </c>
      <c r="J22" s="35">
        <v>46155</v>
      </c>
      <c r="K22" s="36" t="s">
        <v>8</v>
      </c>
    </row>
    <row r="23" spans="4:11" ht="43.5" customHeight="1" x14ac:dyDescent="0.3">
      <c r="D23" s="30" t="s">
        <v>2822</v>
      </c>
      <c r="E23" s="62" t="s">
        <v>2823</v>
      </c>
      <c r="F23" s="32">
        <v>0</v>
      </c>
      <c r="G23" s="63" t="s">
        <v>2824</v>
      </c>
      <c r="H23" s="34" t="s">
        <v>2604</v>
      </c>
      <c r="I23" s="35">
        <v>46152</v>
      </c>
      <c r="J23" s="35">
        <v>46153</v>
      </c>
      <c r="K23" s="36" t="s">
        <v>8</v>
      </c>
    </row>
    <row r="24" spans="4:11" ht="43.5" customHeight="1" x14ac:dyDescent="0.3">
      <c r="D24" s="30" t="s">
        <v>2825</v>
      </c>
      <c r="E24" s="62" t="s">
        <v>2826</v>
      </c>
      <c r="F24" s="32">
        <v>0</v>
      </c>
      <c r="G24" s="63" t="s">
        <v>2827</v>
      </c>
      <c r="H24" s="34" t="s">
        <v>2618</v>
      </c>
      <c r="I24" s="35">
        <v>46152</v>
      </c>
      <c r="J24" s="35">
        <v>46156</v>
      </c>
      <c r="K24" s="36" t="s">
        <v>8</v>
      </c>
    </row>
    <row r="25" spans="4:11" ht="43.5" customHeight="1" x14ac:dyDescent="0.3">
      <c r="D25" s="30" t="s">
        <v>2828</v>
      </c>
      <c r="E25" s="62" t="s">
        <v>2829</v>
      </c>
      <c r="F25" s="32">
        <v>0</v>
      </c>
      <c r="G25" s="63" t="s">
        <v>2830</v>
      </c>
      <c r="H25" s="34" t="s">
        <v>2604</v>
      </c>
      <c r="I25" s="35">
        <v>46153</v>
      </c>
      <c r="J25" s="35">
        <v>46155</v>
      </c>
      <c r="K25" s="36" t="s">
        <v>8</v>
      </c>
    </row>
    <row r="26" spans="4:11" ht="43.5" customHeight="1" x14ac:dyDescent="0.3">
      <c r="D26" s="30" t="s">
        <v>2831</v>
      </c>
      <c r="E26" s="62" t="s">
        <v>2832</v>
      </c>
      <c r="F26" s="32">
        <v>0</v>
      </c>
      <c r="G26" s="63" t="s">
        <v>2833</v>
      </c>
      <c r="H26" s="34" t="s">
        <v>193</v>
      </c>
      <c r="I26" s="35">
        <v>46154</v>
      </c>
      <c r="J26" s="35">
        <v>46156</v>
      </c>
      <c r="K26" s="36" t="s">
        <v>8</v>
      </c>
    </row>
    <row r="27" spans="4:11" ht="43.5" customHeight="1" x14ac:dyDescent="0.3">
      <c r="D27" s="30" t="s">
        <v>2834</v>
      </c>
      <c r="E27" s="62" t="s">
        <v>2835</v>
      </c>
      <c r="F27" s="32">
        <v>0</v>
      </c>
      <c r="G27" s="63" t="s">
        <v>2836</v>
      </c>
      <c r="H27" s="34" t="s">
        <v>193</v>
      </c>
      <c r="I27" s="35">
        <v>46154</v>
      </c>
      <c r="J27" s="35">
        <v>46174</v>
      </c>
      <c r="K27" s="36" t="s">
        <v>8</v>
      </c>
    </row>
    <row r="28" spans="4:11" ht="43.5" customHeight="1" x14ac:dyDescent="0.3">
      <c r="D28" s="30" t="s">
        <v>2837</v>
      </c>
      <c r="E28" s="62" t="s">
        <v>2838</v>
      </c>
      <c r="F28" s="32">
        <v>0</v>
      </c>
      <c r="G28" s="63" t="s">
        <v>2839</v>
      </c>
      <c r="H28" s="34" t="s">
        <v>2840</v>
      </c>
      <c r="I28" s="35">
        <v>46161</v>
      </c>
      <c r="J28" s="35">
        <v>46176</v>
      </c>
      <c r="K28" s="36" t="s">
        <v>8</v>
      </c>
    </row>
    <row r="29" spans="4:11" ht="43.5" customHeight="1" x14ac:dyDescent="0.3">
      <c r="D29" s="30" t="s">
        <v>2841</v>
      </c>
      <c r="E29" s="62" t="s">
        <v>2842</v>
      </c>
      <c r="F29" s="32">
        <v>0</v>
      </c>
      <c r="G29" s="63" t="s">
        <v>2843</v>
      </c>
      <c r="H29" s="34" t="s">
        <v>29</v>
      </c>
      <c r="I29" s="35">
        <v>46162</v>
      </c>
      <c r="J29" s="35">
        <v>46175</v>
      </c>
      <c r="K29" s="36" t="s">
        <v>8</v>
      </c>
    </row>
    <row r="30" spans="4:11" ht="43.5" customHeight="1" x14ac:dyDescent="0.3">
      <c r="D30" s="30" t="s">
        <v>2844</v>
      </c>
      <c r="E30" s="62" t="s">
        <v>2845</v>
      </c>
      <c r="F30" s="32">
        <v>0</v>
      </c>
      <c r="G30" s="63" t="s">
        <v>2846</v>
      </c>
      <c r="H30" s="34" t="s">
        <v>29</v>
      </c>
      <c r="I30" s="35">
        <v>46162</v>
      </c>
      <c r="J30" s="35">
        <v>46176</v>
      </c>
      <c r="K30" s="36" t="s">
        <v>8</v>
      </c>
    </row>
    <row r="31" spans="4:11" ht="43.5" customHeight="1" x14ac:dyDescent="0.3">
      <c r="D31" s="30" t="s">
        <v>2847</v>
      </c>
      <c r="E31" s="62" t="s">
        <v>2848</v>
      </c>
      <c r="F31" s="32">
        <v>0</v>
      </c>
      <c r="G31" s="63" t="s">
        <v>2849</v>
      </c>
      <c r="H31" s="34" t="s">
        <v>29</v>
      </c>
      <c r="I31" s="35">
        <v>46162</v>
      </c>
      <c r="J31" s="35">
        <v>46181</v>
      </c>
      <c r="K31" s="36" t="s">
        <v>8</v>
      </c>
    </row>
    <row r="32" spans="4:11" ht="43.5" customHeight="1" x14ac:dyDescent="0.3">
      <c r="D32" s="30" t="s">
        <v>2850</v>
      </c>
      <c r="E32" s="62" t="s">
        <v>2851</v>
      </c>
      <c r="F32" s="32">
        <v>0</v>
      </c>
      <c r="G32" s="63" t="s">
        <v>2852</v>
      </c>
      <c r="H32" s="34" t="s">
        <v>2818</v>
      </c>
      <c r="I32" s="35">
        <v>46167</v>
      </c>
      <c r="J32" s="35">
        <v>46175</v>
      </c>
      <c r="K32" s="36" t="s">
        <v>8</v>
      </c>
    </row>
    <row r="33" spans="4:11" ht="43.5" customHeight="1" x14ac:dyDescent="0.3">
      <c r="D33" s="30" t="s">
        <v>2853</v>
      </c>
      <c r="E33" s="62" t="s">
        <v>2854</v>
      </c>
      <c r="F33" s="32">
        <v>0</v>
      </c>
      <c r="G33" s="63" t="s">
        <v>2855</v>
      </c>
      <c r="H33" s="34" t="s">
        <v>193</v>
      </c>
      <c r="I33" s="35">
        <v>46174</v>
      </c>
      <c r="J33" s="35">
        <v>46175</v>
      </c>
      <c r="K33" s="36" t="s">
        <v>8</v>
      </c>
    </row>
    <row r="34" spans="4:11" ht="43.5" customHeight="1" x14ac:dyDescent="0.3">
      <c r="D34" s="30" t="s">
        <v>2856</v>
      </c>
      <c r="E34" s="62" t="s">
        <v>2857</v>
      </c>
      <c r="F34" s="32">
        <v>0</v>
      </c>
      <c r="G34" s="63" t="s">
        <v>2858</v>
      </c>
      <c r="H34" s="34" t="s">
        <v>193</v>
      </c>
      <c r="I34" s="35">
        <v>46174</v>
      </c>
      <c r="J34" s="35">
        <v>46174</v>
      </c>
      <c r="K34" s="36" t="s">
        <v>8</v>
      </c>
    </row>
    <row r="35" spans="4:11" ht="43.5" customHeight="1" x14ac:dyDescent="0.3">
      <c r="D35" s="30" t="s">
        <v>2859</v>
      </c>
      <c r="E35" s="62" t="s">
        <v>2860</v>
      </c>
      <c r="F35" s="32">
        <v>0</v>
      </c>
      <c r="G35" s="63" t="s">
        <v>2861</v>
      </c>
      <c r="H35" s="34" t="s">
        <v>193</v>
      </c>
      <c r="I35" s="35">
        <v>46175</v>
      </c>
      <c r="J35" s="35">
        <v>46176</v>
      </c>
      <c r="K35" s="36" t="s">
        <v>8</v>
      </c>
    </row>
    <row r="36" spans="4:11" ht="43.5" customHeight="1" x14ac:dyDescent="0.3">
      <c r="D36" s="30" t="s">
        <v>2862</v>
      </c>
      <c r="E36" s="62" t="s">
        <v>2863</v>
      </c>
      <c r="F36" s="32">
        <v>0</v>
      </c>
      <c r="G36" s="63" t="s">
        <v>2864</v>
      </c>
      <c r="H36" s="34" t="s">
        <v>29</v>
      </c>
      <c r="I36" s="35">
        <v>46175</v>
      </c>
      <c r="J36" s="35">
        <v>46180</v>
      </c>
      <c r="K36" s="36" t="s">
        <v>8</v>
      </c>
    </row>
    <row r="37" spans="4:11" ht="43.5" customHeight="1" x14ac:dyDescent="0.3">
      <c r="D37" s="30" t="s">
        <v>2865</v>
      </c>
      <c r="E37" s="62"/>
      <c r="F37" s="32">
        <v>0</v>
      </c>
      <c r="G37" s="63" t="s">
        <v>2866</v>
      </c>
      <c r="H37" s="34" t="s">
        <v>2840</v>
      </c>
      <c r="I37" s="35">
        <v>46182</v>
      </c>
      <c r="J37" s="35">
        <v>46183</v>
      </c>
      <c r="K37" s="36" t="s">
        <v>8</v>
      </c>
    </row>
    <row r="38" spans="4:11" ht="43.5" customHeight="1" x14ac:dyDescent="0.3">
      <c r="D38" s="30" t="s">
        <v>2867</v>
      </c>
      <c r="E38" s="62" t="s">
        <v>2868</v>
      </c>
      <c r="F38" s="32">
        <v>0</v>
      </c>
      <c r="G38" s="63" t="s">
        <v>2869</v>
      </c>
      <c r="H38" s="34" t="s">
        <v>193</v>
      </c>
      <c r="I38" s="35">
        <v>46183</v>
      </c>
      <c r="J38" s="35">
        <v>46196</v>
      </c>
      <c r="K38" s="36" t="s">
        <v>8</v>
      </c>
    </row>
    <row r="39" spans="4:11" ht="43.5" customHeight="1" x14ac:dyDescent="0.3">
      <c r="D39" s="30" t="s">
        <v>2870</v>
      </c>
      <c r="E39" s="62" t="s">
        <v>2871</v>
      </c>
      <c r="F39" s="32">
        <v>0</v>
      </c>
      <c r="G39" s="63" t="s">
        <v>2872</v>
      </c>
      <c r="H39" s="34" t="s">
        <v>193</v>
      </c>
      <c r="I39" s="35">
        <v>46186</v>
      </c>
      <c r="J39" s="35">
        <v>46189</v>
      </c>
      <c r="K39" s="36" t="s">
        <v>8</v>
      </c>
    </row>
    <row r="40" spans="4:11" ht="43.5" customHeight="1" x14ac:dyDescent="0.3">
      <c r="D40" s="30" t="s">
        <v>2873</v>
      </c>
      <c r="E40" s="62" t="s">
        <v>2874</v>
      </c>
      <c r="F40" s="32">
        <v>0</v>
      </c>
      <c r="G40" s="63" t="s">
        <v>2875</v>
      </c>
      <c r="H40" s="34" t="s">
        <v>2876</v>
      </c>
      <c r="I40" s="35">
        <v>46187</v>
      </c>
      <c r="J40" s="35">
        <v>46191</v>
      </c>
      <c r="K40" s="36" t="s">
        <v>8</v>
      </c>
    </row>
    <row r="41" spans="4:11" ht="43.5" customHeight="1" x14ac:dyDescent="0.3">
      <c r="D41" s="30" t="s">
        <v>2877</v>
      </c>
      <c r="E41" s="62" t="s">
        <v>2878</v>
      </c>
      <c r="F41" s="32">
        <v>0</v>
      </c>
      <c r="G41" s="63" t="s">
        <v>2879</v>
      </c>
      <c r="H41" s="34" t="s">
        <v>193</v>
      </c>
      <c r="I41" s="35">
        <v>46188</v>
      </c>
      <c r="J41" s="35">
        <v>46190</v>
      </c>
      <c r="K41" s="36" t="s">
        <v>8</v>
      </c>
    </row>
    <row r="42" spans="4:11" ht="43.5" customHeight="1" x14ac:dyDescent="0.3">
      <c r="D42" s="30" t="s">
        <v>2880</v>
      </c>
      <c r="E42" s="62" t="s">
        <v>2881</v>
      </c>
      <c r="F42" s="32">
        <v>0</v>
      </c>
      <c r="G42" s="63" t="s">
        <v>2882</v>
      </c>
      <c r="H42" s="34" t="s">
        <v>193</v>
      </c>
      <c r="I42" s="35">
        <v>46188</v>
      </c>
      <c r="J42" s="35">
        <v>46196</v>
      </c>
      <c r="K42" s="36" t="s">
        <v>8</v>
      </c>
    </row>
    <row r="43" spans="4:11" ht="43.5" customHeight="1" x14ac:dyDescent="0.3">
      <c r="D43" s="30" t="s">
        <v>2883</v>
      </c>
      <c r="E43" s="62" t="s">
        <v>2884</v>
      </c>
      <c r="F43" s="32">
        <v>0</v>
      </c>
      <c r="G43" s="63" t="s">
        <v>2885</v>
      </c>
      <c r="H43" s="34" t="s">
        <v>193</v>
      </c>
      <c r="I43" s="35">
        <v>46188</v>
      </c>
      <c r="J43" s="35">
        <v>46199</v>
      </c>
      <c r="K43" s="36" t="s">
        <v>8</v>
      </c>
    </row>
    <row r="44" spans="4:11" ht="43.5" customHeight="1" x14ac:dyDescent="0.3">
      <c r="D44" s="30" t="s">
        <v>2886</v>
      </c>
      <c r="E44" s="62" t="s">
        <v>2887</v>
      </c>
      <c r="F44" s="32">
        <v>0</v>
      </c>
      <c r="G44" s="63" t="s">
        <v>2888</v>
      </c>
      <c r="H44" s="34" t="s">
        <v>193</v>
      </c>
      <c r="I44" s="35">
        <v>46188</v>
      </c>
      <c r="J44" s="35">
        <v>46199</v>
      </c>
      <c r="K44" s="36" t="s">
        <v>8</v>
      </c>
    </row>
    <row r="45" spans="4:11" ht="43.5" customHeight="1" x14ac:dyDescent="0.3">
      <c r="D45" s="30" t="s">
        <v>2889</v>
      </c>
      <c r="E45" s="62" t="s">
        <v>2890</v>
      </c>
      <c r="F45" s="32">
        <v>0</v>
      </c>
      <c r="G45" s="63" t="s">
        <v>2891</v>
      </c>
      <c r="H45" s="34" t="s">
        <v>193</v>
      </c>
      <c r="I45" s="35">
        <v>46188</v>
      </c>
      <c r="J45" s="35">
        <v>46196</v>
      </c>
      <c r="K45" s="36" t="s">
        <v>8</v>
      </c>
    </row>
    <row r="46" spans="4:11" ht="43.5" customHeight="1" x14ac:dyDescent="0.3">
      <c r="D46" s="30" t="s">
        <v>2892</v>
      </c>
      <c r="E46" s="62" t="s">
        <v>2893</v>
      </c>
      <c r="F46" s="32">
        <v>0</v>
      </c>
      <c r="G46" s="63" t="s">
        <v>2894</v>
      </c>
      <c r="H46" s="34" t="s">
        <v>193</v>
      </c>
      <c r="I46" s="35">
        <v>46188</v>
      </c>
      <c r="J46" s="35">
        <v>46196</v>
      </c>
      <c r="K46" s="36" t="s">
        <v>8</v>
      </c>
    </row>
    <row r="47" spans="4:11" ht="43.5" customHeight="1" x14ac:dyDescent="0.3">
      <c r="D47" s="30" t="s">
        <v>2895</v>
      </c>
      <c r="E47" s="62" t="s">
        <v>2896</v>
      </c>
      <c r="F47" s="32">
        <v>0</v>
      </c>
      <c r="G47" s="63" t="s">
        <v>2897</v>
      </c>
      <c r="H47" s="34" t="s">
        <v>54</v>
      </c>
      <c r="I47" s="35">
        <v>46188</v>
      </c>
      <c r="J47" s="35">
        <v>46190</v>
      </c>
      <c r="K47" s="36" t="s">
        <v>8</v>
      </c>
    </row>
    <row r="48" spans="4:11" ht="43.5" customHeight="1" x14ac:dyDescent="0.3">
      <c r="D48" s="30" t="s">
        <v>2898</v>
      </c>
      <c r="E48" s="62" t="s">
        <v>2899</v>
      </c>
      <c r="F48" s="32">
        <v>0</v>
      </c>
      <c r="G48" s="63" t="s">
        <v>2900</v>
      </c>
      <c r="H48" s="34" t="s">
        <v>193</v>
      </c>
      <c r="I48" s="35">
        <v>46189</v>
      </c>
      <c r="J48" s="35">
        <v>46195</v>
      </c>
      <c r="K48" s="36" t="s">
        <v>8</v>
      </c>
    </row>
    <row r="49" spans="4:11" ht="43.5" customHeight="1" x14ac:dyDescent="0.3">
      <c r="D49" s="30" t="s">
        <v>2901</v>
      </c>
      <c r="E49" s="62" t="s">
        <v>2902</v>
      </c>
      <c r="F49" s="32">
        <v>0</v>
      </c>
      <c r="G49" s="63" t="s">
        <v>2903</v>
      </c>
      <c r="H49" s="34" t="s">
        <v>29</v>
      </c>
      <c r="I49" s="35">
        <v>46190</v>
      </c>
      <c r="J49" s="35">
        <v>46197</v>
      </c>
      <c r="K49" s="36" t="s">
        <v>8</v>
      </c>
    </row>
    <row r="50" spans="4:11" ht="43.5" customHeight="1" x14ac:dyDescent="0.3">
      <c r="D50" s="30" t="s">
        <v>2904</v>
      </c>
      <c r="E50" s="62" t="s">
        <v>2905</v>
      </c>
      <c r="F50" s="32">
        <v>0</v>
      </c>
      <c r="G50" s="63" t="s">
        <v>2906</v>
      </c>
      <c r="H50" s="34" t="s">
        <v>2840</v>
      </c>
      <c r="I50" s="35">
        <v>46195</v>
      </c>
      <c r="J50" s="35">
        <v>46197</v>
      </c>
      <c r="K50" s="36" t="s">
        <v>8</v>
      </c>
    </row>
    <row r="51" spans="4:11" ht="43.5" customHeight="1" x14ac:dyDescent="0.3">
      <c r="D51" s="30" t="s">
        <v>2907</v>
      </c>
      <c r="E51" s="62" t="s">
        <v>2908</v>
      </c>
      <c r="F51" s="32">
        <v>0</v>
      </c>
      <c r="G51" s="63" t="s">
        <v>2909</v>
      </c>
      <c r="H51" s="34" t="s">
        <v>2840</v>
      </c>
      <c r="I51" s="35">
        <v>46195</v>
      </c>
      <c r="J51" s="35">
        <v>46197</v>
      </c>
      <c r="K51" s="36" t="s">
        <v>8</v>
      </c>
    </row>
    <row r="52" spans="4:11" ht="43.5" customHeight="1" x14ac:dyDescent="0.3">
      <c r="D52" s="30" t="s">
        <v>2910</v>
      </c>
      <c r="E52" s="62" t="s">
        <v>2911</v>
      </c>
      <c r="F52" s="32">
        <v>0</v>
      </c>
      <c r="G52" s="63" t="s">
        <v>2912</v>
      </c>
      <c r="H52" s="34" t="s">
        <v>2840</v>
      </c>
      <c r="I52" s="35">
        <v>46195</v>
      </c>
      <c r="J52" s="35">
        <v>46198</v>
      </c>
      <c r="K52" s="36" t="s">
        <v>8</v>
      </c>
    </row>
    <row r="53" spans="4:11" ht="43.5" customHeight="1" x14ac:dyDescent="0.3">
      <c r="D53" s="30" t="s">
        <v>2913</v>
      </c>
      <c r="E53" s="62" t="s">
        <v>2914</v>
      </c>
      <c r="F53" s="32">
        <v>0</v>
      </c>
      <c r="G53" s="63" t="s">
        <v>2915</v>
      </c>
      <c r="H53" s="34" t="s">
        <v>2840</v>
      </c>
      <c r="I53" s="35">
        <v>46195</v>
      </c>
      <c r="J53" s="35">
        <v>46198</v>
      </c>
      <c r="K53" s="36" t="s">
        <v>8</v>
      </c>
    </row>
    <row r="54" spans="4:11" ht="43.5" customHeight="1" x14ac:dyDescent="0.3">
      <c r="D54" s="30" t="s">
        <v>2916</v>
      </c>
      <c r="E54" s="62" t="s">
        <v>2917</v>
      </c>
      <c r="F54" s="32">
        <v>0</v>
      </c>
      <c r="G54" s="63" t="s">
        <v>2918</v>
      </c>
      <c r="H54" s="34" t="s">
        <v>2840</v>
      </c>
      <c r="I54" s="35">
        <v>46197</v>
      </c>
      <c r="J54" s="35">
        <v>46209</v>
      </c>
      <c r="K54" s="36" t="s">
        <v>8</v>
      </c>
    </row>
    <row r="55" spans="4:11" ht="43.5" customHeight="1" x14ac:dyDescent="0.3">
      <c r="D55" s="30" t="s">
        <v>2919</v>
      </c>
      <c r="E55" s="62" t="s">
        <v>2920</v>
      </c>
      <c r="F55" s="32">
        <v>0</v>
      </c>
      <c r="G55" s="63" t="s">
        <v>2918</v>
      </c>
      <c r="H55" s="34" t="s">
        <v>2840</v>
      </c>
      <c r="I55" s="35">
        <v>46197</v>
      </c>
      <c r="J55" s="35">
        <v>46209</v>
      </c>
      <c r="K55" s="36" t="s">
        <v>8</v>
      </c>
    </row>
    <row r="56" spans="4:11" ht="43.5" customHeight="1" x14ac:dyDescent="0.3">
      <c r="D56" s="30" t="s">
        <v>2921</v>
      </c>
      <c r="E56" s="62" t="s">
        <v>2922</v>
      </c>
      <c r="F56" s="32">
        <v>0</v>
      </c>
      <c r="G56" s="63" t="s">
        <v>2923</v>
      </c>
      <c r="H56" s="34" t="s">
        <v>2840</v>
      </c>
      <c r="I56" s="35">
        <v>46197</v>
      </c>
      <c r="J56" s="35">
        <v>46209</v>
      </c>
      <c r="K56" s="36" t="s">
        <v>8</v>
      </c>
    </row>
    <row r="57" spans="4:11" ht="43.5" customHeight="1" x14ac:dyDescent="0.3">
      <c r="D57" s="30" t="s">
        <v>2924</v>
      </c>
      <c r="E57" s="62" t="s">
        <v>2925</v>
      </c>
      <c r="F57" s="32">
        <v>0</v>
      </c>
      <c r="G57" s="63" t="s">
        <v>2923</v>
      </c>
      <c r="H57" s="34" t="s">
        <v>2840</v>
      </c>
      <c r="I57" s="35">
        <v>46197</v>
      </c>
      <c r="J57" s="35">
        <v>46211</v>
      </c>
      <c r="K57" s="36" t="s">
        <v>8</v>
      </c>
    </row>
    <row r="58" spans="4:11" ht="43.5" customHeight="1" x14ac:dyDescent="0.3">
      <c r="D58" s="30" t="s">
        <v>2926</v>
      </c>
      <c r="E58" s="62" t="s">
        <v>2927</v>
      </c>
      <c r="F58" s="32">
        <v>0</v>
      </c>
      <c r="G58" s="63" t="s">
        <v>2923</v>
      </c>
      <c r="H58" s="34" t="s">
        <v>2840</v>
      </c>
      <c r="I58" s="35">
        <v>46197</v>
      </c>
      <c r="J58" s="35">
        <v>46209</v>
      </c>
      <c r="K58" s="36" t="s">
        <v>8</v>
      </c>
    </row>
    <row r="59" spans="4:11" ht="43.5" customHeight="1" x14ac:dyDescent="0.3">
      <c r="D59" s="30" t="s">
        <v>2928</v>
      </c>
      <c r="E59" s="62" t="s">
        <v>2929</v>
      </c>
      <c r="F59" s="32">
        <v>0</v>
      </c>
      <c r="G59" s="63" t="s">
        <v>2930</v>
      </c>
      <c r="H59" s="34" t="s">
        <v>2840</v>
      </c>
      <c r="I59" s="35">
        <v>46198</v>
      </c>
      <c r="J59" s="35">
        <v>46210</v>
      </c>
      <c r="K59" s="36" t="s">
        <v>8</v>
      </c>
    </row>
    <row r="60" spans="4:11" ht="43.5" customHeight="1" x14ac:dyDescent="0.3">
      <c r="D60" s="30" t="s">
        <v>2931</v>
      </c>
      <c r="E60" s="62" t="s">
        <v>2932</v>
      </c>
      <c r="F60" s="32">
        <v>0</v>
      </c>
      <c r="G60" s="63" t="s">
        <v>2933</v>
      </c>
      <c r="H60" s="34" t="s">
        <v>54</v>
      </c>
      <c r="I60" s="35">
        <v>46200</v>
      </c>
      <c r="J60" s="35">
        <v>46210</v>
      </c>
      <c r="K60" s="36" t="s">
        <v>8</v>
      </c>
    </row>
    <row r="61" spans="4:11" ht="43.5" customHeight="1" x14ac:dyDescent="0.3">
      <c r="D61" s="30" t="s">
        <v>2934</v>
      </c>
      <c r="E61" s="62" t="s">
        <v>2935</v>
      </c>
      <c r="F61" s="32">
        <v>0</v>
      </c>
      <c r="G61" s="63" t="s">
        <v>2936</v>
      </c>
      <c r="H61" s="34" t="s">
        <v>193</v>
      </c>
      <c r="I61" s="35">
        <v>46200</v>
      </c>
      <c r="J61" s="35">
        <v>46204</v>
      </c>
      <c r="K61" s="36" t="s">
        <v>8</v>
      </c>
    </row>
    <row r="62" spans="4:11" ht="43.5" customHeight="1" x14ac:dyDescent="0.3">
      <c r="D62" s="30" t="s">
        <v>2937</v>
      </c>
      <c r="E62" s="62" t="s">
        <v>2938</v>
      </c>
      <c r="F62" s="32">
        <v>0</v>
      </c>
      <c r="G62" s="63" t="s">
        <v>2939</v>
      </c>
      <c r="H62" s="34" t="s">
        <v>40</v>
      </c>
      <c r="I62" s="35">
        <v>46200</v>
      </c>
      <c r="J62" s="35">
        <v>46203</v>
      </c>
      <c r="K62" s="36" t="s">
        <v>8</v>
      </c>
    </row>
    <row r="63" spans="4:11" ht="43.5" customHeight="1" x14ac:dyDescent="0.3">
      <c r="D63" s="30" t="s">
        <v>2940</v>
      </c>
      <c r="E63" s="62" t="s">
        <v>2941</v>
      </c>
      <c r="F63" s="32">
        <v>0</v>
      </c>
      <c r="G63" s="63" t="s">
        <v>2942</v>
      </c>
      <c r="H63" s="34" t="s">
        <v>54</v>
      </c>
      <c r="I63" s="35">
        <v>46200</v>
      </c>
      <c r="J63" s="35">
        <v>46211</v>
      </c>
      <c r="K63" s="36" t="s">
        <v>8</v>
      </c>
    </row>
    <row r="64" spans="4:11" ht="43.5" customHeight="1" x14ac:dyDescent="0.3">
      <c r="D64" s="30" t="s">
        <v>2943</v>
      </c>
      <c r="E64" s="62" t="s">
        <v>2944</v>
      </c>
      <c r="F64" s="32">
        <v>0</v>
      </c>
      <c r="G64" s="63" t="s">
        <v>2945</v>
      </c>
      <c r="H64" s="34" t="s">
        <v>54</v>
      </c>
      <c r="I64" s="35">
        <v>46200</v>
      </c>
      <c r="J64" s="35">
        <v>46211</v>
      </c>
      <c r="K64" s="36" t="s">
        <v>8</v>
      </c>
    </row>
    <row r="65" spans="4:11" ht="43.5" customHeight="1" x14ac:dyDescent="0.3">
      <c r="D65" s="30" t="s">
        <v>2946</v>
      </c>
      <c r="E65" s="62" t="s">
        <v>2947</v>
      </c>
      <c r="F65" s="32">
        <v>0</v>
      </c>
      <c r="G65" s="63" t="s">
        <v>2948</v>
      </c>
      <c r="H65" s="34" t="s">
        <v>2840</v>
      </c>
      <c r="I65" s="35">
        <v>46202</v>
      </c>
      <c r="J65" s="35">
        <v>46211</v>
      </c>
      <c r="K65" s="36" t="s">
        <v>8</v>
      </c>
    </row>
    <row r="66" spans="4:11" ht="43.5" customHeight="1" x14ac:dyDescent="0.3">
      <c r="D66" s="30" t="s">
        <v>2949</v>
      </c>
      <c r="E66" s="62" t="s">
        <v>2950</v>
      </c>
      <c r="F66" s="32">
        <v>0</v>
      </c>
      <c r="G66" s="63" t="s">
        <v>2951</v>
      </c>
      <c r="H66" s="34" t="s">
        <v>54</v>
      </c>
      <c r="I66" s="35">
        <v>46203</v>
      </c>
      <c r="J66" s="35">
        <v>46211</v>
      </c>
      <c r="K66" s="36" t="s">
        <v>8</v>
      </c>
    </row>
    <row r="67" spans="4:11" ht="43.5" customHeight="1" x14ac:dyDescent="0.3">
      <c r="D67" s="30" t="s">
        <v>2952</v>
      </c>
      <c r="E67" s="62" t="s">
        <v>2953</v>
      </c>
      <c r="F67" s="32">
        <v>0</v>
      </c>
      <c r="G67" s="63" t="s">
        <v>2954</v>
      </c>
      <c r="H67" s="34" t="s">
        <v>2818</v>
      </c>
      <c r="I67" s="35">
        <v>46204</v>
      </c>
      <c r="J67" s="35">
        <v>46221</v>
      </c>
      <c r="K67" s="36" t="s">
        <v>8</v>
      </c>
    </row>
    <row r="68" spans="4:11" ht="43.5" customHeight="1" x14ac:dyDescent="0.3">
      <c r="D68" s="30" t="s">
        <v>2955</v>
      </c>
      <c r="E68" s="62" t="s">
        <v>2956</v>
      </c>
      <c r="F68" s="32">
        <v>0</v>
      </c>
      <c r="G68" s="63" t="s">
        <v>2957</v>
      </c>
      <c r="H68" s="34" t="s">
        <v>2818</v>
      </c>
      <c r="I68" s="35">
        <v>46204</v>
      </c>
      <c r="J68" s="35">
        <v>46211</v>
      </c>
      <c r="K68" s="36" t="s">
        <v>8</v>
      </c>
    </row>
    <row r="69" spans="4:11" ht="43.5" customHeight="1" x14ac:dyDescent="0.3">
      <c r="D69" s="30" t="s">
        <v>2958</v>
      </c>
      <c r="E69" s="62" t="s">
        <v>2959</v>
      </c>
      <c r="F69" s="32">
        <v>0</v>
      </c>
      <c r="G69" s="63" t="s">
        <v>2960</v>
      </c>
      <c r="H69" s="34" t="s">
        <v>2818</v>
      </c>
      <c r="I69" s="35">
        <v>46204</v>
      </c>
      <c r="J69" s="35">
        <v>46211</v>
      </c>
      <c r="K69" s="36" t="s">
        <v>8</v>
      </c>
    </row>
    <row r="70" spans="4:11" ht="43.5" customHeight="1" x14ac:dyDescent="0.3">
      <c r="D70" s="64" t="s">
        <v>2961</v>
      </c>
      <c r="E70" s="62" t="s">
        <v>2962</v>
      </c>
      <c r="F70" s="50" t="s">
        <v>163</v>
      </c>
      <c r="G70" s="63" t="s">
        <v>2963</v>
      </c>
      <c r="H70" s="52" t="s">
        <v>2964</v>
      </c>
      <c r="I70" s="60">
        <v>46203</v>
      </c>
      <c r="J70" s="35">
        <v>46206</v>
      </c>
      <c r="K70" s="36" t="s">
        <v>8</v>
      </c>
    </row>
    <row r="71" spans="4:11" ht="43.5" customHeight="1" x14ac:dyDescent="0.3">
      <c r="D71" s="64" t="s">
        <v>2965</v>
      </c>
      <c r="E71" s="62" t="s">
        <v>2966</v>
      </c>
      <c r="F71" s="50" t="s">
        <v>163</v>
      </c>
      <c r="G71" s="63" t="s">
        <v>2967</v>
      </c>
      <c r="H71" s="52" t="s">
        <v>36</v>
      </c>
      <c r="I71" s="60">
        <v>46208</v>
      </c>
      <c r="J71" s="35">
        <v>46209</v>
      </c>
      <c r="K71" s="36" t="s">
        <v>8</v>
      </c>
    </row>
    <row r="72" spans="4:11" ht="43.5" customHeight="1" x14ac:dyDescent="0.3">
      <c r="D72" s="30" t="s">
        <v>2968</v>
      </c>
      <c r="E72" s="62" t="s">
        <v>2969</v>
      </c>
      <c r="F72" s="50" t="s">
        <v>163</v>
      </c>
      <c r="G72" s="63" t="s">
        <v>2970</v>
      </c>
      <c r="H72" s="52" t="s">
        <v>2818</v>
      </c>
      <c r="I72" s="60">
        <v>46209</v>
      </c>
      <c r="J72" s="35">
        <v>46211</v>
      </c>
      <c r="K72" s="36" t="s">
        <v>8</v>
      </c>
    </row>
    <row r="73" spans="4:11" ht="43.5" customHeight="1" x14ac:dyDescent="0.3">
      <c r="D73" s="30" t="s">
        <v>2971</v>
      </c>
      <c r="E73" s="62" t="s">
        <v>2972</v>
      </c>
      <c r="F73" s="50" t="s">
        <v>163</v>
      </c>
      <c r="G73" s="63" t="s">
        <v>2973</v>
      </c>
      <c r="H73" s="52" t="s">
        <v>54</v>
      </c>
      <c r="I73" s="60">
        <v>46209</v>
      </c>
      <c r="J73" s="35">
        <v>46211</v>
      </c>
      <c r="K73" s="36" t="s">
        <v>8</v>
      </c>
    </row>
    <row r="74" spans="4:11" ht="43.5" customHeight="1" x14ac:dyDescent="0.3">
      <c r="D74" s="30" t="s">
        <v>2974</v>
      </c>
      <c r="E74" s="62" t="s">
        <v>2975</v>
      </c>
      <c r="F74" s="50" t="s">
        <v>163</v>
      </c>
      <c r="G74" s="63" t="s">
        <v>2976</v>
      </c>
      <c r="H74" s="52" t="s">
        <v>54</v>
      </c>
      <c r="I74" s="60">
        <v>46209</v>
      </c>
      <c r="J74" s="35">
        <v>46211</v>
      </c>
      <c r="K74" s="36" t="s">
        <v>8</v>
      </c>
    </row>
    <row r="75" spans="4:11" ht="43.5" customHeight="1" x14ac:dyDescent="0.3">
      <c r="D75" s="30" t="s">
        <v>2977</v>
      </c>
      <c r="E75" s="62" t="s">
        <v>2978</v>
      </c>
      <c r="F75" s="50" t="s">
        <v>163</v>
      </c>
      <c r="G75" s="63" t="s">
        <v>2979</v>
      </c>
      <c r="H75" s="52" t="s">
        <v>54</v>
      </c>
      <c r="I75" s="60">
        <v>46210</v>
      </c>
      <c r="J75" s="35">
        <v>46221</v>
      </c>
      <c r="K75" s="36" t="s">
        <v>8</v>
      </c>
    </row>
    <row r="76" spans="4:11" ht="43.5" customHeight="1" x14ac:dyDescent="0.3">
      <c r="D76" s="30" t="s">
        <v>2980</v>
      </c>
      <c r="E76" s="62" t="s">
        <v>2981</v>
      </c>
      <c r="F76" s="50" t="s">
        <v>163</v>
      </c>
      <c r="G76" s="63" t="s">
        <v>2982</v>
      </c>
      <c r="H76" s="52" t="s">
        <v>54</v>
      </c>
      <c r="I76" s="60">
        <v>46211</v>
      </c>
      <c r="J76" s="35">
        <v>46221</v>
      </c>
      <c r="K76" s="36" t="s">
        <v>8</v>
      </c>
    </row>
    <row r="77" spans="4:11" ht="43.5" customHeight="1" x14ac:dyDescent="0.3">
      <c r="D77" s="30" t="s">
        <v>2983</v>
      </c>
      <c r="E77" s="62" t="s">
        <v>2984</v>
      </c>
      <c r="F77" s="50" t="s">
        <v>163</v>
      </c>
      <c r="G77" s="63" t="s">
        <v>2985</v>
      </c>
      <c r="H77" s="52" t="s">
        <v>54</v>
      </c>
      <c r="I77" s="60">
        <v>46211</v>
      </c>
      <c r="J77" s="35">
        <v>46216</v>
      </c>
      <c r="K77" s="36" t="s">
        <v>8</v>
      </c>
    </row>
    <row r="78" spans="4:11" ht="43.5" customHeight="1" x14ac:dyDescent="0.3">
      <c r="D78" s="30" t="s">
        <v>2986</v>
      </c>
      <c r="E78" s="62" t="s">
        <v>2987</v>
      </c>
      <c r="F78" s="50" t="s">
        <v>163</v>
      </c>
      <c r="G78" s="63" t="s">
        <v>2988</v>
      </c>
      <c r="H78" s="52" t="s">
        <v>54</v>
      </c>
      <c r="I78" s="60">
        <v>46211</v>
      </c>
      <c r="J78" s="35">
        <v>46221</v>
      </c>
      <c r="K78" s="36" t="s">
        <v>8</v>
      </c>
    </row>
    <row r="79" spans="4:11" ht="43.5" customHeight="1" x14ac:dyDescent="0.3">
      <c r="D79" s="30" t="s">
        <v>2989</v>
      </c>
      <c r="E79" s="62" t="s">
        <v>2990</v>
      </c>
      <c r="F79" s="50" t="s">
        <v>163</v>
      </c>
      <c r="G79" s="63" t="s">
        <v>2991</v>
      </c>
      <c r="H79" s="52" t="s">
        <v>2818</v>
      </c>
      <c r="I79" s="60">
        <v>46212</v>
      </c>
      <c r="J79" s="35">
        <v>46221</v>
      </c>
      <c r="K79" s="36" t="s">
        <v>8</v>
      </c>
    </row>
    <row r="80" spans="4:11" ht="43.5" customHeight="1" x14ac:dyDescent="0.3">
      <c r="D80" s="30" t="s">
        <v>2992</v>
      </c>
      <c r="E80" s="62" t="s">
        <v>2993</v>
      </c>
      <c r="F80" s="50" t="s">
        <v>163</v>
      </c>
      <c r="G80" s="63" t="s">
        <v>2994</v>
      </c>
      <c r="H80" s="52" t="s">
        <v>2818</v>
      </c>
      <c r="I80" s="60">
        <v>46212</v>
      </c>
      <c r="J80" s="35">
        <v>46221</v>
      </c>
      <c r="K80" s="36" t="s">
        <v>8</v>
      </c>
    </row>
    <row r="81" spans="4:11" ht="43.5" customHeight="1" x14ac:dyDescent="0.3">
      <c r="D81" s="30" t="s">
        <v>2995</v>
      </c>
      <c r="E81" s="62" t="s">
        <v>2996</v>
      </c>
      <c r="F81" s="32">
        <v>0</v>
      </c>
      <c r="G81" s="63" t="s">
        <v>2997</v>
      </c>
      <c r="H81" s="34" t="s">
        <v>193</v>
      </c>
      <c r="I81" s="60">
        <v>46212</v>
      </c>
      <c r="J81" s="35">
        <v>46221</v>
      </c>
      <c r="K81" s="36" t="s">
        <v>8</v>
      </c>
    </row>
    <row r="82" spans="4:11" ht="43.5" customHeight="1" x14ac:dyDescent="0.3">
      <c r="D82" s="30" t="s">
        <v>2998</v>
      </c>
      <c r="E82" s="62" t="s">
        <v>2999</v>
      </c>
      <c r="F82" s="32">
        <v>0</v>
      </c>
      <c r="G82" s="63" t="s">
        <v>3000</v>
      </c>
      <c r="H82" s="34" t="s">
        <v>29</v>
      </c>
      <c r="I82" s="60">
        <v>46214</v>
      </c>
      <c r="J82" s="35">
        <v>46221</v>
      </c>
      <c r="K82" s="36" t="s">
        <v>8</v>
      </c>
    </row>
    <row r="83" spans="4:11" ht="43.5" customHeight="1" x14ac:dyDescent="0.3">
      <c r="D83" s="30" t="s">
        <v>3001</v>
      </c>
      <c r="E83" s="62" t="s">
        <v>3002</v>
      </c>
      <c r="F83" s="32">
        <v>0</v>
      </c>
      <c r="G83" s="63" t="s">
        <v>3003</v>
      </c>
      <c r="H83" s="34" t="s">
        <v>54</v>
      </c>
      <c r="I83" s="60">
        <v>46215</v>
      </c>
      <c r="J83" s="35">
        <v>46221</v>
      </c>
      <c r="K83" s="36" t="s">
        <v>8</v>
      </c>
    </row>
    <row r="84" spans="4:11" ht="43.5" customHeight="1" x14ac:dyDescent="0.3">
      <c r="D84" s="30" t="s">
        <v>3004</v>
      </c>
      <c r="E84" s="62" t="s">
        <v>3005</v>
      </c>
      <c r="F84" s="32">
        <v>0</v>
      </c>
      <c r="G84" s="63" t="s">
        <v>3006</v>
      </c>
      <c r="H84" s="34" t="s">
        <v>2818</v>
      </c>
      <c r="I84" s="60">
        <v>46215</v>
      </c>
      <c r="J84" s="35">
        <v>46221</v>
      </c>
      <c r="K84" s="36" t="s">
        <v>8</v>
      </c>
    </row>
    <row r="85" spans="4:11" ht="43.5" customHeight="1" x14ac:dyDescent="0.3">
      <c r="D85" s="30" t="s">
        <v>3007</v>
      </c>
      <c r="E85" s="62" t="s">
        <v>3008</v>
      </c>
      <c r="F85" s="32">
        <v>0</v>
      </c>
      <c r="G85" s="63" t="s">
        <v>3009</v>
      </c>
      <c r="H85" s="34" t="s">
        <v>2840</v>
      </c>
      <c r="I85" s="35">
        <v>46215</v>
      </c>
      <c r="J85" s="35">
        <v>46219</v>
      </c>
      <c r="K85" s="36" t="s">
        <v>8</v>
      </c>
    </row>
    <row r="86" spans="4:11" ht="43.5" customHeight="1" x14ac:dyDescent="0.3">
      <c r="D86" s="30" t="s">
        <v>3010</v>
      </c>
      <c r="E86" s="62" t="s">
        <v>3011</v>
      </c>
      <c r="F86" s="32">
        <v>0</v>
      </c>
      <c r="G86" s="63" t="s">
        <v>3012</v>
      </c>
      <c r="H86" s="34" t="s">
        <v>2678</v>
      </c>
      <c r="I86" s="35">
        <v>46216</v>
      </c>
      <c r="J86" s="35">
        <v>46221</v>
      </c>
      <c r="K86" s="36" t="s">
        <v>8</v>
      </c>
    </row>
    <row r="87" spans="4:11" ht="43.5" customHeight="1" x14ac:dyDescent="0.3">
      <c r="D87" s="30" t="s">
        <v>3013</v>
      </c>
      <c r="E87" s="62" t="s">
        <v>3014</v>
      </c>
      <c r="F87" s="32">
        <v>0</v>
      </c>
      <c r="G87" s="63" t="s">
        <v>3015</v>
      </c>
      <c r="H87" s="34" t="s">
        <v>54</v>
      </c>
      <c r="I87" s="35">
        <v>46216</v>
      </c>
      <c r="J87" s="35">
        <v>46217</v>
      </c>
      <c r="K87" s="36" t="s">
        <v>8</v>
      </c>
    </row>
    <row r="88" spans="4:11" ht="43.5" customHeight="1" x14ac:dyDescent="0.3">
      <c r="D88" s="30" t="s">
        <v>3016</v>
      </c>
      <c r="E88" s="62" t="s">
        <v>3017</v>
      </c>
      <c r="F88" s="32">
        <v>0</v>
      </c>
      <c r="G88" s="63" t="s">
        <v>3018</v>
      </c>
      <c r="H88" s="34" t="s">
        <v>54</v>
      </c>
      <c r="I88" s="35">
        <v>46216</v>
      </c>
      <c r="J88" s="35">
        <v>46221</v>
      </c>
      <c r="K88" s="36" t="s">
        <v>8</v>
      </c>
    </row>
    <row r="89" spans="4:11" ht="43.5" customHeight="1" x14ac:dyDescent="0.3">
      <c r="D89" s="30" t="s">
        <v>3019</v>
      </c>
      <c r="E89" s="62" t="s">
        <v>3020</v>
      </c>
      <c r="F89" s="32">
        <v>0</v>
      </c>
      <c r="G89" s="63" t="s">
        <v>3021</v>
      </c>
      <c r="H89" s="34" t="s">
        <v>2876</v>
      </c>
      <c r="I89" s="35">
        <v>46217</v>
      </c>
      <c r="J89" s="35">
        <v>46230</v>
      </c>
      <c r="K89" s="36" t="s">
        <v>8</v>
      </c>
    </row>
    <row r="90" spans="4:11" ht="43.5" customHeight="1" x14ac:dyDescent="0.3">
      <c r="D90" s="30" t="s">
        <v>3022</v>
      </c>
      <c r="E90" s="62" t="s">
        <v>3023</v>
      </c>
      <c r="F90" s="32">
        <v>0</v>
      </c>
      <c r="G90" s="63" t="s">
        <v>3024</v>
      </c>
      <c r="H90" s="34" t="s">
        <v>2840</v>
      </c>
      <c r="I90" s="35">
        <v>46217</v>
      </c>
      <c r="J90" s="35">
        <v>46219</v>
      </c>
      <c r="K90" s="36" t="s">
        <v>8</v>
      </c>
    </row>
    <row r="91" spans="4:11" ht="43.5" customHeight="1" x14ac:dyDescent="0.3">
      <c r="D91" s="30" t="s">
        <v>3025</v>
      </c>
      <c r="E91" s="62" t="s">
        <v>3026</v>
      </c>
      <c r="F91" s="32">
        <v>0</v>
      </c>
      <c r="G91" s="63" t="s">
        <v>3027</v>
      </c>
      <c r="H91" s="34" t="s">
        <v>54</v>
      </c>
      <c r="I91" s="35">
        <v>46218</v>
      </c>
      <c r="J91" s="35">
        <v>46219</v>
      </c>
      <c r="K91" s="36" t="s">
        <v>8</v>
      </c>
    </row>
    <row r="92" spans="4:11" ht="43.5" customHeight="1" x14ac:dyDescent="0.3">
      <c r="D92" s="30" t="s">
        <v>3028</v>
      </c>
      <c r="E92" s="62" t="s">
        <v>3029</v>
      </c>
      <c r="F92" s="32">
        <v>0</v>
      </c>
      <c r="G92" s="63" t="s">
        <v>3030</v>
      </c>
      <c r="H92" s="34" t="s">
        <v>2840</v>
      </c>
      <c r="I92" s="35">
        <v>46218</v>
      </c>
      <c r="J92" s="35">
        <v>46225</v>
      </c>
      <c r="K92" s="36" t="s">
        <v>8</v>
      </c>
    </row>
    <row r="93" spans="4:11" ht="43.5" customHeight="1" x14ac:dyDescent="0.3">
      <c r="D93" s="30" t="s">
        <v>3031</v>
      </c>
      <c r="E93" s="62" t="s">
        <v>3032</v>
      </c>
      <c r="F93" s="32">
        <v>0</v>
      </c>
      <c r="G93" s="63" t="s">
        <v>3033</v>
      </c>
      <c r="H93" s="34" t="s">
        <v>54</v>
      </c>
      <c r="I93" s="35">
        <v>46218</v>
      </c>
      <c r="J93" s="35">
        <v>46219</v>
      </c>
      <c r="K93" s="36" t="s">
        <v>8</v>
      </c>
    </row>
    <row r="94" spans="4:11" ht="43.5" customHeight="1" x14ac:dyDescent="0.3">
      <c r="D94" s="30" t="s">
        <v>3034</v>
      </c>
      <c r="E94" s="62" t="s">
        <v>3035</v>
      </c>
      <c r="F94" s="32">
        <v>0</v>
      </c>
      <c r="G94" s="63" t="s">
        <v>3036</v>
      </c>
      <c r="H94" s="34" t="s">
        <v>2604</v>
      </c>
      <c r="I94" s="35">
        <v>46218</v>
      </c>
      <c r="J94" s="35">
        <v>46225</v>
      </c>
      <c r="K94" s="36" t="s">
        <v>8</v>
      </c>
    </row>
    <row r="95" spans="4:11" ht="43.5" customHeight="1" x14ac:dyDescent="0.3">
      <c r="D95" s="30" t="s">
        <v>3037</v>
      </c>
      <c r="E95" s="62" t="s">
        <v>3038</v>
      </c>
      <c r="F95" s="32">
        <v>0</v>
      </c>
      <c r="G95" s="63" t="s">
        <v>3039</v>
      </c>
      <c r="H95" s="34" t="s">
        <v>2604</v>
      </c>
      <c r="I95" s="35">
        <v>46218</v>
      </c>
      <c r="J95" s="35">
        <v>46221</v>
      </c>
      <c r="K95" s="36" t="s">
        <v>8</v>
      </c>
    </row>
    <row r="96" spans="4:11" ht="43.5" customHeight="1" x14ac:dyDescent="0.3">
      <c r="D96" s="30" t="s">
        <v>3040</v>
      </c>
      <c r="E96" s="62" t="s">
        <v>3041</v>
      </c>
      <c r="F96" s="32">
        <v>0</v>
      </c>
      <c r="G96" s="63" t="s">
        <v>3042</v>
      </c>
      <c r="H96" s="34" t="s">
        <v>2604</v>
      </c>
      <c r="I96" s="35">
        <v>46218</v>
      </c>
      <c r="J96" s="35">
        <v>46219</v>
      </c>
      <c r="K96" s="36" t="s">
        <v>8</v>
      </c>
    </row>
    <row r="97" spans="4:11" ht="43.5" customHeight="1" x14ac:dyDescent="0.3">
      <c r="D97" s="30" t="s">
        <v>3043</v>
      </c>
      <c r="E97" s="62" t="s">
        <v>3044</v>
      </c>
      <c r="F97" s="32">
        <v>0</v>
      </c>
      <c r="G97" s="63" t="s">
        <v>3045</v>
      </c>
      <c r="H97" s="34" t="s">
        <v>2604</v>
      </c>
      <c r="I97" s="35">
        <v>46218</v>
      </c>
      <c r="J97" s="35">
        <v>46219</v>
      </c>
      <c r="K97" s="36" t="s">
        <v>8</v>
      </c>
    </row>
    <row r="98" spans="4:11" ht="43.5" customHeight="1" x14ac:dyDescent="0.3">
      <c r="D98" s="30" t="s">
        <v>3046</v>
      </c>
      <c r="E98" s="62" t="s">
        <v>3047</v>
      </c>
      <c r="F98" s="32">
        <v>0</v>
      </c>
      <c r="G98" s="63" t="s">
        <v>3048</v>
      </c>
      <c r="H98" s="34" t="s">
        <v>29</v>
      </c>
      <c r="I98" s="35">
        <v>46218</v>
      </c>
      <c r="J98" s="35">
        <v>46221</v>
      </c>
      <c r="K98" s="36" t="s">
        <v>8</v>
      </c>
    </row>
    <row r="99" spans="4:11" ht="43.5" customHeight="1" x14ac:dyDescent="0.3">
      <c r="D99" s="30" t="s">
        <v>3049</v>
      </c>
      <c r="E99" s="62" t="s">
        <v>3050</v>
      </c>
      <c r="F99" s="32">
        <v>0</v>
      </c>
      <c r="G99" s="63" t="s">
        <v>3051</v>
      </c>
      <c r="H99" s="34" t="s">
        <v>36</v>
      </c>
      <c r="I99" s="35">
        <v>46221</v>
      </c>
      <c r="J99" s="35">
        <v>46229</v>
      </c>
      <c r="K99" s="36" t="s">
        <v>8</v>
      </c>
    </row>
    <row r="100" spans="4:11" ht="43.5" customHeight="1" x14ac:dyDescent="0.3">
      <c r="D100" s="30" t="s">
        <v>3052</v>
      </c>
      <c r="E100" s="62" t="s">
        <v>3053</v>
      </c>
      <c r="F100" s="32">
        <v>0</v>
      </c>
      <c r="G100" s="63" t="s">
        <v>3054</v>
      </c>
      <c r="H100" s="34" t="s">
        <v>2818</v>
      </c>
      <c r="I100" s="35">
        <v>46222</v>
      </c>
      <c r="J100" s="35">
        <v>46222</v>
      </c>
      <c r="K100" s="36" t="s">
        <v>8</v>
      </c>
    </row>
    <row r="101" spans="4:11" ht="43.5" customHeight="1" x14ac:dyDescent="0.3">
      <c r="D101" s="30" t="s">
        <v>3055</v>
      </c>
      <c r="E101" s="62" t="s">
        <v>3056</v>
      </c>
      <c r="F101" s="32">
        <v>0</v>
      </c>
      <c r="G101" s="63" t="s">
        <v>3057</v>
      </c>
      <c r="H101" s="34" t="s">
        <v>2604</v>
      </c>
      <c r="I101" s="35">
        <v>46222</v>
      </c>
      <c r="J101" s="35">
        <v>46225</v>
      </c>
      <c r="K101" s="36" t="s">
        <v>8</v>
      </c>
    </row>
    <row r="102" spans="4:11" ht="43.5" customHeight="1" x14ac:dyDescent="0.3">
      <c r="D102" s="30" t="s">
        <v>3058</v>
      </c>
      <c r="E102" s="62" t="s">
        <v>3059</v>
      </c>
      <c r="F102" s="32">
        <v>0</v>
      </c>
      <c r="G102" s="63" t="s">
        <v>3060</v>
      </c>
      <c r="H102" s="34" t="s">
        <v>3061</v>
      </c>
      <c r="I102" s="35">
        <v>46222</v>
      </c>
      <c r="J102" s="35">
        <v>46229</v>
      </c>
      <c r="K102" s="36" t="s">
        <v>8</v>
      </c>
    </row>
    <row r="103" spans="4:11" ht="43.5" customHeight="1" x14ac:dyDescent="0.3">
      <c r="D103" s="30" t="s">
        <v>3062</v>
      </c>
      <c r="E103" s="62" t="s">
        <v>3063</v>
      </c>
      <c r="F103" s="32">
        <v>0</v>
      </c>
      <c r="G103" s="63" t="s">
        <v>3064</v>
      </c>
      <c r="H103" s="34" t="s">
        <v>36</v>
      </c>
      <c r="I103" s="35">
        <v>46223</v>
      </c>
      <c r="J103" s="35">
        <v>46232</v>
      </c>
      <c r="K103" s="36" t="s">
        <v>8</v>
      </c>
    </row>
    <row r="104" spans="4:11" ht="43.5" customHeight="1" x14ac:dyDescent="0.3">
      <c r="D104" s="30" t="s">
        <v>3065</v>
      </c>
      <c r="E104" s="62" t="s">
        <v>3066</v>
      </c>
      <c r="F104" s="32">
        <v>0</v>
      </c>
      <c r="G104" s="63" t="s">
        <v>3067</v>
      </c>
      <c r="H104" s="34" t="s">
        <v>2604</v>
      </c>
      <c r="I104" s="35">
        <v>46223</v>
      </c>
      <c r="J104" s="35">
        <v>46225</v>
      </c>
      <c r="K104" s="36" t="s">
        <v>8</v>
      </c>
    </row>
    <row r="105" spans="4:11" ht="43.5" customHeight="1" x14ac:dyDescent="0.3">
      <c r="D105" s="30" t="s">
        <v>3068</v>
      </c>
      <c r="E105" s="62" t="s">
        <v>3069</v>
      </c>
      <c r="F105" s="32">
        <v>0</v>
      </c>
      <c r="G105" s="63" t="s">
        <v>3070</v>
      </c>
      <c r="H105" s="34" t="s">
        <v>2604</v>
      </c>
      <c r="I105" s="35">
        <v>46224</v>
      </c>
      <c r="J105" s="35">
        <v>46229</v>
      </c>
      <c r="K105" s="36" t="s">
        <v>8</v>
      </c>
    </row>
    <row r="106" spans="4:11" ht="43.5" customHeight="1" x14ac:dyDescent="0.3">
      <c r="D106" s="30" t="s">
        <v>3071</v>
      </c>
      <c r="E106" s="62" t="s">
        <v>3072</v>
      </c>
      <c r="F106" s="32">
        <v>0</v>
      </c>
      <c r="G106" s="63" t="s">
        <v>3073</v>
      </c>
      <c r="H106" s="34" t="s">
        <v>54</v>
      </c>
      <c r="I106" s="35">
        <v>46225</v>
      </c>
      <c r="J106" s="35">
        <v>46230</v>
      </c>
      <c r="K106" s="36" t="s">
        <v>8</v>
      </c>
    </row>
    <row r="107" spans="4:11" ht="43.5" customHeight="1" x14ac:dyDescent="0.3">
      <c r="D107" s="30" t="s">
        <v>3074</v>
      </c>
      <c r="E107" s="62" t="s">
        <v>3075</v>
      </c>
      <c r="F107" s="32">
        <v>0</v>
      </c>
      <c r="G107" s="63" t="s">
        <v>3076</v>
      </c>
      <c r="H107" s="34" t="s">
        <v>2799</v>
      </c>
      <c r="I107" s="35">
        <v>46225</v>
      </c>
      <c r="J107" s="35">
        <v>46231</v>
      </c>
      <c r="K107" s="36" t="s">
        <v>8</v>
      </c>
    </row>
    <row r="108" spans="4:11" ht="43.5" customHeight="1" x14ac:dyDescent="0.3">
      <c r="D108" s="30" t="s">
        <v>3077</v>
      </c>
      <c r="E108" s="62" t="s">
        <v>3078</v>
      </c>
      <c r="F108" s="32">
        <v>0</v>
      </c>
      <c r="G108" s="63" t="s">
        <v>3079</v>
      </c>
      <c r="H108" s="34" t="s">
        <v>2840</v>
      </c>
      <c r="I108" s="35">
        <v>46225</v>
      </c>
      <c r="J108" s="35">
        <v>46231</v>
      </c>
      <c r="K108" s="36" t="s">
        <v>8</v>
      </c>
    </row>
    <row r="109" spans="4:11" ht="43.5" customHeight="1" x14ac:dyDescent="0.3">
      <c r="D109" s="30" t="s">
        <v>3080</v>
      </c>
      <c r="E109" s="62" t="s">
        <v>3081</v>
      </c>
      <c r="F109" s="32">
        <v>0</v>
      </c>
      <c r="G109" s="63" t="s">
        <v>3082</v>
      </c>
      <c r="H109" s="34" t="s">
        <v>193</v>
      </c>
      <c r="I109" s="35">
        <v>46225</v>
      </c>
      <c r="J109" s="35">
        <v>46232</v>
      </c>
      <c r="K109" s="36" t="s">
        <v>8</v>
      </c>
    </row>
    <row r="110" spans="4:11" ht="43.5" customHeight="1" x14ac:dyDescent="0.3">
      <c r="D110" s="30" t="s">
        <v>3083</v>
      </c>
      <c r="E110" s="62" t="s">
        <v>3084</v>
      </c>
      <c r="F110" s="32">
        <v>0</v>
      </c>
      <c r="G110" s="63" t="s">
        <v>3085</v>
      </c>
      <c r="H110" s="34" t="s">
        <v>2799</v>
      </c>
      <c r="I110" s="35">
        <v>46229</v>
      </c>
      <c r="J110" s="35">
        <v>46231</v>
      </c>
      <c r="K110" s="36" t="s">
        <v>8</v>
      </c>
    </row>
    <row r="111" spans="4:11" ht="43.5" customHeight="1" x14ac:dyDescent="0.3">
      <c r="D111" s="30" t="s">
        <v>3086</v>
      </c>
      <c r="E111" s="62" t="s">
        <v>3087</v>
      </c>
      <c r="F111" s="32">
        <v>0</v>
      </c>
      <c r="G111" s="63" t="s">
        <v>3088</v>
      </c>
      <c r="H111" s="34" t="s">
        <v>2799</v>
      </c>
      <c r="I111" s="35">
        <v>46229</v>
      </c>
      <c r="J111" s="35">
        <v>46231</v>
      </c>
      <c r="K111" s="36" t="s">
        <v>8</v>
      </c>
    </row>
    <row r="112" spans="4:11" ht="43.5" customHeight="1" x14ac:dyDescent="0.3">
      <c r="D112" s="30" t="s">
        <v>3089</v>
      </c>
      <c r="E112" s="62" t="s">
        <v>3090</v>
      </c>
      <c r="F112" s="32">
        <v>0</v>
      </c>
      <c r="G112" s="63" t="s">
        <v>3091</v>
      </c>
      <c r="H112" s="34" t="s">
        <v>54</v>
      </c>
      <c r="I112" s="35">
        <v>46229</v>
      </c>
      <c r="J112" s="35">
        <v>46231</v>
      </c>
      <c r="K112" s="36" t="s">
        <v>8</v>
      </c>
    </row>
    <row r="113" spans="4:11" ht="43.5" customHeight="1" x14ac:dyDescent="0.3">
      <c r="D113" s="30" t="s">
        <v>3092</v>
      </c>
      <c r="E113" s="62" t="s">
        <v>3093</v>
      </c>
      <c r="F113" s="32">
        <v>0</v>
      </c>
      <c r="G113" s="63" t="s">
        <v>3094</v>
      </c>
      <c r="H113" s="34" t="s">
        <v>2604</v>
      </c>
      <c r="I113" s="35">
        <v>46230</v>
      </c>
      <c r="J113" s="35">
        <v>46231</v>
      </c>
      <c r="K113" s="36" t="s">
        <v>8</v>
      </c>
    </row>
    <row r="114" spans="4:11" ht="43.5" customHeight="1" x14ac:dyDescent="0.3">
      <c r="D114" s="30" t="s">
        <v>3095</v>
      </c>
      <c r="E114" s="62" t="s">
        <v>3096</v>
      </c>
      <c r="F114" s="32">
        <v>0</v>
      </c>
      <c r="G114" s="63" t="s">
        <v>3097</v>
      </c>
      <c r="H114" s="34" t="s">
        <v>193</v>
      </c>
      <c r="I114" s="35">
        <v>46232</v>
      </c>
      <c r="J114" s="35">
        <v>46237</v>
      </c>
      <c r="K114" s="36" t="s">
        <v>8</v>
      </c>
    </row>
    <row r="115" spans="4:11" ht="43.5" customHeight="1" x14ac:dyDescent="0.3">
      <c r="D115" s="30" t="s">
        <v>3098</v>
      </c>
      <c r="E115" s="62" t="s">
        <v>3099</v>
      </c>
      <c r="F115" s="32">
        <v>0</v>
      </c>
      <c r="G115" s="63" t="s">
        <v>3100</v>
      </c>
      <c r="H115" s="34" t="s">
        <v>3061</v>
      </c>
      <c r="I115" s="35">
        <v>46232</v>
      </c>
      <c r="J115" s="35">
        <v>46237</v>
      </c>
      <c r="K115" s="36" t="s">
        <v>8</v>
      </c>
    </row>
    <row r="116" spans="4:11" ht="43.5" customHeight="1" x14ac:dyDescent="0.3">
      <c r="D116" s="30" t="s">
        <v>3101</v>
      </c>
      <c r="E116" s="62" t="s">
        <v>3102</v>
      </c>
      <c r="F116" s="32">
        <v>0</v>
      </c>
      <c r="G116" s="63" t="s">
        <v>3103</v>
      </c>
      <c r="H116" s="34" t="s">
        <v>2840</v>
      </c>
      <c r="I116" s="35">
        <v>46232</v>
      </c>
      <c r="J116" s="35">
        <v>46237</v>
      </c>
      <c r="K116" s="36" t="s">
        <v>8</v>
      </c>
    </row>
    <row r="117" spans="4:11" ht="43.5" customHeight="1" x14ac:dyDescent="0.3">
      <c r="D117" s="30" t="s">
        <v>3104</v>
      </c>
      <c r="E117" s="62" t="s">
        <v>3105</v>
      </c>
      <c r="F117" s="32">
        <v>0</v>
      </c>
      <c r="G117" s="63" t="s">
        <v>3106</v>
      </c>
      <c r="H117" s="34" t="s">
        <v>193</v>
      </c>
      <c r="I117" s="35">
        <v>46232</v>
      </c>
      <c r="J117" s="35">
        <v>46237</v>
      </c>
      <c r="K117" s="36" t="s">
        <v>8</v>
      </c>
    </row>
    <row r="118" spans="4:11" ht="43.5" customHeight="1" x14ac:dyDescent="0.3">
      <c r="D118" s="30" t="s">
        <v>3107</v>
      </c>
      <c r="E118" s="62" t="s">
        <v>3108</v>
      </c>
      <c r="F118" s="32">
        <v>0</v>
      </c>
      <c r="G118" s="63" t="s">
        <v>3109</v>
      </c>
      <c r="H118" s="34" t="s">
        <v>193</v>
      </c>
      <c r="I118" s="35">
        <v>46232</v>
      </c>
      <c r="J118" s="35">
        <v>46237</v>
      </c>
      <c r="K118" s="36" t="s">
        <v>8</v>
      </c>
    </row>
    <row r="119" spans="4:11" ht="43.5" customHeight="1" x14ac:dyDescent="0.3">
      <c r="D119" s="30" t="s">
        <v>3110</v>
      </c>
      <c r="E119" s="62" t="s">
        <v>3111</v>
      </c>
      <c r="F119" s="32">
        <v>0</v>
      </c>
      <c r="G119" s="63" t="s">
        <v>3112</v>
      </c>
      <c r="H119" s="34" t="s">
        <v>2840</v>
      </c>
      <c r="I119" s="35">
        <v>46233</v>
      </c>
      <c r="J119" s="35">
        <v>46233</v>
      </c>
      <c r="K119" s="36" t="s">
        <v>8</v>
      </c>
    </row>
    <row r="120" spans="4:11" ht="43.5" customHeight="1" x14ac:dyDescent="0.3">
      <c r="D120" s="30" t="s">
        <v>3113</v>
      </c>
      <c r="E120" s="62" t="s">
        <v>3114</v>
      </c>
      <c r="F120" s="32">
        <v>0</v>
      </c>
      <c r="G120" s="63" t="s">
        <v>3115</v>
      </c>
      <c r="H120" s="34" t="s">
        <v>2604</v>
      </c>
      <c r="I120" s="35">
        <v>46232</v>
      </c>
      <c r="J120" s="35">
        <v>46237</v>
      </c>
      <c r="K120" s="36" t="s">
        <v>8</v>
      </c>
    </row>
    <row r="121" spans="4:11" ht="43.5" customHeight="1" x14ac:dyDescent="0.3">
      <c r="D121" s="30" t="s">
        <v>3116</v>
      </c>
      <c r="E121" s="62" t="s">
        <v>3117</v>
      </c>
      <c r="F121" s="32">
        <v>0</v>
      </c>
      <c r="G121" s="63" t="s">
        <v>3118</v>
      </c>
      <c r="H121" s="34" t="s">
        <v>2604</v>
      </c>
      <c r="I121" s="35">
        <v>46233</v>
      </c>
      <c r="J121" s="35">
        <v>46238</v>
      </c>
      <c r="K121" s="36" t="s">
        <v>8</v>
      </c>
    </row>
    <row r="122" spans="4:11" ht="43.5" customHeight="1" x14ac:dyDescent="0.3">
      <c r="D122" s="30" t="s">
        <v>3119</v>
      </c>
      <c r="E122" s="62" t="s">
        <v>3120</v>
      </c>
      <c r="F122" s="32">
        <v>0</v>
      </c>
      <c r="G122" s="63" t="s">
        <v>3121</v>
      </c>
      <c r="H122" s="34" t="s">
        <v>2604</v>
      </c>
      <c r="I122" s="35">
        <v>46233</v>
      </c>
      <c r="J122" s="35">
        <v>46238</v>
      </c>
      <c r="K122" s="36" t="s">
        <v>8</v>
      </c>
    </row>
    <row r="123" spans="4:11" ht="43.5" customHeight="1" x14ac:dyDescent="0.3">
      <c r="D123" s="30" t="s">
        <v>3122</v>
      </c>
      <c r="E123" s="62" t="s">
        <v>3123</v>
      </c>
      <c r="F123" s="32">
        <v>0</v>
      </c>
      <c r="G123" s="63" t="s">
        <v>3124</v>
      </c>
      <c r="H123" s="34" t="s">
        <v>2604</v>
      </c>
      <c r="I123" s="35">
        <v>46233</v>
      </c>
      <c r="J123" s="35">
        <v>46238</v>
      </c>
      <c r="K123" s="36" t="s">
        <v>8</v>
      </c>
    </row>
    <row r="124" spans="4:11" ht="43.5" customHeight="1" x14ac:dyDescent="0.3">
      <c r="D124" s="30" t="s">
        <v>3125</v>
      </c>
      <c r="E124" s="62" t="s">
        <v>3126</v>
      </c>
      <c r="F124" s="32">
        <v>0</v>
      </c>
      <c r="G124" s="63" t="s">
        <v>3127</v>
      </c>
      <c r="H124" s="34" t="s">
        <v>193</v>
      </c>
      <c r="I124" s="35">
        <v>46233</v>
      </c>
      <c r="J124" s="35">
        <v>46238</v>
      </c>
      <c r="K124" s="36" t="s">
        <v>8</v>
      </c>
    </row>
    <row r="125" spans="4:11" ht="43.5" customHeight="1" x14ac:dyDescent="0.3">
      <c r="D125" s="30" t="s">
        <v>3128</v>
      </c>
      <c r="E125" s="62" t="s">
        <v>3129</v>
      </c>
      <c r="F125" s="32">
        <v>0</v>
      </c>
      <c r="G125" s="63" t="s">
        <v>3130</v>
      </c>
      <c r="H125" s="34" t="s">
        <v>193</v>
      </c>
      <c r="I125" s="35">
        <v>46233</v>
      </c>
      <c r="J125" s="35">
        <v>46243</v>
      </c>
      <c r="K125" s="36" t="s">
        <v>8</v>
      </c>
    </row>
    <row r="126" spans="4:11" ht="43.5" customHeight="1" x14ac:dyDescent="0.3">
      <c r="D126" s="30" t="s">
        <v>3131</v>
      </c>
      <c r="E126" s="62" t="s">
        <v>3132</v>
      </c>
      <c r="F126" s="32">
        <v>0</v>
      </c>
      <c r="G126" s="63" t="s">
        <v>3133</v>
      </c>
      <c r="H126" s="34" t="s">
        <v>2818</v>
      </c>
      <c r="I126" s="35">
        <v>46235</v>
      </c>
      <c r="J126" s="35">
        <v>46238</v>
      </c>
      <c r="K126" s="36" t="s">
        <v>8</v>
      </c>
    </row>
    <row r="127" spans="4:11" ht="43.5" customHeight="1" x14ac:dyDescent="0.3">
      <c r="D127" s="30" t="s">
        <v>3134</v>
      </c>
      <c r="E127" s="62" t="s">
        <v>3135</v>
      </c>
      <c r="F127" s="32">
        <v>0</v>
      </c>
      <c r="G127" s="63" t="s">
        <v>3136</v>
      </c>
      <c r="H127" s="34" t="s">
        <v>2604</v>
      </c>
      <c r="I127" s="35">
        <v>46235</v>
      </c>
      <c r="J127" s="35">
        <v>46238</v>
      </c>
      <c r="K127" s="36" t="s">
        <v>8</v>
      </c>
    </row>
    <row r="128" spans="4:11" ht="43.5" customHeight="1" x14ac:dyDescent="0.3">
      <c r="D128" s="30" t="s">
        <v>3137</v>
      </c>
      <c r="E128" s="62" t="s">
        <v>3138</v>
      </c>
      <c r="F128" s="32">
        <v>0</v>
      </c>
      <c r="G128" s="63" t="s">
        <v>3139</v>
      </c>
      <c r="H128" s="34" t="s">
        <v>2604</v>
      </c>
      <c r="I128" s="35">
        <v>46235</v>
      </c>
      <c r="J128" s="35">
        <v>46238</v>
      </c>
      <c r="K128" s="36" t="s">
        <v>8</v>
      </c>
    </row>
    <row r="129" spans="4:11" ht="43.5" customHeight="1" x14ac:dyDescent="0.3">
      <c r="D129" s="30" t="s">
        <v>3140</v>
      </c>
      <c r="E129" s="62" t="s">
        <v>3141</v>
      </c>
      <c r="F129" s="32">
        <v>0</v>
      </c>
      <c r="G129" s="63" t="s">
        <v>3142</v>
      </c>
      <c r="H129" s="34" t="s">
        <v>2799</v>
      </c>
      <c r="I129" s="35">
        <v>46236</v>
      </c>
      <c r="J129" s="35">
        <v>46238</v>
      </c>
      <c r="K129" s="36" t="s">
        <v>8</v>
      </c>
    </row>
    <row r="130" spans="4:11" ht="43.5" customHeight="1" x14ac:dyDescent="0.3">
      <c r="D130" s="30" t="s">
        <v>3143</v>
      </c>
      <c r="E130" s="62" t="s">
        <v>3144</v>
      </c>
      <c r="F130" s="32">
        <v>0</v>
      </c>
      <c r="G130" s="63" t="s">
        <v>3145</v>
      </c>
      <c r="H130" s="34" t="s">
        <v>2799</v>
      </c>
      <c r="I130" s="35">
        <v>46236</v>
      </c>
      <c r="J130" s="35">
        <v>46237</v>
      </c>
      <c r="K130" s="36" t="s">
        <v>8</v>
      </c>
    </row>
    <row r="131" spans="4:11" ht="43.5" customHeight="1" x14ac:dyDescent="0.3">
      <c r="D131" s="30" t="s">
        <v>3146</v>
      </c>
      <c r="E131" s="62" t="s">
        <v>3147</v>
      </c>
      <c r="F131" s="32">
        <v>0</v>
      </c>
      <c r="G131" s="63" t="s">
        <v>3148</v>
      </c>
      <c r="H131" s="34" t="s">
        <v>50</v>
      </c>
      <c r="I131" s="35">
        <v>46236</v>
      </c>
      <c r="J131" s="35">
        <v>46243</v>
      </c>
      <c r="K131" s="36" t="s">
        <v>8</v>
      </c>
    </row>
    <row r="132" spans="4:11" ht="43.5" customHeight="1" x14ac:dyDescent="0.3">
      <c r="D132" s="30" t="s">
        <v>3149</v>
      </c>
      <c r="E132" s="62" t="s">
        <v>3150</v>
      </c>
      <c r="F132" s="32">
        <v>0</v>
      </c>
      <c r="G132" s="63" t="s">
        <v>3151</v>
      </c>
      <c r="H132" s="34" t="s">
        <v>50</v>
      </c>
      <c r="I132" s="35">
        <v>46236</v>
      </c>
      <c r="J132" s="35">
        <v>46239</v>
      </c>
      <c r="K132" s="36" t="s">
        <v>8</v>
      </c>
    </row>
    <row r="133" spans="4:11" ht="43.5" customHeight="1" x14ac:dyDescent="0.3">
      <c r="D133" s="30" t="s">
        <v>3152</v>
      </c>
      <c r="E133" s="62" t="s">
        <v>3153</v>
      </c>
      <c r="F133" s="32">
        <v>0</v>
      </c>
      <c r="G133" s="63" t="s">
        <v>3154</v>
      </c>
      <c r="H133" s="34" t="s">
        <v>50</v>
      </c>
      <c r="I133" s="35">
        <v>46236</v>
      </c>
      <c r="J133" s="35">
        <v>46239</v>
      </c>
      <c r="K133" s="36" t="s">
        <v>8</v>
      </c>
    </row>
    <row r="134" spans="4:11" ht="43.5" customHeight="1" x14ac:dyDescent="0.3">
      <c r="D134" s="30" t="s">
        <v>3155</v>
      </c>
      <c r="E134" s="62" t="s">
        <v>3156</v>
      </c>
      <c r="F134" s="32">
        <v>0</v>
      </c>
      <c r="G134" s="63" t="s">
        <v>3157</v>
      </c>
      <c r="H134" s="34" t="s">
        <v>2604</v>
      </c>
      <c r="I134" s="35">
        <v>46237</v>
      </c>
      <c r="J134" s="35">
        <v>46238</v>
      </c>
      <c r="K134" s="36" t="s">
        <v>8</v>
      </c>
    </row>
    <row r="135" spans="4:11" ht="43.5" customHeight="1" x14ac:dyDescent="0.3">
      <c r="D135" s="30" t="s">
        <v>3158</v>
      </c>
      <c r="E135" s="62" t="s">
        <v>3159</v>
      </c>
      <c r="F135" s="32">
        <v>0</v>
      </c>
      <c r="G135" s="63" t="s">
        <v>3160</v>
      </c>
      <c r="H135" s="34" t="s">
        <v>193</v>
      </c>
      <c r="I135" s="35">
        <v>46237</v>
      </c>
      <c r="J135" s="35">
        <v>46239</v>
      </c>
      <c r="K135" s="36" t="s">
        <v>8</v>
      </c>
    </row>
    <row r="136" spans="4:11" ht="43.5" customHeight="1" x14ac:dyDescent="0.3">
      <c r="D136" s="30" t="s">
        <v>3161</v>
      </c>
      <c r="E136" s="62" t="s">
        <v>3162</v>
      </c>
      <c r="F136" s="32">
        <v>0</v>
      </c>
      <c r="G136" s="63" t="s">
        <v>3163</v>
      </c>
      <c r="H136" s="34" t="s">
        <v>193</v>
      </c>
      <c r="I136" s="35">
        <v>46237</v>
      </c>
      <c r="J136" s="35">
        <v>46239</v>
      </c>
      <c r="K136" s="36" t="s">
        <v>8</v>
      </c>
    </row>
    <row r="137" spans="4:11" ht="43.5" customHeight="1" x14ac:dyDescent="0.3">
      <c r="D137" s="30" t="s">
        <v>3164</v>
      </c>
      <c r="E137" s="62" t="s">
        <v>3165</v>
      </c>
      <c r="F137" s="32">
        <v>0</v>
      </c>
      <c r="G137" s="63" t="s">
        <v>3166</v>
      </c>
      <c r="H137" s="34" t="s">
        <v>193</v>
      </c>
      <c r="I137" s="35">
        <v>46237</v>
      </c>
      <c r="J137" s="35">
        <v>46240</v>
      </c>
      <c r="K137" s="36" t="s">
        <v>8</v>
      </c>
    </row>
    <row r="138" spans="4:11" ht="43.5" customHeight="1" x14ac:dyDescent="0.3">
      <c r="D138" s="30" t="s">
        <v>3167</v>
      </c>
      <c r="E138" s="62" t="s">
        <v>3168</v>
      </c>
      <c r="F138" s="32">
        <v>0</v>
      </c>
      <c r="G138" s="63" t="s">
        <v>3169</v>
      </c>
      <c r="H138" s="34" t="s">
        <v>193</v>
      </c>
      <c r="I138" s="35">
        <v>46237</v>
      </c>
      <c r="J138" s="35">
        <v>46240</v>
      </c>
      <c r="K138" s="36" t="s">
        <v>8</v>
      </c>
    </row>
    <row r="139" spans="4:11" ht="43.5" customHeight="1" x14ac:dyDescent="0.3">
      <c r="D139" s="30" t="s">
        <v>3170</v>
      </c>
      <c r="E139" s="62" t="s">
        <v>3171</v>
      </c>
      <c r="F139" s="32">
        <v>0</v>
      </c>
      <c r="G139" s="63" t="s">
        <v>3172</v>
      </c>
      <c r="H139" s="34" t="s">
        <v>2799</v>
      </c>
      <c r="I139" s="35">
        <v>46237</v>
      </c>
      <c r="J139" s="35">
        <v>46239</v>
      </c>
      <c r="K139" s="36" t="s">
        <v>8</v>
      </c>
    </row>
    <row r="140" spans="4:11" ht="43.5" customHeight="1" x14ac:dyDescent="0.3">
      <c r="D140" s="30" t="s">
        <v>3173</v>
      </c>
      <c r="E140" s="62" t="s">
        <v>3174</v>
      </c>
      <c r="F140" s="32">
        <v>0</v>
      </c>
      <c r="G140" s="63" t="s">
        <v>3175</v>
      </c>
      <c r="H140" s="34" t="s">
        <v>193</v>
      </c>
      <c r="I140" s="35">
        <v>46239</v>
      </c>
      <c r="J140" s="35">
        <v>46245</v>
      </c>
      <c r="K140" s="36" t="s">
        <v>8</v>
      </c>
    </row>
    <row r="141" spans="4:11" ht="43.5" customHeight="1" x14ac:dyDescent="0.3">
      <c r="D141" s="30" t="s">
        <v>3176</v>
      </c>
      <c r="E141" s="62" t="s">
        <v>3177</v>
      </c>
      <c r="F141" s="32">
        <v>0</v>
      </c>
      <c r="G141" s="63" t="s">
        <v>3178</v>
      </c>
      <c r="H141" s="34" t="s">
        <v>2678</v>
      </c>
      <c r="I141" s="35">
        <v>46240</v>
      </c>
      <c r="J141" s="35">
        <v>46245</v>
      </c>
      <c r="K141" s="36" t="s">
        <v>8</v>
      </c>
    </row>
    <row r="142" spans="4:11" ht="43.5" customHeight="1" x14ac:dyDescent="0.3">
      <c r="D142" s="30" t="s">
        <v>3179</v>
      </c>
      <c r="E142" s="62" t="s">
        <v>3180</v>
      </c>
      <c r="F142" s="32">
        <v>0</v>
      </c>
      <c r="G142" s="63" t="s">
        <v>3181</v>
      </c>
      <c r="H142" s="34" t="s">
        <v>193</v>
      </c>
      <c r="I142" s="35">
        <v>46240</v>
      </c>
      <c r="J142" s="35">
        <v>46244</v>
      </c>
      <c r="K142" s="36" t="s">
        <v>8</v>
      </c>
    </row>
    <row r="143" spans="4:11" ht="43.5" customHeight="1" x14ac:dyDescent="0.3">
      <c r="D143" s="30" t="s">
        <v>3182</v>
      </c>
      <c r="E143" s="62" t="s">
        <v>3183</v>
      </c>
      <c r="F143" s="32">
        <v>0</v>
      </c>
      <c r="G143" s="63" t="s">
        <v>3184</v>
      </c>
      <c r="H143" s="34" t="s">
        <v>2678</v>
      </c>
      <c r="I143" s="35">
        <v>46240</v>
      </c>
      <c r="J143" s="35">
        <v>46244</v>
      </c>
      <c r="K143" s="36" t="s">
        <v>8</v>
      </c>
    </row>
    <row r="144" spans="4:11" ht="43.5" customHeight="1" x14ac:dyDescent="0.3">
      <c r="D144" s="30" t="s">
        <v>3185</v>
      </c>
      <c r="E144" s="62" t="s">
        <v>3186</v>
      </c>
      <c r="F144" s="32">
        <v>0</v>
      </c>
      <c r="G144" s="63" t="s">
        <v>3187</v>
      </c>
      <c r="H144" s="34" t="s">
        <v>2840</v>
      </c>
      <c r="I144" s="35">
        <v>46240</v>
      </c>
      <c r="J144" s="35">
        <v>46244</v>
      </c>
      <c r="K144" s="36" t="s">
        <v>8</v>
      </c>
    </row>
    <row r="145" spans="4:11" ht="43.5" customHeight="1" x14ac:dyDescent="0.3">
      <c r="D145" s="30" t="s">
        <v>3188</v>
      </c>
      <c r="E145" s="62" t="s">
        <v>3189</v>
      </c>
      <c r="F145" s="32">
        <v>0</v>
      </c>
      <c r="G145" s="63" t="s">
        <v>3190</v>
      </c>
      <c r="H145" s="34" t="s">
        <v>193</v>
      </c>
      <c r="I145" s="35">
        <v>46242</v>
      </c>
      <c r="J145" s="35"/>
      <c r="K145" s="36" t="s">
        <v>7</v>
      </c>
    </row>
    <row r="146" spans="4:11" ht="43.5" customHeight="1" x14ac:dyDescent="0.3">
      <c r="D146" s="30" t="s">
        <v>3191</v>
      </c>
      <c r="E146" s="62" t="s">
        <v>3192</v>
      </c>
      <c r="F146" s="32">
        <v>0</v>
      </c>
      <c r="G146" s="63" t="s">
        <v>3193</v>
      </c>
      <c r="H146" s="34" t="s">
        <v>193</v>
      </c>
      <c r="I146" s="35">
        <v>46242</v>
      </c>
      <c r="J146" s="35">
        <v>46246</v>
      </c>
      <c r="K146" s="36" t="s">
        <v>8</v>
      </c>
    </row>
    <row r="147" spans="4:11" ht="43.5" customHeight="1" x14ac:dyDescent="0.3">
      <c r="D147" s="30" t="s">
        <v>3194</v>
      </c>
      <c r="E147" s="62" t="s">
        <v>3195</v>
      </c>
      <c r="F147" s="32">
        <v>0</v>
      </c>
      <c r="G147" s="63" t="s">
        <v>3196</v>
      </c>
      <c r="H147" s="34" t="s">
        <v>2964</v>
      </c>
      <c r="I147" s="35">
        <v>46242</v>
      </c>
      <c r="J147" s="35">
        <v>46244</v>
      </c>
      <c r="K147" s="36" t="s">
        <v>8</v>
      </c>
    </row>
    <row r="148" spans="4:11" ht="43.5" customHeight="1" x14ac:dyDescent="0.3">
      <c r="D148" s="30" t="s">
        <v>3197</v>
      </c>
      <c r="E148" s="62" t="s">
        <v>3198</v>
      </c>
      <c r="F148" s="32">
        <v>0</v>
      </c>
      <c r="G148" s="63" t="s">
        <v>3199</v>
      </c>
      <c r="H148" s="34" t="s">
        <v>2964</v>
      </c>
      <c r="I148" s="35">
        <v>46242</v>
      </c>
      <c r="J148" s="35">
        <v>46245</v>
      </c>
      <c r="K148" s="36" t="s">
        <v>8</v>
      </c>
    </row>
    <row r="149" spans="4:11" ht="43.5" customHeight="1" x14ac:dyDescent="0.3">
      <c r="D149" s="30" t="s">
        <v>3200</v>
      </c>
      <c r="E149" s="62" t="s">
        <v>3201</v>
      </c>
      <c r="F149" s="32">
        <v>0</v>
      </c>
      <c r="G149" s="63" t="s">
        <v>3202</v>
      </c>
      <c r="H149" s="34" t="s">
        <v>2818</v>
      </c>
      <c r="I149" s="35">
        <v>46243</v>
      </c>
      <c r="J149" s="35">
        <v>46244</v>
      </c>
      <c r="K149" s="36" t="s">
        <v>8</v>
      </c>
    </row>
    <row r="150" spans="4:11" ht="43.5" customHeight="1" x14ac:dyDescent="0.3">
      <c r="D150" s="30" t="s">
        <v>3203</v>
      </c>
      <c r="E150" s="62" t="s">
        <v>3204</v>
      </c>
      <c r="F150" s="32">
        <v>0</v>
      </c>
      <c r="G150" s="63" t="s">
        <v>3205</v>
      </c>
      <c r="H150" s="34" t="s">
        <v>2818</v>
      </c>
      <c r="I150" s="35">
        <v>46243</v>
      </c>
      <c r="J150" s="35">
        <v>46244</v>
      </c>
      <c r="K150" s="36" t="s">
        <v>8</v>
      </c>
    </row>
    <row r="151" spans="4:11" ht="43.5" customHeight="1" x14ac:dyDescent="0.3">
      <c r="D151" s="30" t="s">
        <v>3206</v>
      </c>
      <c r="E151" s="62" t="s">
        <v>3207</v>
      </c>
      <c r="F151" s="32">
        <v>0</v>
      </c>
      <c r="G151" s="63" t="s">
        <v>3208</v>
      </c>
      <c r="H151" s="34" t="s">
        <v>3209</v>
      </c>
      <c r="I151" s="35">
        <v>46244</v>
      </c>
      <c r="J151" s="35">
        <v>46251</v>
      </c>
      <c r="K151" s="36" t="s">
        <v>8</v>
      </c>
    </row>
    <row r="152" spans="4:11" ht="43.5" customHeight="1" x14ac:dyDescent="0.3">
      <c r="D152" s="30" t="s">
        <v>3210</v>
      </c>
      <c r="E152" s="62" t="s">
        <v>3211</v>
      </c>
      <c r="F152" s="32">
        <v>0</v>
      </c>
      <c r="G152" s="63" t="s">
        <v>3208</v>
      </c>
      <c r="H152" s="34" t="s">
        <v>3209</v>
      </c>
      <c r="I152" s="35">
        <v>46244</v>
      </c>
      <c r="J152" s="35">
        <v>46245</v>
      </c>
      <c r="K152" s="36" t="s">
        <v>8</v>
      </c>
    </row>
    <row r="153" spans="4:11" ht="43.5" customHeight="1" x14ac:dyDescent="0.3">
      <c r="D153" s="30" t="s">
        <v>3212</v>
      </c>
      <c r="E153" s="62" t="s">
        <v>3213</v>
      </c>
      <c r="F153" s="32">
        <v>0</v>
      </c>
      <c r="G153" s="63" t="s">
        <v>3214</v>
      </c>
      <c r="H153" s="34" t="s">
        <v>2614</v>
      </c>
      <c r="I153" s="35">
        <v>46244</v>
      </c>
      <c r="J153" s="35">
        <v>46247</v>
      </c>
      <c r="K153" s="36" t="s">
        <v>8</v>
      </c>
    </row>
    <row r="154" spans="4:11" ht="43.5" customHeight="1" x14ac:dyDescent="0.3">
      <c r="D154" s="30" t="s">
        <v>3215</v>
      </c>
      <c r="E154" s="62" t="s">
        <v>3216</v>
      </c>
      <c r="F154" s="32">
        <v>0</v>
      </c>
      <c r="G154" s="63" t="s">
        <v>3214</v>
      </c>
      <c r="H154" s="34" t="s">
        <v>2614</v>
      </c>
      <c r="I154" s="35">
        <v>46244</v>
      </c>
      <c r="J154" s="35">
        <v>46246</v>
      </c>
      <c r="K154" s="36" t="s">
        <v>8</v>
      </c>
    </row>
    <row r="155" spans="4:11" ht="43.5" customHeight="1" x14ac:dyDescent="0.3">
      <c r="D155" s="30" t="s">
        <v>3217</v>
      </c>
      <c r="E155" s="62" t="s">
        <v>3218</v>
      </c>
      <c r="F155" s="32">
        <v>0</v>
      </c>
      <c r="G155" s="63" t="s">
        <v>3219</v>
      </c>
      <c r="H155" s="34" t="s">
        <v>54</v>
      </c>
      <c r="I155" s="35">
        <v>46245</v>
      </c>
      <c r="J155" s="35">
        <v>46245</v>
      </c>
      <c r="K155" s="36" t="s">
        <v>8</v>
      </c>
    </row>
    <row r="156" spans="4:11" ht="43.5" customHeight="1" x14ac:dyDescent="0.3">
      <c r="D156" s="30" t="s">
        <v>3220</v>
      </c>
      <c r="E156" s="62" t="s">
        <v>3221</v>
      </c>
      <c r="F156" s="32">
        <v>0</v>
      </c>
      <c r="G156" s="63" t="s">
        <v>3222</v>
      </c>
      <c r="H156" s="34" t="s">
        <v>3223</v>
      </c>
      <c r="I156" s="35">
        <v>46245</v>
      </c>
      <c r="J156" s="35">
        <v>46251</v>
      </c>
      <c r="K156" s="36" t="s">
        <v>8</v>
      </c>
    </row>
    <row r="157" spans="4:11" ht="43.5" customHeight="1" x14ac:dyDescent="0.3">
      <c r="D157" s="30" t="s">
        <v>3224</v>
      </c>
      <c r="E157" s="62" t="s">
        <v>3225</v>
      </c>
      <c r="F157" s="32">
        <v>0</v>
      </c>
      <c r="G157" s="63" t="s">
        <v>3226</v>
      </c>
      <c r="H157" s="34" t="s">
        <v>193</v>
      </c>
      <c r="I157" s="35">
        <v>46246</v>
      </c>
      <c r="J157" s="35">
        <v>46253</v>
      </c>
      <c r="K157" s="36" t="s">
        <v>8</v>
      </c>
    </row>
    <row r="158" spans="4:11" ht="43.5" customHeight="1" x14ac:dyDescent="0.3">
      <c r="D158" s="30" t="s">
        <v>3227</v>
      </c>
      <c r="E158" s="62" t="s">
        <v>3228</v>
      </c>
      <c r="F158" s="32">
        <v>0</v>
      </c>
      <c r="G158" s="63" t="s">
        <v>3229</v>
      </c>
      <c r="H158" s="34" t="s">
        <v>2799</v>
      </c>
      <c r="I158" s="35">
        <v>46246</v>
      </c>
      <c r="J158" s="35">
        <v>46247</v>
      </c>
      <c r="K158" s="36" t="s">
        <v>8</v>
      </c>
    </row>
    <row r="159" spans="4:11" ht="43.5" customHeight="1" x14ac:dyDescent="0.3">
      <c r="D159" s="30" t="s">
        <v>3230</v>
      </c>
      <c r="E159" s="62" t="s">
        <v>3231</v>
      </c>
      <c r="F159" s="32">
        <v>0</v>
      </c>
      <c r="G159" s="63" t="s">
        <v>3232</v>
      </c>
      <c r="H159" s="34" t="s">
        <v>3223</v>
      </c>
      <c r="I159" s="35">
        <v>46247</v>
      </c>
      <c r="J159" s="35">
        <v>46251</v>
      </c>
      <c r="K159" s="36" t="s">
        <v>8</v>
      </c>
    </row>
    <row r="160" spans="4:11" ht="43.5" customHeight="1" x14ac:dyDescent="0.3">
      <c r="D160" s="30" t="s">
        <v>3233</v>
      </c>
      <c r="E160" s="62" t="s">
        <v>3234</v>
      </c>
      <c r="F160" s="32">
        <v>0</v>
      </c>
      <c r="G160" s="63" t="s">
        <v>3235</v>
      </c>
      <c r="H160" s="34" t="s">
        <v>3223</v>
      </c>
      <c r="I160" s="35">
        <v>46247</v>
      </c>
      <c r="J160" s="35">
        <v>46251</v>
      </c>
      <c r="K160" s="36" t="s">
        <v>8</v>
      </c>
    </row>
    <row r="161" spans="4:11" ht="43.5" customHeight="1" x14ac:dyDescent="0.3">
      <c r="D161" s="30" t="s">
        <v>3236</v>
      </c>
      <c r="E161" s="62" t="s">
        <v>3237</v>
      </c>
      <c r="F161" s="32">
        <v>0</v>
      </c>
      <c r="G161" s="63" t="s">
        <v>3238</v>
      </c>
      <c r="H161" s="34" t="s">
        <v>36</v>
      </c>
      <c r="I161" s="35">
        <v>46247</v>
      </c>
      <c r="J161" s="35">
        <v>46251</v>
      </c>
      <c r="K161" s="36" t="s">
        <v>8</v>
      </c>
    </row>
    <row r="162" spans="4:11" ht="43.5" customHeight="1" x14ac:dyDescent="0.3">
      <c r="D162" s="30" t="s">
        <v>3239</v>
      </c>
      <c r="E162" s="62" t="s">
        <v>3240</v>
      </c>
      <c r="F162" s="32">
        <v>0</v>
      </c>
      <c r="G162" s="63" t="s">
        <v>3241</v>
      </c>
      <c r="H162" s="34" t="s">
        <v>193</v>
      </c>
      <c r="I162" s="35">
        <v>46247</v>
      </c>
      <c r="J162" s="35">
        <v>46256</v>
      </c>
      <c r="K162" s="36" t="s">
        <v>8</v>
      </c>
    </row>
    <row r="163" spans="4:11" ht="43.5" customHeight="1" x14ac:dyDescent="0.3">
      <c r="D163" s="30" t="s">
        <v>3242</v>
      </c>
      <c r="E163" s="62" t="s">
        <v>3243</v>
      </c>
      <c r="F163" s="32">
        <v>0</v>
      </c>
      <c r="G163" s="63" t="s">
        <v>3244</v>
      </c>
      <c r="H163" s="34" t="s">
        <v>2799</v>
      </c>
      <c r="I163" s="35">
        <v>46251</v>
      </c>
      <c r="J163" s="35">
        <v>46253</v>
      </c>
      <c r="K163" s="36" t="s">
        <v>8</v>
      </c>
    </row>
    <row r="164" spans="4:11" ht="43.5" customHeight="1" x14ac:dyDescent="0.3">
      <c r="D164" s="30" t="s">
        <v>3245</v>
      </c>
      <c r="E164" s="62" t="s">
        <v>3246</v>
      </c>
      <c r="F164" s="32">
        <v>0</v>
      </c>
      <c r="G164" s="63" t="s">
        <v>3247</v>
      </c>
      <c r="H164" s="34" t="s">
        <v>3223</v>
      </c>
      <c r="I164" s="35">
        <v>46251</v>
      </c>
      <c r="J164" s="35">
        <v>46258</v>
      </c>
      <c r="K164" s="36" t="s">
        <v>8</v>
      </c>
    </row>
    <row r="165" spans="4:11" ht="43.5" customHeight="1" x14ac:dyDescent="0.3">
      <c r="D165" s="30" t="s">
        <v>3248</v>
      </c>
      <c r="E165" s="62" t="s">
        <v>3249</v>
      </c>
      <c r="F165" s="32">
        <v>0</v>
      </c>
      <c r="G165" s="63" t="s">
        <v>3250</v>
      </c>
      <c r="H165" s="34" t="s">
        <v>193</v>
      </c>
      <c r="I165" s="35">
        <v>46251</v>
      </c>
      <c r="J165" s="35">
        <v>46253</v>
      </c>
      <c r="K165" s="36" t="s">
        <v>8</v>
      </c>
    </row>
    <row r="166" spans="4:11" ht="43.5" customHeight="1" x14ac:dyDescent="0.3">
      <c r="D166" s="30" t="s">
        <v>3251</v>
      </c>
      <c r="E166" s="62" t="s">
        <v>3252</v>
      </c>
      <c r="F166" s="32">
        <v>0</v>
      </c>
      <c r="G166" s="63" t="s">
        <v>3253</v>
      </c>
      <c r="H166" s="34" t="s">
        <v>193</v>
      </c>
      <c r="I166" s="35">
        <v>46251</v>
      </c>
      <c r="J166" s="35">
        <v>46253</v>
      </c>
      <c r="K166" s="36" t="s">
        <v>8</v>
      </c>
    </row>
    <row r="167" spans="4:11" ht="43.5" customHeight="1" x14ac:dyDescent="0.3">
      <c r="D167" s="30" t="s">
        <v>3254</v>
      </c>
      <c r="E167" s="62" t="s">
        <v>3255</v>
      </c>
      <c r="F167" s="32">
        <v>0</v>
      </c>
      <c r="G167" s="63" t="s">
        <v>3256</v>
      </c>
      <c r="H167" s="34" t="s">
        <v>2799</v>
      </c>
      <c r="I167" s="35">
        <v>46251</v>
      </c>
      <c r="J167" s="35">
        <v>46257</v>
      </c>
      <c r="K167" s="36" t="s">
        <v>8</v>
      </c>
    </row>
    <row r="168" spans="4:11" ht="43.5" customHeight="1" x14ac:dyDescent="0.3">
      <c r="D168" s="30" t="s">
        <v>3257</v>
      </c>
      <c r="E168" s="62" t="s">
        <v>3258</v>
      </c>
      <c r="F168" s="32">
        <v>0</v>
      </c>
      <c r="G168" s="63" t="s">
        <v>3259</v>
      </c>
      <c r="H168" s="34" t="s">
        <v>3260</v>
      </c>
      <c r="I168" s="35">
        <v>46252</v>
      </c>
      <c r="J168" s="35">
        <v>46257</v>
      </c>
      <c r="K168" s="36" t="s">
        <v>8</v>
      </c>
    </row>
    <row r="169" spans="4:11" ht="43.5" customHeight="1" x14ac:dyDescent="0.3">
      <c r="D169" s="30" t="s">
        <v>3261</v>
      </c>
      <c r="E169" s="62" t="s">
        <v>3262</v>
      </c>
      <c r="F169" s="32">
        <v>0</v>
      </c>
      <c r="G169" s="63" t="s">
        <v>3263</v>
      </c>
      <c r="H169" s="34" t="s">
        <v>50</v>
      </c>
      <c r="I169" s="35">
        <v>46252</v>
      </c>
      <c r="J169" s="35">
        <v>46257</v>
      </c>
      <c r="K169" s="36" t="s">
        <v>8</v>
      </c>
    </row>
    <row r="170" spans="4:11" ht="43.5" customHeight="1" x14ac:dyDescent="0.3">
      <c r="D170" s="30" t="s">
        <v>3264</v>
      </c>
      <c r="E170" s="62" t="s">
        <v>3265</v>
      </c>
      <c r="F170" s="32">
        <v>0</v>
      </c>
      <c r="G170" s="63" t="s">
        <v>3266</v>
      </c>
      <c r="H170" s="34" t="s">
        <v>3260</v>
      </c>
      <c r="I170" s="35">
        <v>46252</v>
      </c>
      <c r="J170" s="35">
        <v>46258</v>
      </c>
      <c r="K170" s="36" t="s">
        <v>8</v>
      </c>
    </row>
    <row r="171" spans="4:11" ht="43.5" customHeight="1" x14ac:dyDescent="0.3">
      <c r="D171" s="30" t="s">
        <v>3267</v>
      </c>
      <c r="E171" s="62"/>
      <c r="F171" s="32">
        <v>0</v>
      </c>
      <c r="G171" s="63" t="s">
        <v>3268</v>
      </c>
      <c r="H171" s="34" t="s">
        <v>193</v>
      </c>
      <c r="I171" s="35">
        <v>46252</v>
      </c>
      <c r="J171" s="35">
        <v>46298</v>
      </c>
      <c r="K171" s="36" t="s">
        <v>8</v>
      </c>
    </row>
    <row r="172" spans="4:11" ht="43.5" customHeight="1" x14ac:dyDescent="0.3">
      <c r="D172" s="30" t="s">
        <v>3269</v>
      </c>
      <c r="E172" s="62" t="s">
        <v>3270</v>
      </c>
      <c r="F172" s="32">
        <v>0</v>
      </c>
      <c r="G172" s="63" t="s">
        <v>3271</v>
      </c>
      <c r="H172" s="34" t="s">
        <v>3223</v>
      </c>
      <c r="I172" s="35">
        <v>46252</v>
      </c>
      <c r="J172" s="35">
        <v>46258</v>
      </c>
      <c r="K172" s="36" t="s">
        <v>8</v>
      </c>
    </row>
    <row r="173" spans="4:11" ht="43.5" customHeight="1" x14ac:dyDescent="0.3">
      <c r="D173" s="30" t="s">
        <v>3272</v>
      </c>
      <c r="E173" s="62" t="s">
        <v>3273</v>
      </c>
      <c r="F173" s="32">
        <v>0</v>
      </c>
      <c r="G173" s="63" t="s">
        <v>3274</v>
      </c>
      <c r="H173" s="34" t="s">
        <v>3260</v>
      </c>
      <c r="I173" s="35">
        <v>46252</v>
      </c>
      <c r="J173" s="35">
        <v>46258</v>
      </c>
      <c r="K173" s="36" t="s">
        <v>8</v>
      </c>
    </row>
    <row r="174" spans="4:11" ht="43.5" customHeight="1" x14ac:dyDescent="0.3">
      <c r="D174" s="30" t="s">
        <v>3275</v>
      </c>
      <c r="E174" s="62" t="s">
        <v>3276</v>
      </c>
      <c r="F174" s="32">
        <v>0</v>
      </c>
      <c r="G174" s="63" t="s">
        <v>3277</v>
      </c>
      <c r="H174" s="34" t="s">
        <v>2799</v>
      </c>
      <c r="I174" s="35">
        <v>46252</v>
      </c>
      <c r="J174" s="35">
        <v>46257</v>
      </c>
      <c r="K174" s="36" t="s">
        <v>8</v>
      </c>
    </row>
    <row r="175" spans="4:11" ht="43.5" customHeight="1" x14ac:dyDescent="0.3">
      <c r="D175" s="30" t="s">
        <v>3278</v>
      </c>
      <c r="E175" s="62" t="s">
        <v>3279</v>
      </c>
      <c r="F175" s="32">
        <v>0</v>
      </c>
      <c r="G175" s="63" t="s">
        <v>3280</v>
      </c>
      <c r="H175" s="34" t="s">
        <v>36</v>
      </c>
      <c r="I175" s="35">
        <v>46252</v>
      </c>
      <c r="J175" s="35">
        <v>46258</v>
      </c>
      <c r="K175" s="36" t="s">
        <v>8</v>
      </c>
    </row>
    <row r="176" spans="4:11" ht="43.5" customHeight="1" x14ac:dyDescent="0.3">
      <c r="D176" s="30" t="s">
        <v>3281</v>
      </c>
      <c r="E176" s="62" t="s">
        <v>3282</v>
      </c>
      <c r="F176" s="32">
        <v>0</v>
      </c>
      <c r="G176" s="63" t="s">
        <v>3283</v>
      </c>
      <c r="H176" s="34" t="s">
        <v>3223</v>
      </c>
      <c r="I176" s="35">
        <v>46253</v>
      </c>
      <c r="J176" s="35">
        <v>46258</v>
      </c>
      <c r="K176" s="36" t="s">
        <v>8</v>
      </c>
    </row>
    <row r="177" spans="4:11" ht="43.5" customHeight="1" x14ac:dyDescent="0.3">
      <c r="D177" s="30" t="s">
        <v>3284</v>
      </c>
      <c r="E177" s="62" t="s">
        <v>3285</v>
      </c>
      <c r="F177" s="32">
        <v>0</v>
      </c>
      <c r="G177" s="63" t="s">
        <v>3286</v>
      </c>
      <c r="H177" s="34" t="s">
        <v>3260</v>
      </c>
      <c r="I177" s="35">
        <v>46253</v>
      </c>
      <c r="J177" s="35">
        <v>46258</v>
      </c>
      <c r="K177" s="36" t="s">
        <v>8</v>
      </c>
    </row>
    <row r="178" spans="4:11" ht="43.5" customHeight="1" x14ac:dyDescent="0.3">
      <c r="D178" s="30" t="s">
        <v>3287</v>
      </c>
      <c r="E178" s="62" t="s">
        <v>3288</v>
      </c>
      <c r="F178" s="32">
        <v>0</v>
      </c>
      <c r="G178" s="63" t="s">
        <v>3289</v>
      </c>
      <c r="H178" s="34" t="s">
        <v>3290</v>
      </c>
      <c r="I178" s="35">
        <v>46253</v>
      </c>
      <c r="J178" s="35">
        <v>46258</v>
      </c>
      <c r="K178" s="36" t="s">
        <v>8</v>
      </c>
    </row>
    <row r="179" spans="4:11" ht="43.5" customHeight="1" x14ac:dyDescent="0.3">
      <c r="D179" s="30" t="s">
        <v>3291</v>
      </c>
      <c r="E179" s="62" t="s">
        <v>3292</v>
      </c>
      <c r="F179" s="32">
        <v>0</v>
      </c>
      <c r="G179" s="63" t="s">
        <v>3293</v>
      </c>
      <c r="H179" s="34" t="s">
        <v>3260</v>
      </c>
      <c r="I179" s="35">
        <v>46253</v>
      </c>
      <c r="J179" s="35">
        <v>46258</v>
      </c>
      <c r="K179" s="36" t="s">
        <v>8</v>
      </c>
    </row>
    <row r="180" spans="4:11" ht="43.5" customHeight="1" x14ac:dyDescent="0.3">
      <c r="D180" s="30" t="s">
        <v>3294</v>
      </c>
      <c r="E180" s="62" t="s">
        <v>3295</v>
      </c>
      <c r="F180" s="32">
        <v>0</v>
      </c>
      <c r="G180" s="63" t="s">
        <v>3296</v>
      </c>
      <c r="H180" s="34" t="s">
        <v>3260</v>
      </c>
      <c r="I180" s="35">
        <v>46253</v>
      </c>
      <c r="J180" s="35">
        <v>46259</v>
      </c>
      <c r="K180" s="36" t="s">
        <v>8</v>
      </c>
    </row>
    <row r="181" spans="4:11" ht="43.5" customHeight="1" x14ac:dyDescent="0.3">
      <c r="D181" s="30" t="s">
        <v>3297</v>
      </c>
      <c r="E181" s="62" t="s">
        <v>3298</v>
      </c>
      <c r="F181" s="32">
        <v>0</v>
      </c>
      <c r="G181" s="63" t="s">
        <v>3299</v>
      </c>
      <c r="H181" s="34" t="s">
        <v>193</v>
      </c>
      <c r="I181" s="35">
        <v>46253</v>
      </c>
      <c r="J181" s="35">
        <v>46257</v>
      </c>
      <c r="K181" s="36" t="s">
        <v>8</v>
      </c>
    </row>
    <row r="182" spans="4:11" ht="43.5" customHeight="1" x14ac:dyDescent="0.3">
      <c r="D182" s="30" t="s">
        <v>3300</v>
      </c>
      <c r="E182" s="62" t="s">
        <v>3301</v>
      </c>
      <c r="F182" s="32">
        <v>0</v>
      </c>
      <c r="G182" s="63" t="s">
        <v>3302</v>
      </c>
      <c r="H182" s="34" t="s">
        <v>3223</v>
      </c>
      <c r="I182" s="35">
        <v>46253</v>
      </c>
      <c r="J182" s="35">
        <v>46264</v>
      </c>
      <c r="K182" s="36" t="s">
        <v>8</v>
      </c>
    </row>
    <row r="183" spans="4:11" ht="43.5" customHeight="1" x14ac:dyDescent="0.3">
      <c r="D183" s="30" t="s">
        <v>3303</v>
      </c>
      <c r="E183" s="62" t="s">
        <v>3304</v>
      </c>
      <c r="F183" s="32">
        <v>0</v>
      </c>
      <c r="G183" s="63" t="s">
        <v>3305</v>
      </c>
      <c r="H183" s="34" t="s">
        <v>3260</v>
      </c>
      <c r="I183" s="35">
        <v>46253</v>
      </c>
      <c r="J183" s="35">
        <v>46259</v>
      </c>
      <c r="K183" s="36" t="s">
        <v>8</v>
      </c>
    </row>
    <row r="184" spans="4:11" ht="43.5" customHeight="1" x14ac:dyDescent="0.3">
      <c r="D184" s="30" t="s">
        <v>3306</v>
      </c>
      <c r="E184" s="62" t="s">
        <v>3307</v>
      </c>
      <c r="F184" s="32">
        <v>0</v>
      </c>
      <c r="G184" s="63" t="s">
        <v>3308</v>
      </c>
      <c r="H184" s="34" t="s">
        <v>3223</v>
      </c>
      <c r="I184" s="35">
        <v>46253</v>
      </c>
      <c r="J184" s="35">
        <v>46259</v>
      </c>
      <c r="K184" s="36" t="s">
        <v>8</v>
      </c>
    </row>
    <row r="185" spans="4:11" ht="43.5" customHeight="1" x14ac:dyDescent="0.3">
      <c r="D185" s="30" t="s">
        <v>3309</v>
      </c>
      <c r="E185" s="62" t="s">
        <v>3310</v>
      </c>
      <c r="F185" s="32">
        <v>0</v>
      </c>
      <c r="G185" s="63" t="s">
        <v>3311</v>
      </c>
      <c r="H185" s="34" t="s">
        <v>3260</v>
      </c>
      <c r="I185" s="35">
        <v>46254</v>
      </c>
      <c r="J185" s="35">
        <v>46259</v>
      </c>
      <c r="K185" s="36" t="s">
        <v>8</v>
      </c>
    </row>
    <row r="186" spans="4:11" ht="43.5" customHeight="1" x14ac:dyDescent="0.3">
      <c r="D186" s="30" t="s">
        <v>3312</v>
      </c>
      <c r="E186" s="62" t="s">
        <v>3313</v>
      </c>
      <c r="F186" s="32">
        <v>0</v>
      </c>
      <c r="G186" s="63" t="s">
        <v>3314</v>
      </c>
      <c r="H186" s="34" t="s">
        <v>3223</v>
      </c>
      <c r="I186" s="35">
        <v>46254</v>
      </c>
      <c r="J186" s="35">
        <v>46259</v>
      </c>
      <c r="K186" s="36" t="s">
        <v>8</v>
      </c>
    </row>
    <row r="187" spans="4:11" ht="43.5" customHeight="1" x14ac:dyDescent="0.3">
      <c r="D187" s="30" t="s">
        <v>3315</v>
      </c>
      <c r="E187" s="62" t="s">
        <v>3316</v>
      </c>
      <c r="F187" s="32">
        <v>0</v>
      </c>
      <c r="G187" s="63" t="s">
        <v>3317</v>
      </c>
      <c r="H187" s="34" t="s">
        <v>3260</v>
      </c>
      <c r="I187" s="35">
        <v>46254</v>
      </c>
      <c r="J187" s="35">
        <v>46264</v>
      </c>
      <c r="K187" s="36" t="s">
        <v>8</v>
      </c>
    </row>
    <row r="188" spans="4:11" ht="43.5" customHeight="1" x14ac:dyDescent="0.3">
      <c r="D188" s="30" t="s">
        <v>3318</v>
      </c>
      <c r="E188" s="62" t="s">
        <v>3319</v>
      </c>
      <c r="F188" s="32">
        <v>0</v>
      </c>
      <c r="G188" s="63" t="s">
        <v>3320</v>
      </c>
      <c r="H188" s="34" t="s">
        <v>3209</v>
      </c>
      <c r="I188" s="35">
        <v>46254</v>
      </c>
      <c r="J188" s="35">
        <v>46259</v>
      </c>
      <c r="K188" s="36" t="s">
        <v>8</v>
      </c>
    </row>
    <row r="189" spans="4:11" ht="43.5" customHeight="1" x14ac:dyDescent="0.3">
      <c r="D189" s="30" t="s">
        <v>3321</v>
      </c>
      <c r="E189" s="62" t="s">
        <v>3322</v>
      </c>
      <c r="F189" s="32">
        <v>0</v>
      </c>
      <c r="G189" s="63" t="s">
        <v>3323</v>
      </c>
      <c r="H189" s="34" t="s">
        <v>193</v>
      </c>
      <c r="I189" s="35">
        <v>46254</v>
      </c>
      <c r="J189" s="35">
        <v>46259</v>
      </c>
      <c r="K189" s="36" t="s">
        <v>8</v>
      </c>
    </row>
    <row r="190" spans="4:11" ht="43.5" customHeight="1" x14ac:dyDescent="0.3">
      <c r="D190" s="30" t="s">
        <v>3324</v>
      </c>
      <c r="E190" s="62" t="s">
        <v>3325</v>
      </c>
      <c r="F190" s="32">
        <v>0</v>
      </c>
      <c r="G190" s="63" t="s">
        <v>3326</v>
      </c>
      <c r="H190" s="34" t="s">
        <v>193</v>
      </c>
      <c r="I190" s="35">
        <v>46254</v>
      </c>
      <c r="J190" s="35">
        <v>46260</v>
      </c>
      <c r="K190" s="36" t="s">
        <v>8</v>
      </c>
    </row>
    <row r="191" spans="4:11" ht="43.5" customHeight="1" x14ac:dyDescent="0.3">
      <c r="D191" s="30" t="s">
        <v>3327</v>
      </c>
      <c r="E191" s="62" t="s">
        <v>3328</v>
      </c>
      <c r="F191" s="32">
        <v>0</v>
      </c>
      <c r="G191" s="63" t="s">
        <v>3329</v>
      </c>
      <c r="H191" s="34" t="s">
        <v>193</v>
      </c>
      <c r="I191" s="35">
        <v>46254</v>
      </c>
      <c r="J191" s="35">
        <v>46259</v>
      </c>
      <c r="K191" s="36" t="s">
        <v>8</v>
      </c>
    </row>
    <row r="192" spans="4:11" ht="43.5" customHeight="1" x14ac:dyDescent="0.3">
      <c r="D192" s="30" t="s">
        <v>3330</v>
      </c>
      <c r="E192" s="62" t="s">
        <v>3331</v>
      </c>
      <c r="F192" s="32">
        <v>0</v>
      </c>
      <c r="G192" s="63" t="s">
        <v>3332</v>
      </c>
      <c r="H192" s="34" t="s">
        <v>193</v>
      </c>
      <c r="I192" s="35">
        <v>46254</v>
      </c>
      <c r="J192" s="35">
        <v>46259</v>
      </c>
      <c r="K192" s="36" t="s">
        <v>8</v>
      </c>
    </row>
    <row r="193" spans="4:11" ht="43.5" customHeight="1" x14ac:dyDescent="0.3">
      <c r="D193" s="30" t="s">
        <v>3333</v>
      </c>
      <c r="E193" s="62" t="s">
        <v>3334</v>
      </c>
      <c r="F193" s="32">
        <v>0</v>
      </c>
      <c r="G193" s="63" t="s">
        <v>3335</v>
      </c>
      <c r="H193" s="34" t="s">
        <v>3260</v>
      </c>
      <c r="I193" s="35">
        <v>46256</v>
      </c>
      <c r="J193" s="35">
        <v>46260</v>
      </c>
      <c r="K193" s="36" t="s">
        <v>8</v>
      </c>
    </row>
    <row r="194" spans="4:11" ht="43.5" customHeight="1" x14ac:dyDescent="0.3">
      <c r="D194" s="30" t="s">
        <v>3336</v>
      </c>
      <c r="E194" s="62" t="s">
        <v>3337</v>
      </c>
      <c r="F194" s="32">
        <v>0</v>
      </c>
      <c r="G194" s="63" t="s">
        <v>3338</v>
      </c>
      <c r="H194" s="34" t="s">
        <v>193</v>
      </c>
      <c r="I194" s="35">
        <v>46257</v>
      </c>
      <c r="J194" s="35">
        <v>46264</v>
      </c>
      <c r="K194" s="36" t="s">
        <v>8</v>
      </c>
    </row>
    <row r="195" spans="4:11" ht="43.5" customHeight="1" x14ac:dyDescent="0.3">
      <c r="D195" s="30" t="s">
        <v>3339</v>
      </c>
      <c r="E195" s="62" t="s">
        <v>3340</v>
      </c>
      <c r="F195" s="32">
        <v>0</v>
      </c>
      <c r="G195" s="63" t="s">
        <v>3341</v>
      </c>
      <c r="H195" s="34" t="s">
        <v>29</v>
      </c>
      <c r="I195" s="35">
        <v>46257</v>
      </c>
      <c r="J195" s="35">
        <v>46264</v>
      </c>
      <c r="K195" s="36" t="s">
        <v>8</v>
      </c>
    </row>
    <row r="196" spans="4:11" ht="43.5" customHeight="1" x14ac:dyDescent="0.3">
      <c r="D196" s="30" t="s">
        <v>3342</v>
      </c>
      <c r="E196" s="62" t="s">
        <v>3343</v>
      </c>
      <c r="F196" s="32">
        <v>0</v>
      </c>
      <c r="G196" s="63" t="s">
        <v>3344</v>
      </c>
      <c r="H196" s="34" t="s">
        <v>50</v>
      </c>
      <c r="I196" s="35">
        <v>46257</v>
      </c>
      <c r="J196" s="35">
        <v>46265</v>
      </c>
      <c r="K196" s="36" t="s">
        <v>8</v>
      </c>
    </row>
    <row r="197" spans="4:11" ht="43.5" customHeight="1" x14ac:dyDescent="0.3">
      <c r="D197" s="30" t="s">
        <v>3345</v>
      </c>
      <c r="E197" s="62" t="s">
        <v>3346</v>
      </c>
      <c r="F197" s="32">
        <v>0</v>
      </c>
      <c r="G197" s="63" t="s">
        <v>3347</v>
      </c>
      <c r="H197" s="34" t="s">
        <v>3260</v>
      </c>
      <c r="I197" s="35">
        <v>46257</v>
      </c>
      <c r="J197" s="35">
        <v>46267</v>
      </c>
      <c r="K197" s="36" t="s">
        <v>8</v>
      </c>
    </row>
    <row r="198" spans="4:11" ht="43.5" customHeight="1" x14ac:dyDescent="0.3">
      <c r="D198" s="30" t="s">
        <v>3348</v>
      </c>
      <c r="E198" s="62" t="s">
        <v>3349</v>
      </c>
      <c r="F198" s="32">
        <v>0</v>
      </c>
      <c r="G198" s="63" t="s">
        <v>3350</v>
      </c>
      <c r="H198" s="34" t="s">
        <v>3260</v>
      </c>
      <c r="I198" s="35">
        <v>46258</v>
      </c>
      <c r="J198" s="35">
        <v>46264</v>
      </c>
      <c r="K198" s="36" t="s">
        <v>8</v>
      </c>
    </row>
    <row r="199" spans="4:11" ht="43.5" customHeight="1" x14ac:dyDescent="0.3">
      <c r="D199" s="30" t="s">
        <v>3351</v>
      </c>
      <c r="E199" s="62" t="s">
        <v>3352</v>
      </c>
      <c r="F199" s="32">
        <v>0</v>
      </c>
      <c r="G199" s="63" t="s">
        <v>3353</v>
      </c>
      <c r="H199" s="34" t="s">
        <v>3290</v>
      </c>
      <c r="I199" s="35">
        <v>46258</v>
      </c>
      <c r="J199" s="35">
        <v>46260</v>
      </c>
      <c r="K199" s="36" t="s">
        <v>8</v>
      </c>
    </row>
    <row r="200" spans="4:11" ht="43.5" customHeight="1" x14ac:dyDescent="0.3">
      <c r="D200" s="30" t="s">
        <v>3354</v>
      </c>
      <c r="E200" s="62" t="s">
        <v>3355</v>
      </c>
      <c r="F200" s="32">
        <v>0</v>
      </c>
      <c r="G200" s="63" t="s">
        <v>3356</v>
      </c>
      <c r="H200" s="34" t="s">
        <v>3260</v>
      </c>
      <c r="I200" s="35">
        <v>46258</v>
      </c>
      <c r="J200" s="35">
        <v>46264</v>
      </c>
      <c r="K200" s="36" t="s">
        <v>8</v>
      </c>
    </row>
    <row r="201" spans="4:11" ht="43.5" customHeight="1" x14ac:dyDescent="0.3">
      <c r="D201" s="30" t="s">
        <v>3357</v>
      </c>
      <c r="E201" s="62" t="s">
        <v>3358</v>
      </c>
      <c r="F201" s="32">
        <v>0</v>
      </c>
      <c r="G201" s="63" t="s">
        <v>3359</v>
      </c>
      <c r="H201" s="34" t="s">
        <v>3260</v>
      </c>
      <c r="I201" s="35">
        <v>46258</v>
      </c>
      <c r="J201" s="35">
        <v>46264</v>
      </c>
      <c r="K201" s="36" t="s">
        <v>8</v>
      </c>
    </row>
    <row r="202" spans="4:11" ht="43.5" customHeight="1" x14ac:dyDescent="0.3">
      <c r="D202" s="30" t="s">
        <v>3360</v>
      </c>
      <c r="E202" s="62" t="s">
        <v>3361</v>
      </c>
      <c r="F202" s="32">
        <v>0</v>
      </c>
      <c r="G202" s="63" t="s">
        <v>3362</v>
      </c>
      <c r="H202" s="34" t="s">
        <v>3260</v>
      </c>
      <c r="I202" s="35">
        <v>46258</v>
      </c>
      <c r="J202" s="35">
        <v>46264</v>
      </c>
      <c r="K202" s="36" t="s">
        <v>8</v>
      </c>
    </row>
    <row r="203" spans="4:11" ht="43.5" customHeight="1" x14ac:dyDescent="0.3">
      <c r="D203" s="30" t="s">
        <v>3363</v>
      </c>
      <c r="E203" s="62" t="s">
        <v>3364</v>
      </c>
      <c r="F203" s="32">
        <v>0</v>
      </c>
      <c r="G203" s="63" t="s">
        <v>3365</v>
      </c>
      <c r="H203" s="34" t="s">
        <v>3260</v>
      </c>
      <c r="I203" s="35">
        <v>46259</v>
      </c>
      <c r="J203" s="35">
        <v>46265</v>
      </c>
      <c r="K203" s="36" t="s">
        <v>8</v>
      </c>
    </row>
    <row r="204" spans="4:11" ht="43.5" customHeight="1" x14ac:dyDescent="0.3">
      <c r="D204" s="30" t="s">
        <v>3366</v>
      </c>
      <c r="E204" s="62" t="s">
        <v>3367</v>
      </c>
      <c r="F204" s="32">
        <v>0</v>
      </c>
      <c r="G204" s="63" t="s">
        <v>3368</v>
      </c>
      <c r="H204" s="34" t="s">
        <v>54</v>
      </c>
      <c r="I204" s="35">
        <v>46259</v>
      </c>
      <c r="J204" s="35">
        <v>46264</v>
      </c>
      <c r="K204" s="36" t="s">
        <v>8</v>
      </c>
    </row>
    <row r="205" spans="4:11" ht="43.5" customHeight="1" x14ac:dyDescent="0.3">
      <c r="D205" s="30" t="s">
        <v>3369</v>
      </c>
      <c r="E205" s="62" t="s">
        <v>3370</v>
      </c>
      <c r="F205" s="32">
        <v>0</v>
      </c>
      <c r="G205" s="63" t="s">
        <v>3371</v>
      </c>
      <c r="H205" s="34" t="s">
        <v>54</v>
      </c>
      <c r="I205" s="35">
        <v>46259</v>
      </c>
      <c r="J205" s="35">
        <v>46264</v>
      </c>
      <c r="K205" s="36" t="s">
        <v>8</v>
      </c>
    </row>
    <row r="206" spans="4:11" ht="43.5" customHeight="1" x14ac:dyDescent="0.3">
      <c r="D206" s="30" t="s">
        <v>3372</v>
      </c>
      <c r="E206" s="62" t="s">
        <v>3373</v>
      </c>
      <c r="F206" s="32">
        <v>0</v>
      </c>
      <c r="G206" s="63" t="s">
        <v>3374</v>
      </c>
      <c r="H206" s="34" t="s">
        <v>54</v>
      </c>
      <c r="I206" s="35">
        <v>46259</v>
      </c>
      <c r="J206" s="35">
        <v>46264</v>
      </c>
      <c r="K206" s="36" t="s">
        <v>8</v>
      </c>
    </row>
    <row r="207" spans="4:11" ht="43.5" customHeight="1" x14ac:dyDescent="0.3">
      <c r="D207" s="30" t="s">
        <v>3375</v>
      </c>
      <c r="E207" s="62" t="s">
        <v>3376</v>
      </c>
      <c r="F207" s="32">
        <v>0</v>
      </c>
      <c r="G207" s="63" t="s">
        <v>3377</v>
      </c>
      <c r="H207" s="34" t="s">
        <v>2799</v>
      </c>
      <c r="I207" s="35">
        <v>46259</v>
      </c>
      <c r="J207" s="35">
        <v>46264</v>
      </c>
      <c r="K207" s="36" t="s">
        <v>8</v>
      </c>
    </row>
    <row r="208" spans="4:11" ht="43.5" customHeight="1" x14ac:dyDescent="0.3">
      <c r="D208" s="30" t="s">
        <v>3378</v>
      </c>
      <c r="E208" s="62" t="s">
        <v>3379</v>
      </c>
      <c r="F208" s="32">
        <v>0</v>
      </c>
      <c r="G208" s="63" t="s">
        <v>3380</v>
      </c>
      <c r="H208" s="34" t="s">
        <v>193</v>
      </c>
      <c r="I208" s="35">
        <v>46260</v>
      </c>
      <c r="J208" s="35">
        <v>46271</v>
      </c>
      <c r="K208" s="36" t="s">
        <v>8</v>
      </c>
    </row>
    <row r="209" spans="4:11" ht="43.5" customHeight="1" x14ac:dyDescent="0.3">
      <c r="D209" s="30" t="s">
        <v>3381</v>
      </c>
      <c r="E209" s="62" t="s">
        <v>3382</v>
      </c>
      <c r="F209" s="32">
        <v>0</v>
      </c>
      <c r="G209" s="63" t="s">
        <v>3383</v>
      </c>
      <c r="H209" s="34" t="s">
        <v>2799</v>
      </c>
      <c r="I209" s="35">
        <v>46260</v>
      </c>
      <c r="J209" s="35">
        <v>46264</v>
      </c>
      <c r="K209" s="36" t="s">
        <v>8</v>
      </c>
    </row>
    <row r="210" spans="4:11" ht="43.5" customHeight="1" x14ac:dyDescent="0.3">
      <c r="D210" s="30" t="s">
        <v>3384</v>
      </c>
      <c r="E210" s="62" t="s">
        <v>3385</v>
      </c>
      <c r="F210" s="32">
        <v>0</v>
      </c>
      <c r="G210" s="63" t="s">
        <v>3386</v>
      </c>
      <c r="H210" s="34" t="s">
        <v>3223</v>
      </c>
      <c r="I210" s="35">
        <v>46260</v>
      </c>
      <c r="J210" s="35">
        <v>46265</v>
      </c>
      <c r="K210" s="36" t="s">
        <v>8</v>
      </c>
    </row>
    <row r="211" spans="4:11" ht="43.5" customHeight="1" x14ac:dyDescent="0.3">
      <c r="D211" s="30" t="s">
        <v>3387</v>
      </c>
      <c r="E211" s="62" t="s">
        <v>3388</v>
      </c>
      <c r="F211" s="32">
        <v>0</v>
      </c>
      <c r="G211" s="63" t="s">
        <v>3389</v>
      </c>
      <c r="H211" s="34" t="s">
        <v>193</v>
      </c>
      <c r="I211" s="35">
        <v>46260</v>
      </c>
      <c r="J211" s="35">
        <v>46265</v>
      </c>
      <c r="K211" s="36" t="s">
        <v>8</v>
      </c>
    </row>
    <row r="212" spans="4:11" ht="43.5" customHeight="1" x14ac:dyDescent="0.3">
      <c r="D212" s="30" t="s">
        <v>3390</v>
      </c>
      <c r="E212" s="62" t="s">
        <v>3391</v>
      </c>
      <c r="F212" s="32">
        <v>0</v>
      </c>
      <c r="G212" s="63" t="s">
        <v>3392</v>
      </c>
      <c r="H212" s="34" t="s">
        <v>193</v>
      </c>
      <c r="I212" s="35">
        <v>46263</v>
      </c>
      <c r="J212" s="35">
        <v>46264</v>
      </c>
      <c r="K212" s="36" t="s">
        <v>8</v>
      </c>
    </row>
    <row r="213" spans="4:11" ht="43.5" customHeight="1" x14ac:dyDescent="0.3">
      <c r="D213" s="30" t="s">
        <v>3393</v>
      </c>
      <c r="E213" s="62" t="s">
        <v>3394</v>
      </c>
      <c r="F213" s="32">
        <v>0</v>
      </c>
      <c r="G213" s="63" t="s">
        <v>3395</v>
      </c>
      <c r="H213" s="34" t="s">
        <v>54</v>
      </c>
      <c r="I213" s="35">
        <v>46263</v>
      </c>
      <c r="J213" s="35">
        <v>46264</v>
      </c>
      <c r="K213" s="36" t="s">
        <v>8</v>
      </c>
    </row>
    <row r="214" spans="4:11" ht="43.5" customHeight="1" x14ac:dyDescent="0.3">
      <c r="D214" s="30" t="s">
        <v>3396</v>
      </c>
      <c r="E214" s="62" t="s">
        <v>3397</v>
      </c>
      <c r="F214" s="32">
        <v>0</v>
      </c>
      <c r="G214" s="63" t="s">
        <v>3398</v>
      </c>
      <c r="H214" s="34" t="s">
        <v>54</v>
      </c>
      <c r="I214" s="35">
        <v>46263</v>
      </c>
      <c r="J214" s="35">
        <v>46264</v>
      </c>
      <c r="K214" s="36" t="s">
        <v>8</v>
      </c>
    </row>
    <row r="215" spans="4:11" ht="43.5" customHeight="1" x14ac:dyDescent="0.3">
      <c r="D215" s="30" t="s">
        <v>3399</v>
      </c>
      <c r="E215" s="62" t="s">
        <v>3400</v>
      </c>
      <c r="F215" s="32">
        <v>0</v>
      </c>
      <c r="G215" s="63" t="s">
        <v>3401</v>
      </c>
      <c r="H215" s="34" t="s">
        <v>2818</v>
      </c>
      <c r="I215" s="35">
        <v>46264</v>
      </c>
      <c r="J215" s="35">
        <v>46264</v>
      </c>
      <c r="K215" s="36" t="s">
        <v>8</v>
      </c>
    </row>
    <row r="216" spans="4:11" ht="43.5" customHeight="1" x14ac:dyDescent="0.3">
      <c r="D216" s="30" t="s">
        <v>3402</v>
      </c>
      <c r="E216" s="62" t="s">
        <v>3403</v>
      </c>
      <c r="F216" s="32">
        <v>0</v>
      </c>
      <c r="G216" s="63" t="s">
        <v>3404</v>
      </c>
      <c r="H216" s="34" t="s">
        <v>2818</v>
      </c>
      <c r="I216" s="35">
        <v>46264</v>
      </c>
      <c r="J216" s="35">
        <v>46268</v>
      </c>
      <c r="K216" s="36" t="s">
        <v>8</v>
      </c>
    </row>
    <row r="217" spans="4:11" ht="43.5" customHeight="1" x14ac:dyDescent="0.3">
      <c r="D217" s="30" t="s">
        <v>3405</v>
      </c>
      <c r="E217" s="62" t="s">
        <v>3406</v>
      </c>
      <c r="F217" s="32">
        <v>0</v>
      </c>
      <c r="G217" s="63" t="s">
        <v>3407</v>
      </c>
      <c r="H217" s="34" t="s">
        <v>3290</v>
      </c>
      <c r="I217" s="35">
        <v>46264</v>
      </c>
      <c r="J217" s="35">
        <v>46268</v>
      </c>
      <c r="K217" s="36" t="s">
        <v>8</v>
      </c>
    </row>
    <row r="218" spans="4:11" ht="43.5" customHeight="1" x14ac:dyDescent="0.3">
      <c r="D218" s="30" t="s">
        <v>3408</v>
      </c>
      <c r="E218" s="62" t="s">
        <v>3409</v>
      </c>
      <c r="F218" s="32">
        <v>0</v>
      </c>
      <c r="G218" s="63" t="s">
        <v>3410</v>
      </c>
      <c r="H218" s="34" t="s">
        <v>3290</v>
      </c>
      <c r="I218" s="35">
        <v>46265</v>
      </c>
      <c r="J218" s="35">
        <v>46268</v>
      </c>
      <c r="K218" s="36" t="s">
        <v>8</v>
      </c>
    </row>
    <row r="219" spans="4:11" ht="43.5" customHeight="1" x14ac:dyDescent="0.3">
      <c r="D219" s="30" t="s">
        <v>3411</v>
      </c>
      <c r="E219" s="62" t="s">
        <v>3412</v>
      </c>
      <c r="F219" s="32">
        <v>0</v>
      </c>
      <c r="G219" s="63" t="s">
        <v>3413</v>
      </c>
      <c r="H219" s="34" t="s">
        <v>3260</v>
      </c>
      <c r="I219" s="35">
        <v>46265</v>
      </c>
      <c r="J219" s="35">
        <v>46268</v>
      </c>
      <c r="K219" s="36" t="s">
        <v>8</v>
      </c>
    </row>
    <row r="220" spans="4:11" ht="43.5" customHeight="1" x14ac:dyDescent="0.3">
      <c r="D220" s="30" t="s">
        <v>3414</v>
      </c>
      <c r="E220" s="62" t="s">
        <v>3415</v>
      </c>
      <c r="F220" s="32">
        <v>0</v>
      </c>
      <c r="G220" s="63" t="s">
        <v>3416</v>
      </c>
      <c r="H220" s="34" t="s">
        <v>2799</v>
      </c>
      <c r="I220" s="35">
        <v>46265</v>
      </c>
      <c r="J220" s="35">
        <v>46271</v>
      </c>
      <c r="K220" s="36" t="s">
        <v>8</v>
      </c>
    </row>
    <row r="221" spans="4:11" ht="43.5" customHeight="1" x14ac:dyDescent="0.3">
      <c r="D221" s="30" t="s">
        <v>3417</v>
      </c>
      <c r="E221" s="62" t="s">
        <v>3418</v>
      </c>
      <c r="F221" s="32">
        <v>0</v>
      </c>
      <c r="G221" s="63" t="s">
        <v>3419</v>
      </c>
      <c r="H221" s="34" t="s">
        <v>3223</v>
      </c>
      <c r="I221" s="35">
        <v>46265</v>
      </c>
      <c r="J221" s="35">
        <v>46268</v>
      </c>
      <c r="K221" s="36" t="s">
        <v>8</v>
      </c>
    </row>
    <row r="222" spans="4:11" ht="43.5" customHeight="1" x14ac:dyDescent="0.3">
      <c r="D222" s="30" t="s">
        <v>3420</v>
      </c>
      <c r="E222" s="62" t="s">
        <v>3421</v>
      </c>
      <c r="F222" s="32">
        <v>0</v>
      </c>
      <c r="G222" s="63" t="s">
        <v>3422</v>
      </c>
      <c r="H222" s="34" t="s">
        <v>2799</v>
      </c>
      <c r="I222" s="35">
        <v>46265</v>
      </c>
      <c r="J222" s="35">
        <v>46271</v>
      </c>
      <c r="K222" s="36" t="s">
        <v>8</v>
      </c>
    </row>
    <row r="223" spans="4:11" ht="43.5" customHeight="1" x14ac:dyDescent="0.3">
      <c r="D223" s="30" t="s">
        <v>3423</v>
      </c>
      <c r="E223" s="62" t="s">
        <v>3424</v>
      </c>
      <c r="F223" s="32">
        <v>0</v>
      </c>
      <c r="G223" s="63" t="s">
        <v>3425</v>
      </c>
      <c r="H223" s="34" t="s">
        <v>36</v>
      </c>
      <c r="I223" s="35">
        <v>46266</v>
      </c>
      <c r="J223" s="35">
        <v>46272</v>
      </c>
      <c r="K223" s="36" t="s">
        <v>8</v>
      </c>
    </row>
    <row r="224" spans="4:11" ht="43.5" customHeight="1" x14ac:dyDescent="0.3">
      <c r="D224" s="30" t="s">
        <v>3426</v>
      </c>
      <c r="E224" s="62" t="s">
        <v>3427</v>
      </c>
      <c r="F224" s="32">
        <v>0</v>
      </c>
      <c r="G224" s="63" t="s">
        <v>3428</v>
      </c>
      <c r="H224" s="34" t="s">
        <v>193</v>
      </c>
      <c r="I224" s="35">
        <v>46266</v>
      </c>
      <c r="J224" s="35">
        <v>46273</v>
      </c>
      <c r="K224" s="36" t="s">
        <v>8</v>
      </c>
    </row>
    <row r="225" spans="4:11" ht="43.5" customHeight="1" x14ac:dyDescent="0.3">
      <c r="D225" s="30" t="s">
        <v>3429</v>
      </c>
      <c r="E225" s="62" t="s">
        <v>3430</v>
      </c>
      <c r="F225" s="32">
        <v>0</v>
      </c>
      <c r="G225" s="63" t="s">
        <v>3431</v>
      </c>
      <c r="H225" s="34" t="s">
        <v>3223</v>
      </c>
      <c r="I225" s="35">
        <v>46266</v>
      </c>
      <c r="J225" s="35">
        <v>46272</v>
      </c>
      <c r="K225" s="36" t="s">
        <v>8</v>
      </c>
    </row>
    <row r="226" spans="4:11" ht="43.5" customHeight="1" x14ac:dyDescent="0.3">
      <c r="D226" s="30" t="s">
        <v>3432</v>
      </c>
      <c r="E226" s="62" t="s">
        <v>3433</v>
      </c>
      <c r="F226" s="32">
        <v>0</v>
      </c>
      <c r="G226" s="63" t="s">
        <v>3434</v>
      </c>
      <c r="H226" s="34" t="s">
        <v>2818</v>
      </c>
      <c r="I226" s="35">
        <v>46266</v>
      </c>
      <c r="J226" s="35">
        <v>46268</v>
      </c>
      <c r="K226" s="36" t="s">
        <v>8</v>
      </c>
    </row>
    <row r="227" spans="4:11" ht="43.5" customHeight="1" x14ac:dyDescent="0.3">
      <c r="D227" s="30" t="s">
        <v>3435</v>
      </c>
      <c r="E227" s="62" t="s">
        <v>3436</v>
      </c>
      <c r="F227" s="32">
        <v>0</v>
      </c>
      <c r="G227" s="63" t="s">
        <v>3437</v>
      </c>
      <c r="H227" s="34" t="s">
        <v>2818</v>
      </c>
      <c r="I227" s="35">
        <v>46267</v>
      </c>
      <c r="J227" s="35">
        <v>46273</v>
      </c>
      <c r="K227" s="36" t="s">
        <v>8</v>
      </c>
    </row>
    <row r="228" spans="4:11" ht="43.5" customHeight="1" x14ac:dyDescent="0.3">
      <c r="D228" s="30" t="s">
        <v>3438</v>
      </c>
      <c r="E228" s="62" t="s">
        <v>3439</v>
      </c>
      <c r="F228" s="32">
        <v>0</v>
      </c>
      <c r="G228" s="63" t="s">
        <v>3440</v>
      </c>
      <c r="H228" s="34" t="s">
        <v>36</v>
      </c>
      <c r="I228" s="35">
        <v>46267</v>
      </c>
      <c r="J228" s="35">
        <v>46272</v>
      </c>
      <c r="K228" s="36" t="s">
        <v>8</v>
      </c>
    </row>
    <row r="229" spans="4:11" ht="43.5" customHeight="1" x14ac:dyDescent="0.3">
      <c r="D229" s="30" t="s">
        <v>3441</v>
      </c>
      <c r="E229" s="62" t="s">
        <v>3442</v>
      </c>
      <c r="F229" s="32">
        <v>0</v>
      </c>
      <c r="G229" s="63" t="s">
        <v>3443</v>
      </c>
      <c r="H229" s="34" t="s">
        <v>193</v>
      </c>
      <c r="I229" s="35">
        <v>46267</v>
      </c>
      <c r="J229" s="35">
        <v>46273</v>
      </c>
      <c r="K229" s="36" t="s">
        <v>8</v>
      </c>
    </row>
    <row r="230" spans="4:11" ht="43.5" customHeight="1" x14ac:dyDescent="0.3">
      <c r="D230" s="30" t="s">
        <v>3444</v>
      </c>
      <c r="E230" s="62" t="s">
        <v>3445</v>
      </c>
      <c r="F230" s="32">
        <v>0</v>
      </c>
      <c r="G230" s="63" t="s">
        <v>3446</v>
      </c>
      <c r="H230" s="34" t="s">
        <v>2799</v>
      </c>
      <c r="I230" s="35">
        <v>46270</v>
      </c>
      <c r="J230" s="35">
        <v>46274</v>
      </c>
      <c r="K230" s="36" t="s">
        <v>8</v>
      </c>
    </row>
    <row r="231" spans="4:11" ht="43.5" customHeight="1" x14ac:dyDescent="0.3">
      <c r="D231" s="30" t="s">
        <v>3447</v>
      </c>
      <c r="E231" s="62" t="s">
        <v>3448</v>
      </c>
      <c r="F231" s="32">
        <v>0</v>
      </c>
      <c r="G231" s="63" t="s">
        <v>3449</v>
      </c>
      <c r="H231" s="34" t="s">
        <v>2799</v>
      </c>
      <c r="I231" s="35">
        <v>46271</v>
      </c>
      <c r="J231" s="35">
        <v>46275</v>
      </c>
      <c r="K231" s="36" t="s">
        <v>8</v>
      </c>
    </row>
    <row r="232" spans="4:11" ht="43.5" customHeight="1" x14ac:dyDescent="0.3">
      <c r="D232" s="30" t="s">
        <v>3450</v>
      </c>
      <c r="E232" s="62" t="s">
        <v>3451</v>
      </c>
      <c r="F232" s="32">
        <v>0</v>
      </c>
      <c r="G232" s="63" t="s">
        <v>3452</v>
      </c>
      <c r="H232" s="34" t="s">
        <v>193</v>
      </c>
      <c r="I232" s="35">
        <v>46271</v>
      </c>
      <c r="J232" s="35">
        <v>46278</v>
      </c>
      <c r="K232" s="36" t="s">
        <v>8</v>
      </c>
    </row>
    <row r="233" spans="4:11" ht="43.5" customHeight="1" x14ac:dyDescent="0.3">
      <c r="D233" s="30" t="s">
        <v>3453</v>
      </c>
      <c r="E233" s="62" t="s">
        <v>3454</v>
      </c>
      <c r="F233" s="32">
        <v>0</v>
      </c>
      <c r="G233" s="63" t="s">
        <v>3455</v>
      </c>
      <c r="H233" s="34" t="s">
        <v>3223</v>
      </c>
      <c r="I233" s="35">
        <v>46271</v>
      </c>
      <c r="J233" s="35">
        <v>46275</v>
      </c>
      <c r="K233" s="36" t="s">
        <v>8</v>
      </c>
    </row>
    <row r="234" spans="4:11" ht="43.5" customHeight="1" x14ac:dyDescent="0.3">
      <c r="D234" s="30" t="s">
        <v>3456</v>
      </c>
      <c r="E234" s="62" t="s">
        <v>3457</v>
      </c>
      <c r="F234" s="32">
        <v>0</v>
      </c>
      <c r="G234" s="63" t="s">
        <v>3458</v>
      </c>
      <c r="H234" s="34" t="s">
        <v>3223</v>
      </c>
      <c r="I234" s="35">
        <v>46271</v>
      </c>
      <c r="J234" s="35">
        <v>46275</v>
      </c>
      <c r="K234" s="36" t="s">
        <v>8</v>
      </c>
    </row>
    <row r="235" spans="4:11" ht="43.5" customHeight="1" x14ac:dyDescent="0.3">
      <c r="D235" s="30" t="s">
        <v>3459</v>
      </c>
      <c r="E235" s="62" t="s">
        <v>3460</v>
      </c>
      <c r="F235" s="32">
        <v>0</v>
      </c>
      <c r="G235" s="63" t="s">
        <v>3461</v>
      </c>
      <c r="H235" s="34" t="s">
        <v>2818</v>
      </c>
      <c r="I235" s="35">
        <v>46271</v>
      </c>
      <c r="J235" s="35">
        <v>46274</v>
      </c>
      <c r="K235" s="36" t="s">
        <v>8</v>
      </c>
    </row>
    <row r="236" spans="4:11" ht="43.5" customHeight="1" x14ac:dyDescent="0.3">
      <c r="D236" s="30" t="s">
        <v>3462</v>
      </c>
      <c r="E236" s="62" t="s">
        <v>3463</v>
      </c>
      <c r="F236" s="32">
        <v>0</v>
      </c>
      <c r="G236" s="63" t="s">
        <v>3464</v>
      </c>
      <c r="H236" s="34" t="s">
        <v>3260</v>
      </c>
      <c r="I236" s="35">
        <v>46272</v>
      </c>
      <c r="J236" s="35">
        <v>46275</v>
      </c>
      <c r="K236" s="36" t="s">
        <v>8</v>
      </c>
    </row>
    <row r="237" spans="4:11" ht="43.5" customHeight="1" x14ac:dyDescent="0.3">
      <c r="D237" s="30" t="s">
        <v>3465</v>
      </c>
      <c r="E237" s="62" t="s">
        <v>3466</v>
      </c>
      <c r="F237" s="32">
        <v>0</v>
      </c>
      <c r="G237" s="63" t="s">
        <v>3467</v>
      </c>
      <c r="H237" s="34" t="s">
        <v>3290</v>
      </c>
      <c r="I237" s="35">
        <v>46272</v>
      </c>
      <c r="J237" s="35">
        <v>46274</v>
      </c>
      <c r="K237" s="36" t="s">
        <v>8</v>
      </c>
    </row>
    <row r="238" spans="4:11" ht="43.5" customHeight="1" x14ac:dyDescent="0.3">
      <c r="D238" s="30" t="s">
        <v>3468</v>
      </c>
      <c r="E238" s="62" t="s">
        <v>3469</v>
      </c>
      <c r="F238" s="32">
        <v>0</v>
      </c>
      <c r="G238" s="63" t="s">
        <v>3470</v>
      </c>
      <c r="H238" s="34" t="s">
        <v>3290</v>
      </c>
      <c r="I238" s="35">
        <v>46272</v>
      </c>
      <c r="J238" s="35">
        <v>46275</v>
      </c>
      <c r="K238" s="36" t="s">
        <v>8</v>
      </c>
    </row>
    <row r="239" spans="4:11" ht="43.5" customHeight="1" x14ac:dyDescent="0.3">
      <c r="D239" s="30" t="s">
        <v>3471</v>
      </c>
      <c r="E239" s="62" t="s">
        <v>3472</v>
      </c>
      <c r="F239" s="32">
        <v>0</v>
      </c>
      <c r="G239" s="63" t="s">
        <v>3473</v>
      </c>
      <c r="H239" s="34" t="s">
        <v>3290</v>
      </c>
      <c r="I239" s="35">
        <v>46273</v>
      </c>
      <c r="J239" s="35">
        <v>46275</v>
      </c>
      <c r="K239" s="36" t="s">
        <v>8</v>
      </c>
    </row>
    <row r="240" spans="4:11" ht="43.5" customHeight="1" x14ac:dyDescent="0.3">
      <c r="D240" s="30" t="s">
        <v>3474</v>
      </c>
      <c r="E240" s="62" t="s">
        <v>3475</v>
      </c>
      <c r="F240" s="32">
        <v>0</v>
      </c>
      <c r="G240" s="63" t="s">
        <v>3476</v>
      </c>
      <c r="H240" s="34" t="s">
        <v>3290</v>
      </c>
      <c r="I240" s="35">
        <v>46273</v>
      </c>
      <c r="J240" s="35">
        <v>46275</v>
      </c>
      <c r="K240" s="36" t="s">
        <v>8</v>
      </c>
    </row>
    <row r="241" spans="4:11" ht="43.5" customHeight="1" x14ac:dyDescent="0.3">
      <c r="D241" s="30" t="s">
        <v>3477</v>
      </c>
      <c r="E241" s="62" t="s">
        <v>3478</v>
      </c>
      <c r="F241" s="32">
        <v>0</v>
      </c>
      <c r="G241" s="63" t="s">
        <v>3479</v>
      </c>
      <c r="H241" s="34" t="s">
        <v>50</v>
      </c>
      <c r="I241" s="35">
        <v>46273</v>
      </c>
      <c r="J241" s="35">
        <v>46281</v>
      </c>
      <c r="K241" s="36" t="s">
        <v>8</v>
      </c>
    </row>
    <row r="242" spans="4:11" ht="43.5" customHeight="1" x14ac:dyDescent="0.3">
      <c r="D242" s="30" t="s">
        <v>3480</v>
      </c>
      <c r="E242" s="62" t="s">
        <v>3481</v>
      </c>
      <c r="F242" s="32">
        <v>0</v>
      </c>
      <c r="G242" s="63" t="s">
        <v>3479</v>
      </c>
      <c r="H242" s="34" t="s">
        <v>50</v>
      </c>
      <c r="I242" s="35">
        <v>46273</v>
      </c>
      <c r="J242" s="35">
        <v>46282</v>
      </c>
      <c r="K242" s="36" t="s">
        <v>8</v>
      </c>
    </row>
    <row r="243" spans="4:11" ht="43.5" customHeight="1" x14ac:dyDescent="0.3">
      <c r="D243" s="30" t="s">
        <v>3482</v>
      </c>
      <c r="E243" s="62" t="s">
        <v>3483</v>
      </c>
      <c r="F243" s="32">
        <v>0</v>
      </c>
      <c r="G243" s="63" t="s">
        <v>3484</v>
      </c>
      <c r="H243" s="34" t="s">
        <v>193</v>
      </c>
      <c r="I243" s="35">
        <v>46273</v>
      </c>
      <c r="J243" s="35">
        <v>46275</v>
      </c>
      <c r="K243" s="36" t="s">
        <v>8</v>
      </c>
    </row>
    <row r="244" spans="4:11" ht="43.5" customHeight="1" x14ac:dyDescent="0.3">
      <c r="D244" s="30" t="s">
        <v>3485</v>
      </c>
      <c r="E244" s="62" t="s">
        <v>3486</v>
      </c>
      <c r="F244" s="32">
        <v>0</v>
      </c>
      <c r="G244" s="63" t="s">
        <v>3487</v>
      </c>
      <c r="H244" s="34" t="s">
        <v>3290</v>
      </c>
      <c r="I244" s="35">
        <v>46273</v>
      </c>
      <c r="J244" s="35">
        <v>46280</v>
      </c>
      <c r="K244" s="36" t="s">
        <v>8</v>
      </c>
    </row>
    <row r="245" spans="4:11" ht="43.5" customHeight="1" x14ac:dyDescent="0.3">
      <c r="D245" s="30" t="s">
        <v>3488</v>
      </c>
      <c r="E245" s="62" t="s">
        <v>3489</v>
      </c>
      <c r="F245" s="32">
        <v>0</v>
      </c>
      <c r="G245" s="63" t="s">
        <v>3479</v>
      </c>
      <c r="H245" s="34" t="s">
        <v>50</v>
      </c>
      <c r="I245" s="35">
        <v>46274</v>
      </c>
      <c r="J245" s="35">
        <v>46281</v>
      </c>
      <c r="K245" s="36" t="s">
        <v>8</v>
      </c>
    </row>
    <row r="246" spans="4:11" ht="43.5" customHeight="1" x14ac:dyDescent="0.3">
      <c r="D246" s="30" t="s">
        <v>3490</v>
      </c>
      <c r="E246" s="62" t="s">
        <v>3491</v>
      </c>
      <c r="F246" s="32">
        <v>0</v>
      </c>
      <c r="G246" s="63" t="s">
        <v>3492</v>
      </c>
      <c r="H246" s="34" t="s">
        <v>3290</v>
      </c>
      <c r="I246" s="35">
        <v>46274</v>
      </c>
      <c r="J246" s="35">
        <v>46286</v>
      </c>
      <c r="K246" s="36" t="s">
        <v>8</v>
      </c>
    </row>
    <row r="247" spans="4:11" ht="43.5" customHeight="1" x14ac:dyDescent="0.3">
      <c r="D247" s="30" t="s">
        <v>3493</v>
      </c>
      <c r="E247" s="62" t="s">
        <v>3494</v>
      </c>
      <c r="F247" s="32">
        <v>0</v>
      </c>
      <c r="G247" s="63" t="s">
        <v>3495</v>
      </c>
      <c r="H247" s="34" t="s">
        <v>2964</v>
      </c>
      <c r="I247" s="35">
        <v>46274</v>
      </c>
      <c r="J247" s="35">
        <v>46279</v>
      </c>
      <c r="K247" s="36" t="s">
        <v>8</v>
      </c>
    </row>
    <row r="248" spans="4:11" ht="43.5" customHeight="1" x14ac:dyDescent="0.3">
      <c r="D248" s="30" t="s">
        <v>3496</v>
      </c>
      <c r="E248" s="62" t="s">
        <v>3497</v>
      </c>
      <c r="F248" s="32">
        <v>0</v>
      </c>
      <c r="G248" s="63" t="s">
        <v>3498</v>
      </c>
      <c r="H248" s="34" t="s">
        <v>2818</v>
      </c>
      <c r="I248" s="35">
        <v>46278</v>
      </c>
      <c r="J248" s="35">
        <v>46281</v>
      </c>
      <c r="K248" s="36" t="s">
        <v>8</v>
      </c>
    </row>
    <row r="249" spans="4:11" ht="43.5" customHeight="1" x14ac:dyDescent="0.3">
      <c r="D249" s="30" t="s">
        <v>3499</v>
      </c>
      <c r="E249" s="62" t="s">
        <v>3500</v>
      </c>
      <c r="F249" s="32">
        <v>0</v>
      </c>
      <c r="G249" s="63" t="s">
        <v>3501</v>
      </c>
      <c r="H249" s="34" t="s">
        <v>40</v>
      </c>
      <c r="I249" s="35">
        <v>46278</v>
      </c>
      <c r="J249" s="35">
        <v>46281</v>
      </c>
      <c r="K249" s="36" t="s">
        <v>8</v>
      </c>
    </row>
    <row r="250" spans="4:11" ht="43.5" customHeight="1" x14ac:dyDescent="0.3">
      <c r="D250" s="30" t="s">
        <v>3502</v>
      </c>
      <c r="E250" s="62" t="s">
        <v>3503</v>
      </c>
      <c r="F250" s="32">
        <v>0</v>
      </c>
      <c r="G250" s="63" t="s">
        <v>3504</v>
      </c>
      <c r="H250" s="34" t="s">
        <v>36</v>
      </c>
      <c r="I250" s="35">
        <v>46278</v>
      </c>
      <c r="J250" s="35">
        <v>46281</v>
      </c>
      <c r="K250" s="36" t="s">
        <v>8</v>
      </c>
    </row>
    <row r="251" spans="4:11" ht="43.5" customHeight="1" x14ac:dyDescent="0.3">
      <c r="D251" s="30" t="s">
        <v>3505</v>
      </c>
      <c r="E251" s="62" t="s">
        <v>3506</v>
      </c>
      <c r="F251" s="32">
        <v>0</v>
      </c>
      <c r="G251" s="63" t="s">
        <v>3507</v>
      </c>
      <c r="H251" s="34">
        <v>1028</v>
      </c>
      <c r="I251" s="35">
        <v>46278</v>
      </c>
      <c r="J251" s="35">
        <v>46281</v>
      </c>
      <c r="K251" s="36" t="s">
        <v>8</v>
      </c>
    </row>
    <row r="252" spans="4:11" ht="43.5" customHeight="1" x14ac:dyDescent="0.3">
      <c r="D252" s="30" t="s">
        <v>3508</v>
      </c>
      <c r="E252" s="62" t="s">
        <v>3509</v>
      </c>
      <c r="F252" s="32">
        <v>0</v>
      </c>
      <c r="G252" s="63" t="s">
        <v>3510</v>
      </c>
      <c r="H252" s="34" t="s">
        <v>193</v>
      </c>
      <c r="I252" s="35">
        <v>46278</v>
      </c>
      <c r="J252" s="35">
        <v>46288</v>
      </c>
      <c r="K252" s="36" t="s">
        <v>8</v>
      </c>
    </row>
    <row r="253" spans="4:11" ht="43.5" customHeight="1" x14ac:dyDescent="0.3">
      <c r="D253" s="30" t="s">
        <v>3511</v>
      </c>
      <c r="E253" s="62" t="s">
        <v>3512</v>
      </c>
      <c r="F253" s="32">
        <v>0</v>
      </c>
      <c r="G253" s="63" t="s">
        <v>3513</v>
      </c>
      <c r="H253" s="34" t="s">
        <v>193</v>
      </c>
      <c r="I253" s="35">
        <v>46279</v>
      </c>
      <c r="J253" s="35">
        <v>46286</v>
      </c>
      <c r="K253" s="36" t="s">
        <v>8</v>
      </c>
    </row>
    <row r="254" spans="4:11" ht="43.5" customHeight="1" x14ac:dyDescent="0.3">
      <c r="D254" s="30" t="s">
        <v>3514</v>
      </c>
      <c r="E254" s="62" t="s">
        <v>3515</v>
      </c>
      <c r="F254" s="32">
        <v>0</v>
      </c>
      <c r="G254" s="63" t="s">
        <v>3516</v>
      </c>
      <c r="H254" s="34" t="s">
        <v>193</v>
      </c>
      <c r="I254" s="35">
        <v>46279</v>
      </c>
      <c r="J254" s="35">
        <v>46286</v>
      </c>
      <c r="K254" s="36" t="s">
        <v>8</v>
      </c>
    </row>
    <row r="255" spans="4:11" ht="43.5" customHeight="1" x14ac:dyDescent="0.3">
      <c r="D255" s="30" t="s">
        <v>3517</v>
      </c>
      <c r="E255" s="62" t="s">
        <v>3518</v>
      </c>
      <c r="F255" s="32">
        <v>0</v>
      </c>
      <c r="G255" s="63" t="s">
        <v>3519</v>
      </c>
      <c r="H255" s="34" t="s">
        <v>193</v>
      </c>
      <c r="I255" s="35">
        <v>46279</v>
      </c>
      <c r="J255" s="35">
        <v>46286</v>
      </c>
      <c r="K255" s="36" t="s">
        <v>8</v>
      </c>
    </row>
    <row r="256" spans="4:11" ht="43.5" customHeight="1" x14ac:dyDescent="0.3">
      <c r="D256" s="30" t="s">
        <v>3520</v>
      </c>
      <c r="E256" s="62" t="s">
        <v>3521</v>
      </c>
      <c r="F256" s="32">
        <v>0</v>
      </c>
      <c r="G256" s="63" t="s">
        <v>3522</v>
      </c>
      <c r="H256" s="34" t="s">
        <v>193</v>
      </c>
      <c r="I256" s="35">
        <v>46279</v>
      </c>
      <c r="J256" s="35">
        <v>46286</v>
      </c>
      <c r="K256" s="36" t="s">
        <v>8</v>
      </c>
    </row>
    <row r="257" spans="4:11" ht="43.5" customHeight="1" x14ac:dyDescent="0.3">
      <c r="D257" s="30" t="s">
        <v>3523</v>
      </c>
      <c r="E257" s="62" t="s">
        <v>3524</v>
      </c>
      <c r="F257" s="32">
        <v>0</v>
      </c>
      <c r="G257" s="63" t="s">
        <v>3525</v>
      </c>
      <c r="H257" s="34">
        <v>1026</v>
      </c>
      <c r="I257" s="35">
        <v>46279</v>
      </c>
      <c r="J257" s="35">
        <v>46286</v>
      </c>
      <c r="K257" s="36" t="s">
        <v>8</v>
      </c>
    </row>
    <row r="258" spans="4:11" ht="43.5" customHeight="1" x14ac:dyDescent="0.3">
      <c r="D258" s="30" t="s">
        <v>3526</v>
      </c>
      <c r="E258" s="62" t="s">
        <v>3527</v>
      </c>
      <c r="F258" s="32">
        <v>0</v>
      </c>
      <c r="G258" s="63" t="s">
        <v>3528</v>
      </c>
      <c r="H258" s="34">
        <v>1026</v>
      </c>
      <c r="I258" s="35">
        <v>46279</v>
      </c>
      <c r="J258" s="35">
        <v>46286</v>
      </c>
      <c r="K258" s="36" t="s">
        <v>8</v>
      </c>
    </row>
    <row r="259" spans="4:11" ht="43.5" customHeight="1" x14ac:dyDescent="0.3">
      <c r="D259" s="30" t="s">
        <v>3529</v>
      </c>
      <c r="E259" s="62" t="s">
        <v>3530</v>
      </c>
      <c r="F259" s="32">
        <v>0</v>
      </c>
      <c r="G259" s="63" t="s">
        <v>3531</v>
      </c>
      <c r="H259" s="34">
        <v>1025</v>
      </c>
      <c r="I259" s="35">
        <v>46280</v>
      </c>
      <c r="J259" s="35">
        <v>46281</v>
      </c>
      <c r="K259" s="36" t="s">
        <v>8</v>
      </c>
    </row>
    <row r="260" spans="4:11" ht="43.5" customHeight="1" x14ac:dyDescent="0.3">
      <c r="D260" s="30" t="s">
        <v>3532</v>
      </c>
      <c r="E260" s="62" t="s">
        <v>3533</v>
      </c>
      <c r="F260" s="32">
        <v>0</v>
      </c>
      <c r="G260" s="63" t="s">
        <v>3534</v>
      </c>
      <c r="H260" s="34">
        <v>1025</v>
      </c>
      <c r="I260" s="35">
        <v>46280</v>
      </c>
      <c r="J260" s="35">
        <v>46286</v>
      </c>
      <c r="K260" s="36" t="s">
        <v>8</v>
      </c>
    </row>
    <row r="261" spans="4:11" ht="43.5" customHeight="1" x14ac:dyDescent="0.3">
      <c r="D261" s="30" t="s">
        <v>3535</v>
      </c>
      <c r="E261" s="62" t="s">
        <v>3536</v>
      </c>
      <c r="F261" s="32">
        <v>0</v>
      </c>
      <c r="G261" s="63" t="s">
        <v>3537</v>
      </c>
      <c r="H261" s="34">
        <v>1025</v>
      </c>
      <c r="I261" s="35">
        <v>46280</v>
      </c>
      <c r="J261" s="35">
        <v>46286</v>
      </c>
      <c r="K261" s="36" t="s">
        <v>8</v>
      </c>
    </row>
    <row r="262" spans="4:11" ht="43.5" customHeight="1" x14ac:dyDescent="0.3">
      <c r="D262" s="30" t="s">
        <v>3538</v>
      </c>
      <c r="E262" s="62" t="s">
        <v>3539</v>
      </c>
      <c r="F262" s="32">
        <v>0</v>
      </c>
      <c r="G262" s="63" t="s">
        <v>3540</v>
      </c>
      <c r="H262" s="34">
        <v>1025</v>
      </c>
      <c r="I262" s="35">
        <v>46280</v>
      </c>
      <c r="J262" s="35">
        <v>46286</v>
      </c>
      <c r="K262" s="36" t="s">
        <v>8</v>
      </c>
    </row>
    <row r="263" spans="4:11" ht="43.5" customHeight="1" x14ac:dyDescent="0.3">
      <c r="D263" s="30" t="s">
        <v>3541</v>
      </c>
      <c r="E263" s="62" t="s">
        <v>3542</v>
      </c>
      <c r="F263" s="32">
        <v>0</v>
      </c>
      <c r="G263" s="63" t="s">
        <v>3543</v>
      </c>
      <c r="H263" s="34">
        <v>1025</v>
      </c>
      <c r="I263" s="35">
        <v>46281</v>
      </c>
      <c r="J263" s="35">
        <v>46286</v>
      </c>
      <c r="K263" s="36" t="s">
        <v>8</v>
      </c>
    </row>
    <row r="264" spans="4:11" ht="43.5" customHeight="1" x14ac:dyDescent="0.3">
      <c r="D264" s="30" t="s">
        <v>3544</v>
      </c>
      <c r="E264" s="62" t="s">
        <v>3545</v>
      </c>
      <c r="F264" s="32">
        <v>0</v>
      </c>
      <c r="G264" s="63" t="s">
        <v>3546</v>
      </c>
      <c r="H264" s="34">
        <v>1022</v>
      </c>
      <c r="I264" s="35">
        <v>46281</v>
      </c>
      <c r="J264" s="35">
        <v>46285</v>
      </c>
      <c r="K264" s="36" t="s">
        <v>8</v>
      </c>
    </row>
    <row r="265" spans="4:11" ht="43.5" customHeight="1" x14ac:dyDescent="0.3">
      <c r="D265" s="30" t="s">
        <v>3547</v>
      </c>
      <c r="E265" s="62" t="s">
        <v>3548</v>
      </c>
      <c r="F265" s="32">
        <v>0</v>
      </c>
      <c r="G265" s="63" t="s">
        <v>3549</v>
      </c>
      <c r="H265" s="34">
        <v>1046</v>
      </c>
      <c r="I265" s="35">
        <v>46281</v>
      </c>
      <c r="J265" s="35">
        <v>46286</v>
      </c>
      <c r="K265" s="36" t="s">
        <v>8</v>
      </c>
    </row>
    <row r="266" spans="4:11" ht="43.5" customHeight="1" x14ac:dyDescent="0.3">
      <c r="D266" s="30" t="s">
        <v>3550</v>
      </c>
      <c r="E266" s="62" t="s">
        <v>3551</v>
      </c>
      <c r="F266" s="32">
        <v>0</v>
      </c>
      <c r="G266" s="63" t="s">
        <v>3552</v>
      </c>
      <c r="H266" s="34">
        <v>1028</v>
      </c>
      <c r="I266" s="35">
        <v>46281</v>
      </c>
      <c r="J266" s="35">
        <v>46286</v>
      </c>
      <c r="K266" s="36" t="s">
        <v>8</v>
      </c>
    </row>
    <row r="267" spans="4:11" ht="43.5" customHeight="1" x14ac:dyDescent="0.3">
      <c r="D267" s="30" t="s">
        <v>3553</v>
      </c>
      <c r="E267" s="62" t="s">
        <v>3554</v>
      </c>
      <c r="F267" s="32">
        <v>0</v>
      </c>
      <c r="G267" s="63" t="s">
        <v>3555</v>
      </c>
      <c r="H267" s="34">
        <v>1028</v>
      </c>
      <c r="I267" s="35">
        <v>46281</v>
      </c>
      <c r="J267" s="35">
        <v>46286</v>
      </c>
      <c r="K267" s="36" t="s">
        <v>8</v>
      </c>
    </row>
    <row r="268" spans="4:11" ht="43.5" customHeight="1" x14ac:dyDescent="0.3">
      <c r="D268" s="30" t="s">
        <v>3556</v>
      </c>
      <c r="E268" s="62" t="s">
        <v>3557</v>
      </c>
      <c r="F268" s="32">
        <v>0</v>
      </c>
      <c r="G268" s="63" t="s">
        <v>3558</v>
      </c>
      <c r="H268" s="34">
        <v>1021</v>
      </c>
      <c r="I268" s="35">
        <v>46282</v>
      </c>
      <c r="J268" s="35">
        <v>46285</v>
      </c>
      <c r="K268" s="36" t="s">
        <v>8</v>
      </c>
    </row>
    <row r="269" spans="4:11" ht="43.5" customHeight="1" x14ac:dyDescent="0.3">
      <c r="D269" s="30" t="s">
        <v>3559</v>
      </c>
      <c r="E269" s="62" t="s">
        <v>3560</v>
      </c>
      <c r="F269" s="32">
        <v>0</v>
      </c>
      <c r="G269" s="63" t="s">
        <v>3561</v>
      </c>
      <c r="H269" s="34">
        <v>1022</v>
      </c>
      <c r="I269" s="35">
        <v>46282</v>
      </c>
      <c r="J269" s="35">
        <v>46285</v>
      </c>
      <c r="K269" s="36" t="s">
        <v>8</v>
      </c>
    </row>
    <row r="270" spans="4:11" ht="43.5" customHeight="1" x14ac:dyDescent="0.3">
      <c r="D270" s="30" t="s">
        <v>3562</v>
      </c>
      <c r="E270" s="62" t="s">
        <v>3563</v>
      </c>
      <c r="F270" s="32">
        <v>0</v>
      </c>
      <c r="G270" s="63" t="s">
        <v>3564</v>
      </c>
      <c r="H270" s="34">
        <v>1031</v>
      </c>
      <c r="I270" s="35">
        <v>46282</v>
      </c>
      <c r="J270" s="35">
        <v>46286</v>
      </c>
      <c r="K270" s="36" t="s">
        <v>8</v>
      </c>
    </row>
    <row r="271" spans="4:11" ht="43.5" customHeight="1" x14ac:dyDescent="0.3">
      <c r="D271" s="30" t="s">
        <v>3565</v>
      </c>
      <c r="E271" s="62" t="s">
        <v>3566</v>
      </c>
      <c r="F271" s="32">
        <v>0</v>
      </c>
      <c r="G271" s="63" t="s">
        <v>3567</v>
      </c>
      <c r="H271" s="34">
        <v>1028</v>
      </c>
      <c r="I271" s="35">
        <v>46282</v>
      </c>
      <c r="J271" s="35">
        <v>46286</v>
      </c>
      <c r="K271" s="36" t="s">
        <v>8</v>
      </c>
    </row>
    <row r="272" spans="4:11" ht="43.5" customHeight="1" x14ac:dyDescent="0.3">
      <c r="D272" s="30" t="s">
        <v>3568</v>
      </c>
      <c r="E272" s="62" t="s">
        <v>3569</v>
      </c>
      <c r="F272" s="32">
        <v>0</v>
      </c>
      <c r="G272" s="63" t="s">
        <v>3570</v>
      </c>
      <c r="H272" s="34">
        <v>1018</v>
      </c>
      <c r="I272" s="35">
        <v>46282</v>
      </c>
      <c r="J272" s="35">
        <v>46288</v>
      </c>
      <c r="K272" s="36" t="s">
        <v>8</v>
      </c>
    </row>
    <row r="273" spans="4:11" ht="43.5" customHeight="1" x14ac:dyDescent="0.3">
      <c r="D273" s="30" t="s">
        <v>3571</v>
      </c>
      <c r="E273" s="62" t="s">
        <v>3572</v>
      </c>
      <c r="F273" s="32">
        <v>0</v>
      </c>
      <c r="G273" s="63" t="s">
        <v>3573</v>
      </c>
      <c r="H273" s="34">
        <v>1018</v>
      </c>
      <c r="I273" s="35">
        <v>46282</v>
      </c>
      <c r="J273" s="35">
        <v>46285</v>
      </c>
      <c r="K273" s="36" t="s">
        <v>8</v>
      </c>
    </row>
    <row r="274" spans="4:11" ht="43.5" customHeight="1" x14ac:dyDescent="0.3">
      <c r="D274" s="30" t="s">
        <v>3574</v>
      </c>
      <c r="E274" s="62" t="s">
        <v>3575</v>
      </c>
      <c r="F274" s="32">
        <v>0</v>
      </c>
      <c r="G274" s="63" t="s">
        <v>3576</v>
      </c>
      <c r="H274" s="34">
        <v>1025</v>
      </c>
      <c r="I274" s="35">
        <v>46282</v>
      </c>
      <c r="J274" s="35">
        <v>46286</v>
      </c>
      <c r="K274" s="36" t="s">
        <v>8</v>
      </c>
    </row>
    <row r="275" spans="4:11" ht="43.5" customHeight="1" x14ac:dyDescent="0.3">
      <c r="D275" s="30" t="s">
        <v>3577</v>
      </c>
      <c r="E275" s="62" t="s">
        <v>3578</v>
      </c>
      <c r="F275" s="32">
        <v>0</v>
      </c>
      <c r="G275" s="63" t="s">
        <v>3579</v>
      </c>
      <c r="H275" s="34">
        <v>1031</v>
      </c>
      <c r="I275" s="35">
        <v>46282</v>
      </c>
      <c r="J275" s="35">
        <v>46286</v>
      </c>
      <c r="K275" s="36" t="s">
        <v>8</v>
      </c>
    </row>
    <row r="276" spans="4:11" ht="43.5" customHeight="1" x14ac:dyDescent="0.3">
      <c r="D276" s="30" t="s">
        <v>3580</v>
      </c>
      <c r="E276" s="62" t="s">
        <v>3581</v>
      </c>
      <c r="F276" s="32">
        <v>0</v>
      </c>
      <c r="G276" s="63" t="s">
        <v>3582</v>
      </c>
      <c r="H276" s="34">
        <v>1044</v>
      </c>
      <c r="I276" s="35">
        <v>46282</v>
      </c>
      <c r="J276" s="35">
        <v>46286</v>
      </c>
      <c r="K276" s="36" t="s">
        <v>8</v>
      </c>
    </row>
    <row r="277" spans="4:11" ht="43.5" customHeight="1" x14ac:dyDescent="0.3">
      <c r="D277" s="30" t="s">
        <v>3583</v>
      </c>
      <c r="E277" s="62" t="s">
        <v>3584</v>
      </c>
      <c r="F277" s="32">
        <v>0</v>
      </c>
      <c r="G277" s="63" t="s">
        <v>3585</v>
      </c>
      <c r="H277" s="34">
        <v>1036</v>
      </c>
      <c r="I277" s="35">
        <v>46282</v>
      </c>
      <c r="J277" s="35">
        <v>46286</v>
      </c>
      <c r="K277" s="36" t="s">
        <v>8</v>
      </c>
    </row>
    <row r="278" spans="4:11" ht="43.5" customHeight="1" x14ac:dyDescent="0.3">
      <c r="D278" s="30" t="s">
        <v>3586</v>
      </c>
      <c r="E278" s="62" t="s">
        <v>3587</v>
      </c>
      <c r="F278" s="32">
        <v>0</v>
      </c>
      <c r="G278" s="63" t="s">
        <v>3588</v>
      </c>
      <c r="H278" s="34">
        <v>1029</v>
      </c>
      <c r="I278" s="35">
        <v>46282</v>
      </c>
      <c r="J278" s="35">
        <v>46286</v>
      </c>
      <c r="K278" s="36" t="s">
        <v>8</v>
      </c>
    </row>
    <row r="279" spans="4:11" ht="43.5" customHeight="1" x14ac:dyDescent="0.3">
      <c r="D279" s="30" t="s">
        <v>3589</v>
      </c>
      <c r="E279" s="62" t="s">
        <v>3590</v>
      </c>
      <c r="F279" s="32">
        <v>0</v>
      </c>
      <c r="G279" s="63" t="s">
        <v>3591</v>
      </c>
      <c r="H279" s="34" t="s">
        <v>193</v>
      </c>
      <c r="I279" s="35">
        <v>46282</v>
      </c>
      <c r="J279" s="35">
        <v>46296</v>
      </c>
      <c r="K279" s="36" t="s">
        <v>8</v>
      </c>
    </row>
    <row r="280" spans="4:11" ht="43.5" customHeight="1" x14ac:dyDescent="0.3">
      <c r="D280" s="30" t="s">
        <v>3592</v>
      </c>
      <c r="E280" s="62" t="s">
        <v>3593</v>
      </c>
      <c r="F280" s="32">
        <v>0</v>
      </c>
      <c r="G280" s="63" t="s">
        <v>3594</v>
      </c>
      <c r="H280" s="34" t="s">
        <v>193</v>
      </c>
      <c r="I280" s="35">
        <v>46282</v>
      </c>
      <c r="J280" s="35">
        <v>46286</v>
      </c>
      <c r="K280" s="36" t="s">
        <v>8</v>
      </c>
    </row>
    <row r="281" spans="4:11" ht="43.5" customHeight="1" x14ac:dyDescent="0.3">
      <c r="D281" s="30" t="s">
        <v>3595</v>
      </c>
      <c r="E281" s="62" t="s">
        <v>3596</v>
      </c>
      <c r="F281" s="32">
        <v>0</v>
      </c>
      <c r="G281" s="63" t="s">
        <v>3597</v>
      </c>
      <c r="H281" s="34">
        <v>1022</v>
      </c>
      <c r="I281" s="35">
        <v>46282</v>
      </c>
      <c r="J281" s="35">
        <v>46288</v>
      </c>
      <c r="K281" s="36" t="s">
        <v>8</v>
      </c>
    </row>
    <row r="282" spans="4:11" ht="43.5" customHeight="1" x14ac:dyDescent="0.3">
      <c r="D282" s="30" t="s">
        <v>3598</v>
      </c>
      <c r="E282" s="62" t="s">
        <v>3599</v>
      </c>
      <c r="F282" s="32">
        <v>0</v>
      </c>
      <c r="G282" s="63" t="s">
        <v>3600</v>
      </c>
      <c r="H282" s="34">
        <v>1046</v>
      </c>
      <c r="I282" s="35">
        <v>46282</v>
      </c>
      <c r="J282" s="35">
        <v>46288</v>
      </c>
      <c r="K282" s="36" t="s">
        <v>8</v>
      </c>
    </row>
    <row r="283" spans="4:11" ht="43.5" customHeight="1" x14ac:dyDescent="0.3">
      <c r="D283" s="30" t="s">
        <v>3601</v>
      </c>
      <c r="E283" s="62" t="s">
        <v>3602</v>
      </c>
      <c r="F283" s="32">
        <v>0</v>
      </c>
      <c r="G283" s="63" t="s">
        <v>3603</v>
      </c>
      <c r="H283" s="34">
        <v>1023</v>
      </c>
      <c r="I283" s="35">
        <v>46282</v>
      </c>
      <c r="J283" s="35">
        <v>46289</v>
      </c>
      <c r="K283" s="36" t="s">
        <v>8</v>
      </c>
    </row>
    <row r="284" spans="4:11" ht="43.5" customHeight="1" x14ac:dyDescent="0.3">
      <c r="D284" s="30" t="s">
        <v>3604</v>
      </c>
      <c r="E284" s="62" t="s">
        <v>3605</v>
      </c>
      <c r="F284" s="32">
        <v>0</v>
      </c>
      <c r="G284" s="63" t="s">
        <v>3606</v>
      </c>
      <c r="H284" s="34">
        <v>1024</v>
      </c>
      <c r="I284" s="35">
        <v>46282</v>
      </c>
      <c r="J284" s="35">
        <v>46287</v>
      </c>
      <c r="K284" s="36" t="s">
        <v>8</v>
      </c>
    </row>
    <row r="285" spans="4:11" ht="43.5" customHeight="1" x14ac:dyDescent="0.3">
      <c r="D285" s="30" t="s">
        <v>3607</v>
      </c>
      <c r="E285" s="62" t="s">
        <v>3608</v>
      </c>
      <c r="F285" s="32">
        <v>0</v>
      </c>
      <c r="G285" s="63" t="s">
        <v>3609</v>
      </c>
      <c r="H285" s="34">
        <v>1036</v>
      </c>
      <c r="I285" s="35">
        <v>46284</v>
      </c>
      <c r="J285" s="35">
        <v>46287</v>
      </c>
      <c r="K285" s="36" t="s">
        <v>8</v>
      </c>
    </row>
    <row r="286" spans="4:11" ht="43.5" customHeight="1" x14ac:dyDescent="0.3">
      <c r="D286" s="30" t="s">
        <v>3610</v>
      </c>
      <c r="E286" s="62" t="s">
        <v>3611</v>
      </c>
      <c r="F286" s="32">
        <v>0</v>
      </c>
      <c r="G286" s="63" t="s">
        <v>3612</v>
      </c>
      <c r="H286" s="34">
        <v>1036</v>
      </c>
      <c r="I286" s="35">
        <v>46284</v>
      </c>
      <c r="J286" s="35">
        <v>46287</v>
      </c>
      <c r="K286" s="36" t="s">
        <v>8</v>
      </c>
    </row>
    <row r="287" spans="4:11" ht="43.5" customHeight="1" x14ac:dyDescent="0.3">
      <c r="D287" s="30" t="s">
        <v>3613</v>
      </c>
      <c r="E287" s="62" t="s">
        <v>3614</v>
      </c>
      <c r="F287" s="32">
        <v>0</v>
      </c>
      <c r="G287" s="63" t="s">
        <v>3615</v>
      </c>
      <c r="H287" s="34">
        <v>1036</v>
      </c>
      <c r="I287" s="35">
        <v>46284</v>
      </c>
      <c r="J287" s="35">
        <v>46287</v>
      </c>
      <c r="K287" s="36" t="s">
        <v>8</v>
      </c>
    </row>
    <row r="288" spans="4:11" ht="43.5" customHeight="1" x14ac:dyDescent="0.3">
      <c r="D288" s="30" t="s">
        <v>3616</v>
      </c>
      <c r="E288" s="62" t="s">
        <v>3617</v>
      </c>
      <c r="F288" s="32">
        <v>0</v>
      </c>
      <c r="G288" s="63" t="s">
        <v>3618</v>
      </c>
      <c r="H288" s="34">
        <v>1036</v>
      </c>
      <c r="I288" s="35">
        <v>46284</v>
      </c>
      <c r="J288" s="35">
        <v>46287</v>
      </c>
      <c r="K288" s="36" t="s">
        <v>8</v>
      </c>
    </row>
    <row r="289" spans="4:11" ht="43.5" customHeight="1" x14ac:dyDescent="0.3">
      <c r="D289" s="30" t="s">
        <v>3619</v>
      </c>
      <c r="E289" s="62" t="s">
        <v>3620</v>
      </c>
      <c r="F289" s="32">
        <v>0</v>
      </c>
      <c r="G289" s="63" t="s">
        <v>3621</v>
      </c>
      <c r="H289" s="34">
        <v>1029</v>
      </c>
      <c r="I289" s="35">
        <v>46284</v>
      </c>
      <c r="J289" s="35">
        <v>46289</v>
      </c>
      <c r="K289" s="36" t="s">
        <v>8</v>
      </c>
    </row>
    <row r="290" spans="4:11" ht="43.5" customHeight="1" x14ac:dyDescent="0.3">
      <c r="D290" s="30" t="s">
        <v>3622</v>
      </c>
      <c r="E290" s="62" t="s">
        <v>3623</v>
      </c>
      <c r="F290" s="32">
        <v>0</v>
      </c>
      <c r="G290" s="63" t="s">
        <v>3624</v>
      </c>
      <c r="H290" s="34" t="s">
        <v>193</v>
      </c>
      <c r="I290" s="35">
        <v>46284</v>
      </c>
      <c r="J290" s="35">
        <v>46292</v>
      </c>
      <c r="K290" s="36" t="s">
        <v>8</v>
      </c>
    </row>
    <row r="291" spans="4:11" ht="43.5" customHeight="1" x14ac:dyDescent="0.3">
      <c r="D291" s="30" t="s">
        <v>3625</v>
      </c>
      <c r="E291" s="62" t="s">
        <v>3626</v>
      </c>
      <c r="F291" s="32">
        <v>0</v>
      </c>
      <c r="G291" s="63" t="s">
        <v>3627</v>
      </c>
      <c r="H291" s="34">
        <v>1036</v>
      </c>
      <c r="I291" s="35">
        <v>46285</v>
      </c>
      <c r="J291" s="35">
        <v>46285</v>
      </c>
      <c r="K291" s="36" t="s">
        <v>8</v>
      </c>
    </row>
    <row r="292" spans="4:11" ht="43.5" customHeight="1" x14ac:dyDescent="0.3">
      <c r="D292" s="30" t="s">
        <v>3628</v>
      </c>
      <c r="E292" s="62" t="s">
        <v>3629</v>
      </c>
      <c r="F292" s="32">
        <v>0</v>
      </c>
      <c r="G292" s="63" t="s">
        <v>3630</v>
      </c>
      <c r="H292" s="34">
        <v>1025</v>
      </c>
      <c r="I292" s="35">
        <v>46285</v>
      </c>
      <c r="J292" s="35">
        <v>46286</v>
      </c>
      <c r="K292" s="36" t="s">
        <v>8</v>
      </c>
    </row>
    <row r="293" spans="4:11" ht="43.5" customHeight="1" x14ac:dyDescent="0.3">
      <c r="D293" s="30" t="s">
        <v>3631</v>
      </c>
      <c r="E293" s="62" t="s">
        <v>3632</v>
      </c>
      <c r="F293" s="32">
        <v>0</v>
      </c>
      <c r="G293" s="63" t="s">
        <v>3633</v>
      </c>
      <c r="H293" s="34" t="s">
        <v>193</v>
      </c>
      <c r="I293" s="35">
        <v>46285</v>
      </c>
      <c r="J293" s="35">
        <v>46287</v>
      </c>
      <c r="K293" s="36" t="s">
        <v>8</v>
      </c>
    </row>
    <row r="294" spans="4:11" ht="43.5" customHeight="1" x14ac:dyDescent="0.3">
      <c r="D294" s="30" t="s">
        <v>3634</v>
      </c>
      <c r="E294" s="62" t="s">
        <v>3635</v>
      </c>
      <c r="F294" s="32">
        <v>0</v>
      </c>
      <c r="G294" s="63" t="s">
        <v>3636</v>
      </c>
      <c r="H294" s="34" t="s">
        <v>193</v>
      </c>
      <c r="I294" s="35">
        <v>46285</v>
      </c>
      <c r="J294" s="35">
        <v>46287</v>
      </c>
      <c r="K294" s="36" t="s">
        <v>8</v>
      </c>
    </row>
    <row r="295" spans="4:11" ht="43.5" customHeight="1" x14ac:dyDescent="0.3">
      <c r="D295" s="30" t="s">
        <v>3637</v>
      </c>
      <c r="E295" s="62" t="s">
        <v>3638</v>
      </c>
      <c r="F295" s="32">
        <v>0</v>
      </c>
      <c r="G295" s="63" t="s">
        <v>3639</v>
      </c>
      <c r="H295" s="34">
        <v>1028</v>
      </c>
      <c r="I295" s="35">
        <v>46285</v>
      </c>
      <c r="J295" s="35">
        <v>46287</v>
      </c>
      <c r="K295" s="36" t="s">
        <v>8</v>
      </c>
    </row>
    <row r="296" spans="4:11" ht="43.5" customHeight="1" x14ac:dyDescent="0.3">
      <c r="D296" s="30" t="s">
        <v>3640</v>
      </c>
      <c r="E296" s="62" t="s">
        <v>3641</v>
      </c>
      <c r="F296" s="32">
        <v>0</v>
      </c>
      <c r="G296" s="63" t="s">
        <v>3642</v>
      </c>
      <c r="H296" s="34">
        <v>1036</v>
      </c>
      <c r="I296" s="35">
        <v>46285</v>
      </c>
      <c r="J296" s="35"/>
      <c r="K296" s="36" t="s">
        <v>7</v>
      </c>
    </row>
    <row r="297" spans="4:11" ht="43.5" customHeight="1" x14ac:dyDescent="0.3">
      <c r="D297" s="30" t="s">
        <v>3643</v>
      </c>
      <c r="E297" s="62" t="s">
        <v>3644</v>
      </c>
      <c r="F297" s="32">
        <v>0</v>
      </c>
      <c r="G297" s="63" t="s">
        <v>3645</v>
      </c>
      <c r="H297" s="34" t="s">
        <v>193</v>
      </c>
      <c r="I297" s="35">
        <v>46286</v>
      </c>
      <c r="J297" s="35">
        <v>46287</v>
      </c>
      <c r="K297" s="36" t="s">
        <v>8</v>
      </c>
    </row>
    <row r="298" spans="4:11" ht="43.5" customHeight="1" x14ac:dyDescent="0.3">
      <c r="D298" s="30" t="s">
        <v>3646</v>
      </c>
      <c r="E298" s="62" t="s">
        <v>3647</v>
      </c>
      <c r="F298" s="32">
        <v>0</v>
      </c>
      <c r="G298" s="63" t="s">
        <v>3648</v>
      </c>
      <c r="H298" s="34">
        <v>1036</v>
      </c>
      <c r="I298" s="35">
        <v>46286</v>
      </c>
      <c r="J298" s="35">
        <v>46287</v>
      </c>
      <c r="K298" s="36" t="s">
        <v>8</v>
      </c>
    </row>
    <row r="299" spans="4:11" ht="43.5" customHeight="1" x14ac:dyDescent="0.3">
      <c r="D299" s="30" t="s">
        <v>3649</v>
      </c>
      <c r="E299" s="62" t="s">
        <v>3650</v>
      </c>
      <c r="F299" s="32" t="s">
        <v>163</v>
      </c>
      <c r="G299" s="63" t="s">
        <v>3651</v>
      </c>
      <c r="H299" s="34">
        <v>1025</v>
      </c>
      <c r="I299" s="35">
        <v>46287</v>
      </c>
      <c r="J299" s="35">
        <v>46288</v>
      </c>
      <c r="K299" s="36" t="s">
        <v>8</v>
      </c>
    </row>
    <row r="300" spans="4:11" ht="43.5" customHeight="1" x14ac:dyDescent="0.3">
      <c r="D300" s="30" t="s">
        <v>3652</v>
      </c>
      <c r="E300" s="62" t="s">
        <v>3653</v>
      </c>
      <c r="F300" s="32" t="s">
        <v>163</v>
      </c>
      <c r="G300" s="63" t="s">
        <v>3654</v>
      </c>
      <c r="H300" s="34">
        <v>1028</v>
      </c>
      <c r="I300" s="35">
        <v>46287</v>
      </c>
      <c r="J300" s="35">
        <v>46288</v>
      </c>
      <c r="K300" s="36" t="s">
        <v>8</v>
      </c>
    </row>
    <row r="301" spans="4:11" ht="43.5" customHeight="1" x14ac:dyDescent="0.3">
      <c r="D301" s="30" t="s">
        <v>3655</v>
      </c>
      <c r="E301" s="62" t="s">
        <v>3656</v>
      </c>
      <c r="F301" s="32" t="s">
        <v>163</v>
      </c>
      <c r="G301" s="63" t="s">
        <v>3657</v>
      </c>
      <c r="H301" s="34">
        <v>1036</v>
      </c>
      <c r="I301" s="35">
        <v>46287</v>
      </c>
      <c r="J301" s="35">
        <v>46292</v>
      </c>
      <c r="K301" s="36" t="s">
        <v>8</v>
      </c>
    </row>
    <row r="302" spans="4:11" ht="43.5" customHeight="1" x14ac:dyDescent="0.3">
      <c r="D302" s="30" t="s">
        <v>3658</v>
      </c>
      <c r="E302" s="62" t="s">
        <v>3659</v>
      </c>
      <c r="F302" s="32" t="s">
        <v>163</v>
      </c>
      <c r="G302" s="63" t="s">
        <v>3660</v>
      </c>
      <c r="H302" s="34">
        <v>1024</v>
      </c>
      <c r="I302" s="35">
        <v>46287</v>
      </c>
      <c r="J302" s="35">
        <v>46292</v>
      </c>
      <c r="K302" s="36" t="s">
        <v>8</v>
      </c>
    </row>
    <row r="303" spans="4:11" ht="43.5" customHeight="1" x14ac:dyDescent="0.3">
      <c r="D303" s="30" t="s">
        <v>3661</v>
      </c>
      <c r="E303" s="62" t="s">
        <v>3662</v>
      </c>
      <c r="F303" s="32" t="s">
        <v>163</v>
      </c>
      <c r="G303" s="63" t="s">
        <v>3663</v>
      </c>
      <c r="H303" s="34">
        <v>1026</v>
      </c>
      <c r="I303" s="35">
        <v>46287</v>
      </c>
      <c r="J303" s="35">
        <v>46292</v>
      </c>
      <c r="K303" s="36" t="s">
        <v>8</v>
      </c>
    </row>
    <row r="304" spans="4:11" ht="43.5" customHeight="1" x14ac:dyDescent="0.3">
      <c r="D304" s="30" t="s">
        <v>3664</v>
      </c>
      <c r="E304" s="62" t="s">
        <v>3665</v>
      </c>
      <c r="F304" s="32" t="s">
        <v>163</v>
      </c>
      <c r="G304" s="63" t="s">
        <v>3666</v>
      </c>
      <c r="H304" s="34">
        <v>1029</v>
      </c>
      <c r="I304" s="35">
        <v>46287</v>
      </c>
      <c r="J304" s="35">
        <v>46293</v>
      </c>
      <c r="K304" s="36" t="s">
        <v>8</v>
      </c>
    </row>
    <row r="305" spans="4:11" ht="43.5" customHeight="1" x14ac:dyDescent="0.3">
      <c r="D305" s="30" t="s">
        <v>3667</v>
      </c>
      <c r="E305" s="62" t="s">
        <v>3668</v>
      </c>
      <c r="F305" s="32" t="s">
        <v>163</v>
      </c>
      <c r="G305" s="63" t="s">
        <v>3669</v>
      </c>
      <c r="H305" s="34">
        <v>1031</v>
      </c>
      <c r="I305" s="35">
        <v>46287</v>
      </c>
      <c r="J305" s="35">
        <v>46293</v>
      </c>
      <c r="K305" s="36" t="s">
        <v>8</v>
      </c>
    </row>
    <row r="306" spans="4:11" ht="43.5" customHeight="1" x14ac:dyDescent="0.3">
      <c r="D306" s="30" t="s">
        <v>3670</v>
      </c>
      <c r="E306" s="62" t="s">
        <v>3671</v>
      </c>
      <c r="F306" s="32" t="s">
        <v>163</v>
      </c>
      <c r="G306" s="63" t="s">
        <v>3672</v>
      </c>
      <c r="H306" s="34" t="s">
        <v>193</v>
      </c>
      <c r="I306" s="35">
        <v>46288</v>
      </c>
      <c r="J306" s="35">
        <v>46293</v>
      </c>
      <c r="K306" s="36" t="s">
        <v>8</v>
      </c>
    </row>
    <row r="307" spans="4:11" ht="43.5" customHeight="1" x14ac:dyDescent="0.3">
      <c r="D307" s="30" t="s">
        <v>3673</v>
      </c>
      <c r="E307" s="62" t="s">
        <v>3674</v>
      </c>
      <c r="F307" s="32" t="s">
        <v>163</v>
      </c>
      <c r="G307" s="63" t="s">
        <v>3675</v>
      </c>
      <c r="H307" s="34">
        <v>1022</v>
      </c>
      <c r="I307" s="35">
        <v>46288</v>
      </c>
      <c r="J307" s="35">
        <v>46295</v>
      </c>
      <c r="K307" s="36" t="s">
        <v>8</v>
      </c>
    </row>
    <row r="308" spans="4:11" ht="43.5" customHeight="1" x14ac:dyDescent="0.3">
      <c r="D308" s="30" t="s">
        <v>3676</v>
      </c>
      <c r="E308" s="62" t="s">
        <v>3677</v>
      </c>
      <c r="F308" s="32" t="s">
        <v>163</v>
      </c>
      <c r="G308" s="63" t="s">
        <v>3678</v>
      </c>
      <c r="H308" s="34" t="s">
        <v>193</v>
      </c>
      <c r="I308" s="35">
        <v>46288</v>
      </c>
      <c r="J308" s="35">
        <v>46289</v>
      </c>
      <c r="K308" s="36" t="s">
        <v>8</v>
      </c>
    </row>
    <row r="309" spans="4:11" ht="43.5" customHeight="1" x14ac:dyDescent="0.3">
      <c r="D309" s="30" t="s">
        <v>3679</v>
      </c>
      <c r="E309" s="62" t="s">
        <v>3680</v>
      </c>
      <c r="F309" s="32" t="s">
        <v>163</v>
      </c>
      <c r="G309" s="63" t="s">
        <v>3681</v>
      </c>
      <c r="H309" s="34">
        <v>1028</v>
      </c>
      <c r="I309" s="35">
        <v>46288</v>
      </c>
      <c r="J309" s="35">
        <v>46293</v>
      </c>
      <c r="K309" s="36" t="s">
        <v>8</v>
      </c>
    </row>
    <row r="310" spans="4:11" ht="43.5" customHeight="1" x14ac:dyDescent="0.3">
      <c r="D310" s="30" t="s">
        <v>3682</v>
      </c>
      <c r="E310" s="62" t="s">
        <v>3683</v>
      </c>
      <c r="F310" s="32" t="s">
        <v>163</v>
      </c>
      <c r="G310" s="63" t="s">
        <v>3684</v>
      </c>
      <c r="H310" s="34">
        <v>1022</v>
      </c>
      <c r="I310" s="35">
        <v>46289</v>
      </c>
      <c r="J310" s="35">
        <v>46293</v>
      </c>
      <c r="K310" s="36" t="s">
        <v>8</v>
      </c>
    </row>
    <row r="311" spans="4:11" ht="43.5" customHeight="1" x14ac:dyDescent="0.3">
      <c r="D311" s="30" t="s">
        <v>3685</v>
      </c>
      <c r="E311" s="62" t="s">
        <v>3686</v>
      </c>
      <c r="F311" s="32" t="s">
        <v>163</v>
      </c>
      <c r="G311" s="63" t="s">
        <v>3687</v>
      </c>
      <c r="H311" s="34" t="s">
        <v>193</v>
      </c>
      <c r="I311" s="35">
        <v>46289</v>
      </c>
      <c r="J311" s="35">
        <v>46293</v>
      </c>
      <c r="K311" s="36" t="s">
        <v>8</v>
      </c>
    </row>
    <row r="312" spans="4:11" ht="43.5" customHeight="1" x14ac:dyDescent="0.3">
      <c r="D312" s="30" t="s">
        <v>3688</v>
      </c>
      <c r="E312" s="62" t="s">
        <v>3689</v>
      </c>
      <c r="F312" s="32" t="s">
        <v>163</v>
      </c>
      <c r="G312" s="63" t="s">
        <v>3690</v>
      </c>
      <c r="H312" s="34" t="s">
        <v>193</v>
      </c>
      <c r="I312" s="35">
        <v>46289</v>
      </c>
      <c r="J312" s="35">
        <v>46293</v>
      </c>
      <c r="K312" s="36" t="s">
        <v>8</v>
      </c>
    </row>
    <row r="313" spans="4:11" ht="43.5" customHeight="1" x14ac:dyDescent="0.3">
      <c r="D313" s="30" t="s">
        <v>3691</v>
      </c>
      <c r="E313" s="62" t="s">
        <v>3692</v>
      </c>
      <c r="F313" s="32" t="s">
        <v>163</v>
      </c>
      <c r="G313" s="63" t="s">
        <v>3693</v>
      </c>
      <c r="H313" s="34">
        <v>1029</v>
      </c>
      <c r="I313" s="35">
        <v>46289</v>
      </c>
      <c r="J313" s="35">
        <v>46294</v>
      </c>
      <c r="K313" s="36" t="s">
        <v>8</v>
      </c>
    </row>
    <row r="314" spans="4:11" ht="43.5" customHeight="1" x14ac:dyDescent="0.3">
      <c r="D314" s="30" t="s">
        <v>3694</v>
      </c>
      <c r="E314" s="62" t="s">
        <v>3695</v>
      </c>
      <c r="F314" s="32" t="s">
        <v>163</v>
      </c>
      <c r="G314" s="63" t="s">
        <v>3696</v>
      </c>
      <c r="H314" s="34" t="s">
        <v>193</v>
      </c>
      <c r="I314" s="35">
        <v>46289</v>
      </c>
      <c r="J314" s="35"/>
      <c r="K314" s="36" t="s">
        <v>7</v>
      </c>
    </row>
    <row r="315" spans="4:11" ht="43.5" customHeight="1" x14ac:dyDescent="0.3">
      <c r="D315" s="30" t="s">
        <v>3697</v>
      </c>
      <c r="E315" s="62" t="s">
        <v>3698</v>
      </c>
      <c r="F315" s="32" t="s">
        <v>163</v>
      </c>
      <c r="G315" s="63" t="s">
        <v>3699</v>
      </c>
      <c r="H315" s="34">
        <v>1022</v>
      </c>
      <c r="I315" s="35">
        <v>46289</v>
      </c>
      <c r="J315" s="35">
        <v>46295</v>
      </c>
      <c r="K315" s="36" t="s">
        <v>8</v>
      </c>
    </row>
    <row r="316" spans="4:11" ht="43.5" customHeight="1" x14ac:dyDescent="0.3">
      <c r="D316" s="30" t="s">
        <v>3700</v>
      </c>
      <c r="E316" s="62" t="s">
        <v>3701</v>
      </c>
      <c r="F316" s="32" t="s">
        <v>163</v>
      </c>
      <c r="G316" s="63" t="s">
        <v>3702</v>
      </c>
      <c r="H316" s="34">
        <v>1029</v>
      </c>
      <c r="I316" s="35">
        <v>46292</v>
      </c>
      <c r="J316" s="35">
        <v>46294</v>
      </c>
      <c r="K316" s="36" t="s">
        <v>8</v>
      </c>
    </row>
    <row r="317" spans="4:11" ht="43.5" customHeight="1" x14ac:dyDescent="0.3">
      <c r="D317" s="30" t="s">
        <v>3703</v>
      </c>
      <c r="E317" s="62" t="s">
        <v>3704</v>
      </c>
      <c r="F317" s="32" t="s">
        <v>163</v>
      </c>
      <c r="G317" s="63" t="s">
        <v>3705</v>
      </c>
      <c r="H317" s="34">
        <v>1022</v>
      </c>
      <c r="I317" s="35">
        <v>46292</v>
      </c>
      <c r="J317" s="35">
        <v>46295</v>
      </c>
      <c r="K317" s="36" t="s">
        <v>8</v>
      </c>
    </row>
    <row r="318" spans="4:11" ht="43.5" customHeight="1" x14ac:dyDescent="0.3">
      <c r="D318" s="30" t="s">
        <v>3706</v>
      </c>
      <c r="E318" s="62" t="s">
        <v>3707</v>
      </c>
      <c r="F318" s="32" t="s">
        <v>163</v>
      </c>
      <c r="G318" s="63" t="s">
        <v>3708</v>
      </c>
      <c r="H318" s="34">
        <v>1045</v>
      </c>
      <c r="I318" s="35">
        <v>46292</v>
      </c>
      <c r="J318" s="35">
        <v>46295</v>
      </c>
      <c r="K318" s="36" t="s">
        <v>8</v>
      </c>
    </row>
    <row r="319" spans="4:11" ht="43.5" customHeight="1" x14ac:dyDescent="0.3">
      <c r="D319" s="30" t="s">
        <v>3709</v>
      </c>
      <c r="E319" s="62" t="s">
        <v>3710</v>
      </c>
      <c r="F319" s="32" t="s">
        <v>163</v>
      </c>
      <c r="G319" s="63" t="s">
        <v>3711</v>
      </c>
      <c r="H319" s="34">
        <v>1022</v>
      </c>
      <c r="I319" s="35">
        <v>46293</v>
      </c>
      <c r="J319" s="35">
        <v>46295</v>
      </c>
      <c r="K319" s="36" t="s">
        <v>8</v>
      </c>
    </row>
    <row r="320" spans="4:11" ht="43.5" customHeight="1" x14ac:dyDescent="0.3">
      <c r="D320" s="30" t="s">
        <v>3712</v>
      </c>
      <c r="E320" s="62" t="s">
        <v>3713</v>
      </c>
      <c r="F320" s="32" t="s">
        <v>163</v>
      </c>
      <c r="G320" s="63" t="s">
        <v>3714</v>
      </c>
      <c r="H320" s="34">
        <v>1036</v>
      </c>
      <c r="I320" s="35">
        <v>46293</v>
      </c>
      <c r="J320" s="35">
        <v>46294</v>
      </c>
      <c r="K320" s="36" t="s">
        <v>8</v>
      </c>
    </row>
    <row r="321" spans="4:11" ht="43.5" customHeight="1" x14ac:dyDescent="0.3">
      <c r="D321" s="30" t="s">
        <v>3715</v>
      </c>
      <c r="E321" s="62" t="s">
        <v>3716</v>
      </c>
      <c r="F321" s="32" t="s">
        <v>163</v>
      </c>
      <c r="G321" s="63" t="s">
        <v>3717</v>
      </c>
      <c r="H321" s="34" t="s">
        <v>193</v>
      </c>
      <c r="I321" s="35">
        <v>46294</v>
      </c>
      <c r="J321" s="35">
        <v>46294</v>
      </c>
      <c r="K321" s="36" t="s">
        <v>8</v>
      </c>
    </row>
    <row r="322" spans="4:11" ht="43.5" customHeight="1" x14ac:dyDescent="0.3">
      <c r="D322" s="30" t="s">
        <v>3718</v>
      </c>
      <c r="E322" s="62" t="s">
        <v>3719</v>
      </c>
      <c r="F322" s="32" t="s">
        <v>163</v>
      </c>
      <c r="G322" s="63" t="s">
        <v>3720</v>
      </c>
      <c r="H322" s="34">
        <v>1022</v>
      </c>
      <c r="I322" s="35">
        <v>46294</v>
      </c>
      <c r="J322" s="35">
        <v>46300</v>
      </c>
      <c r="K322" s="36" t="s">
        <v>8</v>
      </c>
    </row>
    <row r="323" spans="4:11" ht="43.5" customHeight="1" x14ac:dyDescent="0.3">
      <c r="D323" s="30" t="s">
        <v>3721</v>
      </c>
      <c r="E323" s="62" t="s">
        <v>3722</v>
      </c>
      <c r="F323" s="32" t="s">
        <v>163</v>
      </c>
      <c r="G323" s="63" t="s">
        <v>3723</v>
      </c>
      <c r="H323" s="34" t="s">
        <v>193</v>
      </c>
      <c r="I323" s="35">
        <v>46295</v>
      </c>
      <c r="J323" s="35">
        <v>46295</v>
      </c>
      <c r="K323" s="36" t="s">
        <v>8</v>
      </c>
    </row>
    <row r="324" spans="4:11" ht="43.5" customHeight="1" x14ac:dyDescent="0.3">
      <c r="D324" s="30" t="s">
        <v>3724</v>
      </c>
      <c r="E324" s="62" t="s">
        <v>3725</v>
      </c>
      <c r="F324" s="32" t="s">
        <v>163</v>
      </c>
      <c r="G324" s="63" t="s">
        <v>3726</v>
      </c>
      <c r="H324" s="34">
        <v>1022</v>
      </c>
      <c r="I324" s="35">
        <v>46295</v>
      </c>
      <c r="J324" s="35"/>
      <c r="K324" s="36" t="s">
        <v>7</v>
      </c>
    </row>
    <row r="325" spans="4:11" ht="43.5" customHeight="1" x14ac:dyDescent="0.3">
      <c r="D325" s="30" t="s">
        <v>3727</v>
      </c>
      <c r="E325" s="62" t="s">
        <v>3728</v>
      </c>
      <c r="F325" s="32" t="s">
        <v>163</v>
      </c>
      <c r="G325" s="63" t="s">
        <v>3729</v>
      </c>
      <c r="H325" s="34">
        <v>1018</v>
      </c>
      <c r="I325" s="35">
        <v>46296</v>
      </c>
      <c r="J325" s="35">
        <v>46300</v>
      </c>
      <c r="K325" s="36" t="s">
        <v>8</v>
      </c>
    </row>
    <row r="326" spans="4:11" ht="43.5" customHeight="1" x14ac:dyDescent="0.3">
      <c r="D326" s="30" t="s">
        <v>3730</v>
      </c>
      <c r="E326" s="62" t="s">
        <v>3731</v>
      </c>
      <c r="F326" s="32" t="s">
        <v>163</v>
      </c>
      <c r="G326" s="63" t="s">
        <v>3732</v>
      </c>
      <c r="H326" s="34">
        <v>1022</v>
      </c>
      <c r="I326" s="35">
        <v>46296</v>
      </c>
      <c r="J326" s="35">
        <v>46300</v>
      </c>
      <c r="K326" s="36" t="s">
        <v>8</v>
      </c>
    </row>
    <row r="327" spans="4:11" ht="43.5" customHeight="1" x14ac:dyDescent="0.3">
      <c r="D327" s="30" t="s">
        <v>3733</v>
      </c>
      <c r="E327" s="62" t="s">
        <v>3734</v>
      </c>
      <c r="F327" s="32" t="s">
        <v>163</v>
      </c>
      <c r="G327" s="63" t="s">
        <v>3735</v>
      </c>
      <c r="H327" s="34">
        <v>1022</v>
      </c>
      <c r="I327" s="35">
        <v>46296</v>
      </c>
      <c r="J327" s="35"/>
      <c r="K327" s="36" t="s">
        <v>7</v>
      </c>
    </row>
    <row r="328" spans="4:11" ht="43.5" customHeight="1" x14ac:dyDescent="0.3">
      <c r="D328" s="30" t="s">
        <v>3736</v>
      </c>
      <c r="E328" s="62" t="s">
        <v>3737</v>
      </c>
      <c r="F328" s="32" t="s">
        <v>163</v>
      </c>
      <c r="G328" s="63" t="s">
        <v>3738</v>
      </c>
      <c r="H328" s="34">
        <v>1029</v>
      </c>
      <c r="I328" s="35">
        <v>46296</v>
      </c>
      <c r="J328" s="35">
        <v>46300</v>
      </c>
      <c r="K328" s="36" t="s">
        <v>8</v>
      </c>
    </row>
    <row r="329" spans="4:11" ht="43.5" customHeight="1" x14ac:dyDescent="0.3">
      <c r="D329" s="30" t="s">
        <v>3739</v>
      </c>
      <c r="E329" s="62" t="s">
        <v>3740</v>
      </c>
      <c r="F329" s="32" t="s">
        <v>163</v>
      </c>
      <c r="G329" s="63" t="s">
        <v>3741</v>
      </c>
      <c r="H329" s="34">
        <v>1045</v>
      </c>
      <c r="I329" s="35">
        <v>46296</v>
      </c>
      <c r="J329" s="35">
        <v>46300</v>
      </c>
      <c r="K329" s="36" t="s">
        <v>8</v>
      </c>
    </row>
    <row r="330" spans="4:11" ht="43.5" customHeight="1" x14ac:dyDescent="0.3">
      <c r="D330" s="30" t="s">
        <v>3742</v>
      </c>
      <c r="E330" s="62" t="s">
        <v>3743</v>
      </c>
      <c r="F330" s="32" t="s">
        <v>163</v>
      </c>
      <c r="G330" s="63" t="s">
        <v>3744</v>
      </c>
      <c r="H330" s="34">
        <v>1045</v>
      </c>
      <c r="I330" s="35">
        <v>46298</v>
      </c>
      <c r="J330" s="35">
        <v>46300</v>
      </c>
      <c r="K330" s="36" t="s">
        <v>8</v>
      </c>
    </row>
    <row r="331" spans="4:11" ht="43.5" customHeight="1" x14ac:dyDescent="0.3">
      <c r="D331" s="30" t="s">
        <v>3745</v>
      </c>
      <c r="E331" s="62" t="s">
        <v>3746</v>
      </c>
      <c r="F331" s="32" t="s">
        <v>163</v>
      </c>
      <c r="G331" s="63" t="s">
        <v>3747</v>
      </c>
      <c r="H331" s="34">
        <v>1029</v>
      </c>
      <c r="I331" s="35">
        <v>46296</v>
      </c>
      <c r="J331" s="35">
        <v>46300</v>
      </c>
      <c r="K331" s="36" t="s">
        <v>8</v>
      </c>
    </row>
    <row r="332" spans="4:11" ht="43.5" customHeight="1" x14ac:dyDescent="0.3">
      <c r="D332" s="30" t="s">
        <v>3748</v>
      </c>
      <c r="E332" s="62" t="s">
        <v>3749</v>
      </c>
      <c r="F332" s="32" t="s">
        <v>163</v>
      </c>
      <c r="G332" s="63" t="s">
        <v>3750</v>
      </c>
      <c r="H332" s="34">
        <v>1029</v>
      </c>
      <c r="I332" s="35">
        <v>46296</v>
      </c>
      <c r="J332" s="35">
        <v>46300</v>
      </c>
      <c r="K332" s="36" t="s">
        <v>8</v>
      </c>
    </row>
    <row r="333" spans="4:11" ht="43.5" customHeight="1" x14ac:dyDescent="0.3">
      <c r="D333" s="30" t="s">
        <v>3751</v>
      </c>
      <c r="E333" s="62" t="s">
        <v>3752</v>
      </c>
      <c r="F333" s="32" t="s">
        <v>163</v>
      </c>
      <c r="G333" s="63" t="s">
        <v>3753</v>
      </c>
      <c r="H333" s="34">
        <v>1021</v>
      </c>
      <c r="I333" s="35">
        <v>46296</v>
      </c>
      <c r="J333" s="35">
        <v>46300</v>
      </c>
      <c r="K333" s="36" t="s">
        <v>8</v>
      </c>
    </row>
    <row r="334" spans="4:11" ht="43.5" customHeight="1" x14ac:dyDescent="0.3">
      <c r="D334" s="30" t="s">
        <v>3754</v>
      </c>
      <c r="E334" s="62" t="s">
        <v>3755</v>
      </c>
      <c r="F334" s="32" t="s">
        <v>163</v>
      </c>
      <c r="G334" s="63" t="s">
        <v>3756</v>
      </c>
      <c r="H334" s="34">
        <v>1029</v>
      </c>
      <c r="I334" s="35">
        <v>46296</v>
      </c>
      <c r="J334" s="35">
        <v>46300</v>
      </c>
      <c r="K334" s="36" t="s">
        <v>8</v>
      </c>
    </row>
    <row r="335" spans="4:11" ht="43.5" customHeight="1" x14ac:dyDescent="0.3">
      <c r="D335" s="30" t="s">
        <v>3757</v>
      </c>
      <c r="E335" s="62" t="s">
        <v>3758</v>
      </c>
      <c r="F335" s="32" t="s">
        <v>163</v>
      </c>
      <c r="G335" s="63" t="s">
        <v>3759</v>
      </c>
      <c r="H335" s="34">
        <v>1029</v>
      </c>
      <c r="I335" s="35">
        <v>46296</v>
      </c>
      <c r="J335" s="35"/>
      <c r="K335" s="36" t="s">
        <v>7</v>
      </c>
    </row>
    <row r="336" spans="4:11" ht="43.5" customHeight="1" x14ac:dyDescent="0.3">
      <c r="D336" s="30" t="s">
        <v>3760</v>
      </c>
      <c r="E336" s="62" t="s">
        <v>3761</v>
      </c>
      <c r="F336" s="32" t="s">
        <v>163</v>
      </c>
      <c r="G336" s="63" t="s">
        <v>3762</v>
      </c>
      <c r="H336" s="34">
        <v>1021</v>
      </c>
      <c r="I336" s="35">
        <v>46296</v>
      </c>
      <c r="J336" s="35">
        <v>46300</v>
      </c>
      <c r="K336" s="36" t="s">
        <v>8</v>
      </c>
    </row>
    <row r="337" spans="4:11" ht="43.5" customHeight="1" x14ac:dyDescent="0.3">
      <c r="D337" s="30" t="s">
        <v>3763</v>
      </c>
      <c r="E337" s="62" t="s">
        <v>3764</v>
      </c>
      <c r="F337" s="32" t="s">
        <v>163</v>
      </c>
      <c r="G337" s="63" t="s">
        <v>3765</v>
      </c>
      <c r="H337" s="34">
        <v>1018</v>
      </c>
      <c r="I337" s="35">
        <v>46297</v>
      </c>
      <c r="J337" s="35">
        <v>46300</v>
      </c>
      <c r="K337" s="36" t="s">
        <v>8</v>
      </c>
    </row>
    <row r="338" spans="4:11" ht="43.5" customHeight="1" x14ac:dyDescent="0.3">
      <c r="D338" s="30" t="s">
        <v>3766</v>
      </c>
      <c r="E338" s="62" t="s">
        <v>3767</v>
      </c>
      <c r="F338" s="32" t="s">
        <v>163</v>
      </c>
      <c r="G338" s="63" t="s">
        <v>3768</v>
      </c>
      <c r="H338" s="34">
        <v>1022</v>
      </c>
      <c r="I338" s="35">
        <v>46298</v>
      </c>
      <c r="J338" s="35">
        <v>46300</v>
      </c>
      <c r="K338" s="36" t="s">
        <v>8</v>
      </c>
    </row>
    <row r="339" spans="4:11" ht="43.5" customHeight="1" x14ac:dyDescent="0.3">
      <c r="D339" s="30" t="s">
        <v>2526</v>
      </c>
      <c r="E339" s="62" t="s">
        <v>2527</v>
      </c>
      <c r="F339" s="32" t="s">
        <v>163</v>
      </c>
      <c r="G339" s="63" t="s">
        <v>3769</v>
      </c>
      <c r="H339" s="34">
        <v>1043</v>
      </c>
      <c r="I339" s="35">
        <v>46298</v>
      </c>
      <c r="J339" s="35"/>
      <c r="K339" s="36" t="s">
        <v>7</v>
      </c>
    </row>
    <row r="340" spans="4:11" ht="43.5" customHeight="1" x14ac:dyDescent="0.3">
      <c r="D340" s="30" t="s">
        <v>3770</v>
      </c>
      <c r="E340" s="62" t="s">
        <v>3771</v>
      </c>
      <c r="F340" s="32" t="s">
        <v>163</v>
      </c>
      <c r="G340" s="63" t="s">
        <v>3772</v>
      </c>
      <c r="H340" s="34">
        <v>1045</v>
      </c>
      <c r="I340" s="35">
        <v>46299</v>
      </c>
      <c r="J340" s="35">
        <v>46300</v>
      </c>
      <c r="K340" s="36" t="s">
        <v>8</v>
      </c>
    </row>
    <row r="341" spans="4:11" ht="43.5" customHeight="1" x14ac:dyDescent="0.3">
      <c r="D341" s="30" t="s">
        <v>3773</v>
      </c>
      <c r="E341" s="62" t="s">
        <v>3774</v>
      </c>
      <c r="F341" s="32" t="s">
        <v>163</v>
      </c>
      <c r="G341" s="63" t="s">
        <v>3775</v>
      </c>
      <c r="H341" s="34">
        <v>1018</v>
      </c>
      <c r="I341" s="35">
        <v>46300</v>
      </c>
      <c r="J341" s="35">
        <v>46300</v>
      </c>
      <c r="K341" s="36" t="s">
        <v>8</v>
      </c>
    </row>
    <row r="342" spans="4:11" ht="43.5" customHeight="1" x14ac:dyDescent="0.3">
      <c r="D342" s="30" t="s">
        <v>3776</v>
      </c>
      <c r="E342" s="62" t="s">
        <v>3777</v>
      </c>
      <c r="F342" s="32" t="s">
        <v>163</v>
      </c>
      <c r="G342" s="63" t="s">
        <v>3778</v>
      </c>
      <c r="H342" s="34">
        <v>1045</v>
      </c>
      <c r="I342" s="35">
        <v>46300</v>
      </c>
      <c r="J342" s="35"/>
      <c r="K342" s="36" t="s">
        <v>7</v>
      </c>
    </row>
    <row r="343" spans="4:11" ht="43.5" customHeight="1" x14ac:dyDescent="0.3">
      <c r="D343" s="30" t="s">
        <v>3779</v>
      </c>
      <c r="E343" s="62" t="s">
        <v>3780</v>
      </c>
      <c r="F343" s="32" t="s">
        <v>163</v>
      </c>
      <c r="G343" s="63" t="s">
        <v>3781</v>
      </c>
      <c r="H343" s="34" t="s">
        <v>193</v>
      </c>
      <c r="I343" s="35">
        <v>46301</v>
      </c>
      <c r="J343" s="35"/>
      <c r="K343" s="36" t="s">
        <v>7</v>
      </c>
    </row>
    <row r="344" spans="4:11" ht="43.5" customHeight="1" x14ac:dyDescent="0.3">
      <c r="D344" s="30" t="s">
        <v>3782</v>
      </c>
      <c r="E344" s="62" t="s">
        <v>3783</v>
      </c>
      <c r="F344" s="32" t="s">
        <v>163</v>
      </c>
      <c r="G344" s="63" t="s">
        <v>3784</v>
      </c>
      <c r="H344" s="34" t="s">
        <v>193</v>
      </c>
      <c r="I344" s="35">
        <v>46301</v>
      </c>
      <c r="J344" s="35"/>
      <c r="K344" s="36" t="s">
        <v>7</v>
      </c>
    </row>
    <row r="345" spans="4:11" ht="43.5" customHeight="1" x14ac:dyDescent="0.3">
      <c r="D345" s="30" t="s">
        <v>3785</v>
      </c>
      <c r="E345" s="62" t="s">
        <v>3786</v>
      </c>
      <c r="F345" s="32" t="s">
        <v>163</v>
      </c>
      <c r="G345" s="63" t="s">
        <v>3787</v>
      </c>
      <c r="H345" s="34">
        <v>1029</v>
      </c>
      <c r="I345" s="35">
        <v>46301</v>
      </c>
      <c r="J345" s="35"/>
      <c r="K345" s="36" t="s">
        <v>7</v>
      </c>
    </row>
    <row r="346" spans="4:11" ht="43.5" customHeight="1" x14ac:dyDescent="0.3">
      <c r="D346" s="30" t="s">
        <v>4692</v>
      </c>
      <c r="E346" s="62" t="s">
        <v>4690</v>
      </c>
      <c r="F346" s="32" t="s">
        <v>163</v>
      </c>
      <c r="G346" s="63" t="s">
        <v>4691</v>
      </c>
      <c r="H346" s="34">
        <v>1060</v>
      </c>
      <c r="I346" s="35">
        <v>46302</v>
      </c>
      <c r="J346" s="35"/>
      <c r="K346" s="36" t="s">
        <v>7</v>
      </c>
    </row>
    <row r="347" spans="4:11" ht="43.5" customHeight="1" x14ac:dyDescent="0.3">
      <c r="D347" s="30" t="s">
        <v>4694</v>
      </c>
      <c r="E347" s="62" t="s">
        <v>4695</v>
      </c>
      <c r="F347" s="32" t="s">
        <v>163</v>
      </c>
      <c r="G347" s="63" t="s">
        <v>4693</v>
      </c>
      <c r="H347" s="34">
        <v>1060</v>
      </c>
      <c r="I347" s="35">
        <v>46302</v>
      </c>
      <c r="J347" s="35"/>
      <c r="K347" s="36" t="s">
        <v>7</v>
      </c>
    </row>
    <row r="348" spans="4:11" ht="43.5" customHeight="1" x14ac:dyDescent="0.3">
      <c r="D348" s="30" t="s">
        <v>4697</v>
      </c>
      <c r="E348" s="62" t="s">
        <v>4698</v>
      </c>
      <c r="F348" s="32" t="s">
        <v>163</v>
      </c>
      <c r="G348" s="63" t="s">
        <v>4696</v>
      </c>
      <c r="H348" s="34">
        <v>1060</v>
      </c>
      <c r="I348" s="35">
        <v>46302</v>
      </c>
      <c r="J348" s="35"/>
      <c r="K348" s="36" t="s">
        <v>7</v>
      </c>
    </row>
    <row r="349" spans="4:11" ht="43.5" customHeight="1" x14ac:dyDescent="0.3">
      <c r="D349" s="30" t="s">
        <v>4701</v>
      </c>
      <c r="E349" s="62" t="s">
        <v>4700</v>
      </c>
      <c r="F349" s="32" t="s">
        <v>163</v>
      </c>
      <c r="G349" s="63" t="s">
        <v>4699</v>
      </c>
      <c r="H349" s="34">
        <v>1060</v>
      </c>
      <c r="I349" s="35">
        <v>46302</v>
      </c>
      <c r="J349" s="35"/>
      <c r="K349" s="36" t="s">
        <v>7</v>
      </c>
    </row>
    <row r="350" spans="4:11" ht="43.5" customHeight="1" x14ac:dyDescent="0.3">
      <c r="D350" s="30" t="s">
        <v>4704</v>
      </c>
      <c r="E350" s="62" t="s">
        <v>4703</v>
      </c>
      <c r="F350" s="32" t="s">
        <v>163</v>
      </c>
      <c r="G350" s="63" t="s">
        <v>4702</v>
      </c>
      <c r="H350" s="34">
        <v>1060</v>
      </c>
      <c r="I350" s="35">
        <v>46302</v>
      </c>
      <c r="J350" s="35"/>
      <c r="K350" s="36" t="s">
        <v>7</v>
      </c>
    </row>
    <row r="351" spans="4:11" ht="43.5" customHeight="1" x14ac:dyDescent="0.3">
      <c r="D351" s="30" t="s">
        <v>4706</v>
      </c>
      <c r="E351" s="62" t="s">
        <v>4707</v>
      </c>
      <c r="F351" s="32" t="s">
        <v>163</v>
      </c>
      <c r="G351" s="63" t="s">
        <v>4705</v>
      </c>
      <c r="H351" s="34">
        <v>1060</v>
      </c>
      <c r="I351" s="35">
        <v>46302</v>
      </c>
      <c r="J351" s="35"/>
      <c r="K351" s="36" t="s">
        <v>7</v>
      </c>
    </row>
    <row r="352" spans="4:11" ht="43.5" customHeight="1" x14ac:dyDescent="0.3">
      <c r="D352" s="30" t="s">
        <v>4709</v>
      </c>
      <c r="E352" s="62" t="s">
        <v>4710</v>
      </c>
      <c r="F352" s="32" t="s">
        <v>163</v>
      </c>
      <c r="G352" s="63" t="s">
        <v>4708</v>
      </c>
      <c r="H352" s="34">
        <v>1060</v>
      </c>
      <c r="I352" s="35">
        <v>46302</v>
      </c>
      <c r="J352" s="35"/>
      <c r="K352" s="36" t="s">
        <v>7</v>
      </c>
    </row>
    <row r="353" spans="4:11" ht="43.5" customHeight="1" x14ac:dyDescent="0.3">
      <c r="D353" s="30" t="s">
        <v>4724</v>
      </c>
      <c r="E353" s="62" t="s">
        <v>4725</v>
      </c>
      <c r="F353" s="32" t="s">
        <v>163</v>
      </c>
      <c r="G353" s="63" t="s">
        <v>4723</v>
      </c>
      <c r="H353" s="34">
        <v>1021</v>
      </c>
      <c r="I353" s="35">
        <v>46302</v>
      </c>
      <c r="J353" s="35"/>
      <c r="K353" s="36" t="s">
        <v>7</v>
      </c>
    </row>
    <row r="354" spans="4:11" ht="43.5" customHeight="1" x14ac:dyDescent="0.3">
      <c r="D354" s="30" t="s">
        <v>4727</v>
      </c>
      <c r="E354" s="62" t="s">
        <v>4728</v>
      </c>
      <c r="F354" s="32" t="s">
        <v>163</v>
      </c>
      <c r="G354" s="63" t="s">
        <v>4726</v>
      </c>
      <c r="H354" s="34" t="s">
        <v>193</v>
      </c>
      <c r="I354" s="35">
        <v>46302</v>
      </c>
      <c r="J354" s="35"/>
      <c r="K354" s="36" t="s">
        <v>7</v>
      </c>
    </row>
    <row r="355" spans="4:11" ht="43.5" customHeight="1" x14ac:dyDescent="0.3">
      <c r="D355" s="30" t="s">
        <v>4740</v>
      </c>
      <c r="E355" s="62" t="s">
        <v>4739</v>
      </c>
      <c r="F355" s="32" t="s">
        <v>163</v>
      </c>
      <c r="G355" s="63" t="s">
        <v>4738</v>
      </c>
      <c r="H355" s="34" t="s">
        <v>193</v>
      </c>
      <c r="I355" s="35">
        <v>46305</v>
      </c>
      <c r="J355" s="35">
        <v>46306</v>
      </c>
      <c r="K355" s="36" t="s">
        <v>8</v>
      </c>
    </row>
    <row r="356" spans="4:11" ht="43.5" customHeight="1" x14ac:dyDescent="0.3">
      <c r="D356" s="30" t="s">
        <v>4768</v>
      </c>
      <c r="E356" s="62" t="s">
        <v>4769</v>
      </c>
      <c r="F356" s="32" t="s">
        <v>163</v>
      </c>
      <c r="G356" s="63" t="s">
        <v>4767</v>
      </c>
      <c r="H356" s="34">
        <v>1028</v>
      </c>
      <c r="I356" s="35">
        <v>46306</v>
      </c>
      <c r="J356" s="35"/>
      <c r="K356" s="36" t="s">
        <v>7</v>
      </c>
    </row>
    <row r="357" spans="4:11" ht="43.5" customHeight="1" x14ac:dyDescent="0.3">
      <c r="D357" s="30"/>
      <c r="E357" s="62"/>
      <c r="F357" s="32"/>
      <c r="G357" s="63"/>
      <c r="H357" s="34"/>
      <c r="I357" s="35"/>
      <c r="J357" s="35"/>
      <c r="K357" s="36"/>
    </row>
    <row r="358" spans="4:11" ht="43.5" customHeight="1" x14ac:dyDescent="0.3">
      <c r="D358" s="30"/>
      <c r="E358" s="62"/>
      <c r="F358" s="32"/>
      <c r="G358" s="63"/>
      <c r="H358" s="34"/>
      <c r="I358" s="35"/>
      <c r="J358" s="35"/>
      <c r="K358" s="36"/>
    </row>
    <row r="359" spans="4:11" ht="43.5" customHeight="1" x14ac:dyDescent="0.3">
      <c r="D359" s="30"/>
      <c r="E359" s="62"/>
      <c r="F359" s="32"/>
      <c r="G359" s="63"/>
      <c r="H359" s="34"/>
      <c r="I359" s="35"/>
      <c r="J359" s="35"/>
      <c r="K359" s="36"/>
    </row>
    <row r="360" spans="4:11" ht="43.5" customHeight="1" x14ac:dyDescent="0.3">
      <c r="D360" s="30"/>
      <c r="E360" s="62"/>
      <c r="F360" s="32"/>
      <c r="G360" s="63"/>
      <c r="H360" s="34"/>
      <c r="I360" s="35"/>
      <c r="J360" s="35"/>
      <c r="K360" s="36"/>
    </row>
    <row r="361" spans="4:11" ht="43.5" customHeight="1" x14ac:dyDescent="0.3">
      <c r="D361" s="30"/>
      <c r="E361" s="62"/>
      <c r="F361" s="32"/>
      <c r="G361" s="63"/>
      <c r="H361" s="34"/>
      <c r="I361" s="35"/>
      <c r="J361" s="35"/>
      <c r="K361" s="36"/>
    </row>
    <row r="362" spans="4:11" ht="43.5" customHeight="1" x14ac:dyDescent="0.3">
      <c r="D362" s="30"/>
      <c r="E362" s="62"/>
      <c r="F362" s="32"/>
      <c r="G362" s="63"/>
      <c r="H362" s="34"/>
      <c r="I362" s="35"/>
      <c r="J362" s="35"/>
      <c r="K362" s="36"/>
    </row>
    <row r="363" spans="4:11" ht="43.5" customHeight="1" x14ac:dyDescent="0.3">
      <c r="D363" s="30"/>
      <c r="E363" s="62"/>
      <c r="F363" s="32"/>
      <c r="G363" s="63"/>
      <c r="H363" s="34"/>
      <c r="I363" s="35"/>
      <c r="J363" s="35"/>
      <c r="K363" s="36"/>
    </row>
    <row r="364" spans="4:11" ht="43.5" customHeight="1" x14ac:dyDescent="0.3">
      <c r="D364" s="30"/>
      <c r="E364" s="62"/>
      <c r="F364" s="32"/>
      <c r="G364" s="63"/>
      <c r="H364" s="34"/>
      <c r="I364" s="35"/>
      <c r="J364" s="35"/>
      <c r="K364" s="36"/>
    </row>
    <row r="365" spans="4:11" ht="43.5" customHeight="1" x14ac:dyDescent="0.3">
      <c r="D365" s="30"/>
      <c r="E365" s="62"/>
      <c r="F365" s="32"/>
      <c r="G365" s="63"/>
      <c r="H365" s="34"/>
      <c r="I365" s="35"/>
      <c r="J365" s="35"/>
      <c r="K365" s="36"/>
    </row>
  </sheetData>
  <autoFilter ref="D4:K356" xr:uid="{00000000-0009-0000-0000-000004000000}"/>
  <mergeCells count="4">
    <mergeCell ref="G1:K1"/>
    <mergeCell ref="G2:K2"/>
    <mergeCell ref="J3:K3"/>
    <mergeCell ref="D1:E2"/>
  </mergeCells>
  <conditionalFormatting sqref="D1 D3:D1048576">
    <cfRule type="duplicateValues" dxfId="26" priority="3"/>
    <cfRule type="duplicateValues" dxfId="25" priority="4"/>
  </conditionalFormatting>
  <conditionalFormatting sqref="E3:E1048576">
    <cfRule type="duplicateValues" dxfId="24" priority="2"/>
  </conditionalFormatting>
  <conditionalFormatting sqref="G1:G1048576">
    <cfRule type="duplicateValues" dxfId="23" priority="7"/>
  </conditionalFormatting>
  <conditionalFormatting sqref="K5:K365">
    <cfRule type="cellIs" dxfId="22" priority="5" operator="equal">
      <formula>"Pending"</formula>
    </cfRule>
    <cfRule type="cellIs" dxfId="21" priority="6" operator="equal">
      <formula>"Responded"</formula>
    </cfRule>
  </conditionalFormatting>
  <dataValidations count="1">
    <dataValidation type="list" allowBlank="1" showInputMessage="1" showErrorMessage="1" sqref="K5:K356" xr:uid="{00000000-0002-0000-0400-000000000000}">
      <formula1>"Pending,Responded"</formula1>
      <formula2>0</formula2>
    </dataValidation>
  </dataValidations>
  <pageMargins left="0.7" right="0.7" top="0.75" bottom="0.75" header="0.511811023622047" footer="0.511811023622047"/>
  <pageSetup paperSize="9" scale="21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FAADC"/>
  </sheetPr>
  <dimension ref="A1:N312"/>
  <sheetViews>
    <sheetView showGridLines="0" tabSelected="1" view="pageBreakPreview" topLeftCell="D1" zoomScale="60" zoomScaleNormal="40" zoomScalePageLayoutView="55" workbookViewId="0">
      <pane ySplit="4" topLeftCell="A290" activePane="bottomLeft" state="frozen"/>
      <selection activeCell="D1" sqref="D1"/>
      <selection pane="bottomLeft" activeCell="G308" sqref="G308"/>
    </sheetView>
  </sheetViews>
  <sheetFormatPr defaultColWidth="9.109375" defaultRowHeight="21" customHeight="1" x14ac:dyDescent="0.3"/>
  <cols>
    <col min="1" max="3" width="13" style="13" hidden="1" customWidth="1"/>
    <col min="4" max="4" width="74" style="13" customWidth="1"/>
    <col min="5" max="5" width="28.5546875" style="14" customWidth="1"/>
    <col min="6" max="6" width="10.6640625" style="65" customWidth="1"/>
    <col min="7" max="7" width="191" style="54" customWidth="1"/>
    <col min="8" max="8" width="15.5546875" style="16" customWidth="1"/>
    <col min="9" max="9" width="18.21875" style="17" customWidth="1"/>
    <col min="10" max="10" width="17.5546875" style="17" customWidth="1"/>
    <col min="11" max="11" width="19.109375" style="18" customWidth="1"/>
    <col min="12" max="16384" width="9.109375" style="13"/>
  </cols>
  <sheetData>
    <row r="1" spans="4:14" s="19" customFormat="1" ht="133.5" customHeight="1" x14ac:dyDescent="0.3">
      <c r="D1" s="20"/>
      <c r="E1" s="21"/>
      <c r="F1" s="66"/>
      <c r="G1" s="95"/>
      <c r="H1" s="95"/>
      <c r="I1" s="95"/>
      <c r="J1" s="95"/>
      <c r="K1" s="95"/>
    </row>
    <row r="2" spans="4:14" s="19" customFormat="1" ht="45.75" customHeight="1" x14ac:dyDescent="0.3">
      <c r="D2" s="23"/>
      <c r="E2" s="24"/>
      <c r="F2" s="65"/>
      <c r="G2" s="96" t="s">
        <v>3788</v>
      </c>
      <c r="H2" s="96"/>
      <c r="I2" s="96"/>
      <c r="J2" s="96"/>
      <c r="K2" s="96"/>
    </row>
    <row r="3" spans="4:14" s="19" customFormat="1" ht="54.75" customHeight="1" x14ac:dyDescent="0.3">
      <c r="D3" s="23"/>
      <c r="E3" s="24"/>
      <c r="F3" s="65"/>
      <c r="G3" s="55"/>
      <c r="H3" s="26"/>
      <c r="I3" s="27"/>
      <c r="J3" s="97"/>
      <c r="K3" s="97"/>
    </row>
    <row r="4" spans="4:14" s="56" customFormat="1" ht="69.75" customHeight="1" x14ac:dyDescent="0.3">
      <c r="D4" s="47" t="s">
        <v>18</v>
      </c>
      <c r="E4" s="29" t="s">
        <v>19</v>
      </c>
      <c r="F4" s="47" t="s">
        <v>20</v>
      </c>
      <c r="G4" s="47" t="s">
        <v>21</v>
      </c>
      <c r="H4" s="47" t="s">
        <v>22</v>
      </c>
      <c r="I4" s="47" t="s">
        <v>23</v>
      </c>
      <c r="J4" s="47" t="s">
        <v>24</v>
      </c>
      <c r="K4" s="47" t="s">
        <v>25</v>
      </c>
      <c r="L4" s="57"/>
      <c r="M4" s="57"/>
      <c r="N4" s="57"/>
    </row>
    <row r="5" spans="4:14" s="37" customFormat="1" ht="42" customHeight="1" x14ac:dyDescent="0.3">
      <c r="D5" s="30" t="s">
        <v>3789</v>
      </c>
      <c r="E5" s="62"/>
      <c r="F5" s="67">
        <v>0</v>
      </c>
      <c r="G5" s="63" t="s">
        <v>3790</v>
      </c>
      <c r="H5" s="34" t="s">
        <v>80</v>
      </c>
      <c r="I5" s="35">
        <v>46015</v>
      </c>
      <c r="J5" s="35">
        <v>46096</v>
      </c>
      <c r="K5" s="36" t="s">
        <v>8</v>
      </c>
    </row>
    <row r="6" spans="4:14" s="37" customFormat="1" ht="42" customHeight="1" x14ac:dyDescent="0.3">
      <c r="D6" s="30" t="s">
        <v>3791</v>
      </c>
      <c r="E6" s="62"/>
      <c r="F6" s="67">
        <v>0</v>
      </c>
      <c r="G6" s="63" t="s">
        <v>3792</v>
      </c>
      <c r="H6" s="34" t="s">
        <v>80</v>
      </c>
      <c r="I6" s="35">
        <v>46015</v>
      </c>
      <c r="J6" s="35">
        <v>46092</v>
      </c>
      <c r="K6" s="36" t="s">
        <v>8</v>
      </c>
    </row>
    <row r="7" spans="4:14" s="37" customFormat="1" ht="42" customHeight="1" x14ac:dyDescent="0.3">
      <c r="D7" s="30" t="s">
        <v>3793</v>
      </c>
      <c r="E7" s="62"/>
      <c r="F7" s="67">
        <v>0</v>
      </c>
      <c r="G7" s="63" t="s">
        <v>3794</v>
      </c>
      <c r="H7" s="34" t="s">
        <v>80</v>
      </c>
      <c r="I7" s="35">
        <v>46015</v>
      </c>
      <c r="J7" s="35">
        <v>46096</v>
      </c>
      <c r="K7" s="36" t="s">
        <v>8</v>
      </c>
    </row>
    <row r="8" spans="4:14" s="37" customFormat="1" ht="42" customHeight="1" x14ac:dyDescent="0.3">
      <c r="D8" s="30" t="s">
        <v>3795</v>
      </c>
      <c r="E8" s="62"/>
      <c r="F8" s="67">
        <v>0</v>
      </c>
      <c r="G8" s="63" t="s">
        <v>3796</v>
      </c>
      <c r="H8" s="34" t="s">
        <v>80</v>
      </c>
      <c r="I8" s="35">
        <v>46015</v>
      </c>
      <c r="J8" s="35">
        <v>46093</v>
      </c>
      <c r="K8" s="36" t="s">
        <v>8</v>
      </c>
    </row>
    <row r="9" spans="4:14" s="37" customFormat="1" ht="42" customHeight="1" x14ac:dyDescent="0.3">
      <c r="D9" s="30" t="s">
        <v>3797</v>
      </c>
      <c r="E9" s="62"/>
      <c r="F9" s="67">
        <v>0</v>
      </c>
      <c r="G9" s="63" t="s">
        <v>3798</v>
      </c>
      <c r="H9" s="34" t="s">
        <v>85</v>
      </c>
      <c r="I9" s="35">
        <v>46016</v>
      </c>
      <c r="J9" s="35">
        <v>46099</v>
      </c>
      <c r="K9" s="36" t="s">
        <v>8</v>
      </c>
    </row>
    <row r="10" spans="4:14" s="37" customFormat="1" ht="42" customHeight="1" x14ac:dyDescent="0.3">
      <c r="D10" s="30" t="s">
        <v>3799</v>
      </c>
      <c r="E10" s="62"/>
      <c r="F10" s="67">
        <v>0</v>
      </c>
      <c r="G10" s="63" t="s">
        <v>3800</v>
      </c>
      <c r="H10" s="34" t="s">
        <v>85</v>
      </c>
      <c r="I10" s="35">
        <v>46016</v>
      </c>
      <c r="J10" s="35">
        <v>46099</v>
      </c>
      <c r="K10" s="36" t="s">
        <v>8</v>
      </c>
    </row>
    <row r="11" spans="4:14" s="37" customFormat="1" ht="42" customHeight="1" x14ac:dyDescent="0.3">
      <c r="D11" s="30" t="s">
        <v>3801</v>
      </c>
      <c r="E11" s="62"/>
      <c r="F11" s="67">
        <v>0</v>
      </c>
      <c r="G11" s="63" t="s">
        <v>3802</v>
      </c>
      <c r="H11" s="34" t="s">
        <v>85</v>
      </c>
      <c r="I11" s="35">
        <v>46016</v>
      </c>
      <c r="J11" s="35">
        <v>46099</v>
      </c>
      <c r="K11" s="36" t="s">
        <v>8</v>
      </c>
    </row>
    <row r="12" spans="4:14" s="37" customFormat="1" ht="42" customHeight="1" x14ac:dyDescent="0.3">
      <c r="D12" s="30" t="s">
        <v>3803</v>
      </c>
      <c r="E12" s="62"/>
      <c r="F12" s="67">
        <v>0</v>
      </c>
      <c r="G12" s="63" t="s">
        <v>3804</v>
      </c>
      <c r="H12" s="34" t="s">
        <v>85</v>
      </c>
      <c r="I12" s="35">
        <v>46016</v>
      </c>
      <c r="J12" s="35">
        <v>46100</v>
      </c>
      <c r="K12" s="36" t="s">
        <v>8</v>
      </c>
    </row>
    <row r="13" spans="4:14" s="37" customFormat="1" ht="42" customHeight="1" x14ac:dyDescent="0.3">
      <c r="D13" s="30" t="s">
        <v>3805</v>
      </c>
      <c r="E13" s="62"/>
      <c r="F13" s="67">
        <v>0</v>
      </c>
      <c r="G13" s="63" t="s">
        <v>3806</v>
      </c>
      <c r="H13" s="34" t="s">
        <v>80</v>
      </c>
      <c r="I13" s="35">
        <v>46023</v>
      </c>
      <c r="J13" s="35">
        <v>46085</v>
      </c>
      <c r="K13" s="36" t="s">
        <v>8</v>
      </c>
    </row>
    <row r="14" spans="4:14" s="37" customFormat="1" ht="42" customHeight="1" x14ac:dyDescent="0.3">
      <c r="D14" s="30" t="s">
        <v>3807</v>
      </c>
      <c r="E14" s="62"/>
      <c r="F14" s="67">
        <v>0</v>
      </c>
      <c r="G14" s="63" t="s">
        <v>3808</v>
      </c>
      <c r="H14" s="34" t="s">
        <v>80</v>
      </c>
      <c r="I14" s="35">
        <v>46056</v>
      </c>
      <c r="J14" s="35">
        <v>46068</v>
      </c>
      <c r="K14" s="36" t="s">
        <v>8</v>
      </c>
    </row>
    <row r="15" spans="4:14" s="37" customFormat="1" ht="42" customHeight="1" x14ac:dyDescent="0.3">
      <c r="D15" s="30" t="s">
        <v>3809</v>
      </c>
      <c r="E15" s="62"/>
      <c r="F15" s="67">
        <v>0</v>
      </c>
      <c r="G15" s="63" t="s">
        <v>3810</v>
      </c>
      <c r="H15" s="34" t="s">
        <v>121</v>
      </c>
      <c r="I15" s="35">
        <v>46062</v>
      </c>
      <c r="J15" s="35">
        <v>46072</v>
      </c>
      <c r="K15" s="36" t="s">
        <v>8</v>
      </c>
    </row>
    <row r="16" spans="4:14" s="37" customFormat="1" ht="42" customHeight="1" x14ac:dyDescent="0.3">
      <c r="D16" s="30" t="s">
        <v>3811</v>
      </c>
      <c r="E16" s="62"/>
      <c r="F16" s="67">
        <v>0</v>
      </c>
      <c r="G16" s="63" t="s">
        <v>3812</v>
      </c>
      <c r="H16" s="34" t="s">
        <v>85</v>
      </c>
      <c r="I16" s="35">
        <v>46067</v>
      </c>
      <c r="J16" s="35">
        <v>46085</v>
      </c>
      <c r="K16" s="36" t="s">
        <v>8</v>
      </c>
    </row>
    <row r="17" spans="4:11" s="37" customFormat="1" ht="42" customHeight="1" x14ac:dyDescent="0.3">
      <c r="D17" s="30" t="s">
        <v>3813</v>
      </c>
      <c r="E17" s="62"/>
      <c r="F17" s="67">
        <v>0</v>
      </c>
      <c r="G17" s="63" t="s">
        <v>3814</v>
      </c>
      <c r="H17" s="34" t="s">
        <v>88</v>
      </c>
      <c r="I17" s="35">
        <v>46070</v>
      </c>
      <c r="J17" s="35">
        <v>46086</v>
      </c>
      <c r="K17" s="36" t="s">
        <v>8</v>
      </c>
    </row>
    <row r="18" spans="4:11" ht="42" customHeight="1" x14ac:dyDescent="0.3">
      <c r="D18" s="30" t="s">
        <v>3815</v>
      </c>
      <c r="E18" s="62"/>
      <c r="F18" s="67">
        <v>0</v>
      </c>
      <c r="G18" s="63" t="s">
        <v>3816</v>
      </c>
      <c r="H18" s="34" t="s">
        <v>85</v>
      </c>
      <c r="I18" s="35">
        <v>46078</v>
      </c>
      <c r="J18" s="35"/>
      <c r="K18" s="36" t="s">
        <v>7</v>
      </c>
    </row>
    <row r="19" spans="4:11" ht="42" customHeight="1" x14ac:dyDescent="0.3">
      <c r="D19" s="30" t="s">
        <v>3817</v>
      </c>
      <c r="E19" s="62"/>
      <c r="F19" s="67">
        <v>0</v>
      </c>
      <c r="G19" s="63" t="s">
        <v>3818</v>
      </c>
      <c r="H19" s="34" t="s">
        <v>88</v>
      </c>
      <c r="I19" s="35">
        <v>46083</v>
      </c>
      <c r="J19" s="35">
        <v>46092</v>
      </c>
      <c r="K19" s="36" t="s">
        <v>8</v>
      </c>
    </row>
    <row r="20" spans="4:11" ht="42" customHeight="1" x14ac:dyDescent="0.3">
      <c r="D20" s="30" t="s">
        <v>3819</v>
      </c>
      <c r="E20" s="62"/>
      <c r="F20" s="67">
        <v>0</v>
      </c>
      <c r="G20" s="63" t="s">
        <v>3820</v>
      </c>
      <c r="H20" s="34" t="s">
        <v>29</v>
      </c>
      <c r="I20" s="35">
        <v>46085</v>
      </c>
      <c r="J20" s="35">
        <v>46087</v>
      </c>
      <c r="K20" s="36" t="s">
        <v>8</v>
      </c>
    </row>
    <row r="21" spans="4:11" ht="42" customHeight="1" x14ac:dyDescent="0.3">
      <c r="D21" s="30" t="s">
        <v>3821</v>
      </c>
      <c r="E21" s="62"/>
      <c r="F21" s="67">
        <v>0</v>
      </c>
      <c r="G21" s="63" t="s">
        <v>3822</v>
      </c>
      <c r="H21" s="34" t="s">
        <v>88</v>
      </c>
      <c r="I21" s="35">
        <v>46090</v>
      </c>
      <c r="J21" s="35">
        <v>46142</v>
      </c>
      <c r="K21" s="36" t="s">
        <v>8</v>
      </c>
    </row>
    <row r="22" spans="4:11" ht="42" customHeight="1" x14ac:dyDescent="0.3">
      <c r="D22" s="30" t="s">
        <v>3823</v>
      </c>
      <c r="E22" s="62"/>
      <c r="F22" s="67">
        <v>0</v>
      </c>
      <c r="G22" s="63" t="s">
        <v>3824</v>
      </c>
      <c r="H22" s="34" t="s">
        <v>88</v>
      </c>
      <c r="I22" s="35">
        <v>46090</v>
      </c>
      <c r="J22" s="35">
        <v>46096</v>
      </c>
      <c r="K22" s="36" t="s">
        <v>8</v>
      </c>
    </row>
    <row r="23" spans="4:11" ht="42" customHeight="1" x14ac:dyDescent="0.3">
      <c r="D23" s="30" t="s">
        <v>3825</v>
      </c>
      <c r="E23" s="62"/>
      <c r="F23" s="67">
        <v>0</v>
      </c>
      <c r="G23" s="63" t="s">
        <v>3826</v>
      </c>
      <c r="H23" s="34" t="s">
        <v>88</v>
      </c>
      <c r="I23" s="35">
        <v>46090</v>
      </c>
      <c r="J23" s="35">
        <v>46142</v>
      </c>
      <c r="K23" s="36" t="s">
        <v>8</v>
      </c>
    </row>
    <row r="24" spans="4:11" ht="42" customHeight="1" x14ac:dyDescent="0.3">
      <c r="D24" s="30" t="s">
        <v>3827</v>
      </c>
      <c r="E24" s="62"/>
      <c r="F24" s="67">
        <v>0</v>
      </c>
      <c r="G24" s="63" t="s">
        <v>3828</v>
      </c>
      <c r="H24" s="34" t="s">
        <v>2840</v>
      </c>
      <c r="I24" s="35">
        <v>46093</v>
      </c>
      <c r="J24" s="35">
        <v>46097</v>
      </c>
      <c r="K24" s="36" t="s">
        <v>8</v>
      </c>
    </row>
    <row r="25" spans="4:11" ht="42" customHeight="1" x14ac:dyDescent="0.3">
      <c r="D25" s="30" t="s">
        <v>3829</v>
      </c>
      <c r="E25" s="62"/>
      <c r="F25" s="67">
        <v>0</v>
      </c>
      <c r="G25" s="63" t="s">
        <v>3830</v>
      </c>
      <c r="H25" s="34" t="s">
        <v>88</v>
      </c>
      <c r="I25" s="35">
        <v>46128</v>
      </c>
      <c r="J25" s="35">
        <v>46135</v>
      </c>
      <c r="K25" s="36" t="s">
        <v>8</v>
      </c>
    </row>
    <row r="26" spans="4:11" ht="42" customHeight="1" x14ac:dyDescent="0.3">
      <c r="D26" s="30" t="s">
        <v>3831</v>
      </c>
      <c r="E26" s="62"/>
      <c r="F26" s="67">
        <v>0</v>
      </c>
      <c r="G26" s="63" t="s">
        <v>3832</v>
      </c>
      <c r="H26" s="34" t="s">
        <v>88</v>
      </c>
      <c r="I26" s="35">
        <v>46128</v>
      </c>
      <c r="J26" s="35">
        <v>46135</v>
      </c>
      <c r="K26" s="36" t="s">
        <v>8</v>
      </c>
    </row>
    <row r="27" spans="4:11" ht="42" customHeight="1" x14ac:dyDescent="0.3">
      <c r="D27" s="30" t="s">
        <v>3833</v>
      </c>
      <c r="E27" s="62"/>
      <c r="F27" s="67">
        <v>0</v>
      </c>
      <c r="G27" s="63" t="s">
        <v>3834</v>
      </c>
      <c r="H27" s="34" t="s">
        <v>88</v>
      </c>
      <c r="I27" s="35">
        <v>46131</v>
      </c>
      <c r="J27" s="35">
        <v>46134</v>
      </c>
      <c r="K27" s="36" t="s">
        <v>8</v>
      </c>
    </row>
    <row r="28" spans="4:11" ht="42" customHeight="1" x14ac:dyDescent="0.3">
      <c r="D28" s="30" t="s">
        <v>3835</v>
      </c>
      <c r="E28" s="62"/>
      <c r="F28" s="67">
        <v>0</v>
      </c>
      <c r="G28" s="63" t="s">
        <v>3836</v>
      </c>
      <c r="H28" s="34" t="s">
        <v>29</v>
      </c>
      <c r="I28" s="35">
        <v>46134</v>
      </c>
      <c r="J28" s="35">
        <v>46153</v>
      </c>
      <c r="K28" s="36" t="s">
        <v>8</v>
      </c>
    </row>
    <row r="29" spans="4:11" ht="42" customHeight="1" x14ac:dyDescent="0.3">
      <c r="D29" s="30" t="s">
        <v>3837</v>
      </c>
      <c r="E29" s="62"/>
      <c r="F29" s="67">
        <v>0</v>
      </c>
      <c r="G29" s="63" t="s">
        <v>3838</v>
      </c>
      <c r="H29" s="34" t="s">
        <v>54</v>
      </c>
      <c r="I29" s="35">
        <v>46135</v>
      </c>
      <c r="J29" s="35">
        <v>46142</v>
      </c>
      <c r="K29" s="36" t="s">
        <v>8</v>
      </c>
    </row>
    <row r="30" spans="4:11" ht="42" customHeight="1" x14ac:dyDescent="0.3">
      <c r="D30" s="30" t="s">
        <v>3839</v>
      </c>
      <c r="E30" s="62"/>
      <c r="F30" s="67">
        <v>0</v>
      </c>
      <c r="G30" s="63" t="s">
        <v>3840</v>
      </c>
      <c r="H30" s="34" t="s">
        <v>2604</v>
      </c>
      <c r="I30" s="35">
        <v>46138</v>
      </c>
      <c r="J30" s="35">
        <v>46142</v>
      </c>
      <c r="K30" s="36" t="s">
        <v>8</v>
      </c>
    </row>
    <row r="31" spans="4:11" ht="42" customHeight="1" x14ac:dyDescent="0.3">
      <c r="D31" s="30" t="s">
        <v>3841</v>
      </c>
      <c r="E31" s="62"/>
      <c r="F31" s="67">
        <v>0</v>
      </c>
      <c r="G31" s="63" t="s">
        <v>3842</v>
      </c>
      <c r="H31" s="34" t="s">
        <v>54</v>
      </c>
      <c r="I31" s="35">
        <v>46138</v>
      </c>
      <c r="J31" s="35">
        <v>46142</v>
      </c>
      <c r="K31" s="36" t="s">
        <v>8</v>
      </c>
    </row>
    <row r="32" spans="4:11" ht="42" customHeight="1" x14ac:dyDescent="0.3">
      <c r="D32" s="30" t="s">
        <v>3843</v>
      </c>
      <c r="E32" s="62"/>
      <c r="F32" s="67">
        <v>0</v>
      </c>
      <c r="G32" s="63" t="s">
        <v>3844</v>
      </c>
      <c r="H32" s="34" t="s">
        <v>54</v>
      </c>
      <c r="I32" s="35">
        <v>46138</v>
      </c>
      <c r="J32" s="35">
        <v>46140</v>
      </c>
      <c r="K32" s="36" t="s">
        <v>8</v>
      </c>
    </row>
    <row r="33" spans="4:11" ht="42" customHeight="1" x14ac:dyDescent="0.3">
      <c r="D33" s="30" t="s">
        <v>3845</v>
      </c>
      <c r="E33" s="62" t="s">
        <v>3846</v>
      </c>
      <c r="F33" s="67">
        <v>0</v>
      </c>
      <c r="G33" s="63" t="s">
        <v>3847</v>
      </c>
      <c r="H33" s="34" t="s">
        <v>29</v>
      </c>
      <c r="I33" s="35">
        <v>46138</v>
      </c>
      <c r="J33" s="35">
        <v>46141</v>
      </c>
      <c r="K33" s="36" t="s">
        <v>8</v>
      </c>
    </row>
    <row r="34" spans="4:11" ht="42" customHeight="1" x14ac:dyDescent="0.3">
      <c r="D34" s="30" t="s">
        <v>3848</v>
      </c>
      <c r="E34" s="62" t="s">
        <v>3849</v>
      </c>
      <c r="F34" s="67">
        <v>0</v>
      </c>
      <c r="G34" s="63" t="s">
        <v>3850</v>
      </c>
      <c r="H34" s="34" t="s">
        <v>2818</v>
      </c>
      <c r="I34" s="35">
        <v>46139</v>
      </c>
      <c r="J34" s="35">
        <v>46142</v>
      </c>
      <c r="K34" s="36" t="s">
        <v>8</v>
      </c>
    </row>
    <row r="35" spans="4:11" ht="42" customHeight="1" x14ac:dyDescent="0.3">
      <c r="D35" s="30" t="s">
        <v>3851</v>
      </c>
      <c r="E35" s="62" t="s">
        <v>3852</v>
      </c>
      <c r="F35" s="67">
        <v>0</v>
      </c>
      <c r="G35" s="63" t="s">
        <v>3853</v>
      </c>
      <c r="H35" s="34" t="s">
        <v>2604</v>
      </c>
      <c r="I35" s="35">
        <v>46145</v>
      </c>
      <c r="J35" s="35">
        <v>46148</v>
      </c>
      <c r="K35" s="36" t="s">
        <v>8</v>
      </c>
    </row>
    <row r="36" spans="4:11" ht="42" customHeight="1" x14ac:dyDescent="0.3">
      <c r="D36" s="30" t="s">
        <v>3854</v>
      </c>
      <c r="E36" s="62" t="s">
        <v>3855</v>
      </c>
      <c r="F36" s="67">
        <v>0</v>
      </c>
      <c r="G36" s="63" t="s">
        <v>3856</v>
      </c>
      <c r="H36" s="34" t="s">
        <v>54</v>
      </c>
      <c r="I36" s="35">
        <v>46146</v>
      </c>
      <c r="J36" s="35">
        <v>46154</v>
      </c>
      <c r="K36" s="36" t="s">
        <v>8</v>
      </c>
    </row>
    <row r="37" spans="4:11" ht="42" customHeight="1" x14ac:dyDescent="0.3">
      <c r="D37" s="30" t="s">
        <v>3857</v>
      </c>
      <c r="E37" s="62" t="s">
        <v>3858</v>
      </c>
      <c r="F37" s="67">
        <v>0</v>
      </c>
      <c r="G37" s="63" t="s">
        <v>3859</v>
      </c>
      <c r="H37" s="34" t="s">
        <v>54</v>
      </c>
      <c r="I37" s="35">
        <v>46146</v>
      </c>
      <c r="J37" s="35">
        <v>46147</v>
      </c>
      <c r="K37" s="36" t="s">
        <v>8</v>
      </c>
    </row>
    <row r="38" spans="4:11" ht="42" customHeight="1" x14ac:dyDescent="0.3">
      <c r="D38" s="30" t="s">
        <v>3860</v>
      </c>
      <c r="E38" s="62" t="s">
        <v>3861</v>
      </c>
      <c r="F38" s="67">
        <v>0</v>
      </c>
      <c r="G38" s="63" t="s">
        <v>3862</v>
      </c>
      <c r="H38" s="34" t="s">
        <v>29</v>
      </c>
      <c r="I38" s="35">
        <v>46146</v>
      </c>
      <c r="J38" s="35">
        <v>46154</v>
      </c>
      <c r="K38" s="36" t="s">
        <v>8</v>
      </c>
    </row>
    <row r="39" spans="4:11" ht="42" customHeight="1" x14ac:dyDescent="0.3">
      <c r="D39" s="30" t="s">
        <v>3863</v>
      </c>
      <c r="E39" s="62" t="s">
        <v>3864</v>
      </c>
      <c r="F39" s="67">
        <v>0</v>
      </c>
      <c r="G39" s="63" t="s">
        <v>3865</v>
      </c>
      <c r="H39" s="34" t="s">
        <v>29</v>
      </c>
      <c r="I39" s="35">
        <v>46146</v>
      </c>
      <c r="J39" s="35">
        <v>46149</v>
      </c>
      <c r="K39" s="36" t="s">
        <v>8</v>
      </c>
    </row>
    <row r="40" spans="4:11" ht="42" customHeight="1" x14ac:dyDescent="0.3">
      <c r="D40" s="30" t="s">
        <v>3866</v>
      </c>
      <c r="E40" s="62" t="s">
        <v>3867</v>
      </c>
      <c r="F40" s="67">
        <v>0</v>
      </c>
      <c r="G40" s="63" t="s">
        <v>3868</v>
      </c>
      <c r="H40" s="34" t="s">
        <v>2818</v>
      </c>
      <c r="I40" s="35">
        <v>46146</v>
      </c>
      <c r="J40" s="35">
        <v>46149</v>
      </c>
      <c r="K40" s="36" t="s">
        <v>8</v>
      </c>
    </row>
    <row r="41" spans="4:11" ht="42" customHeight="1" x14ac:dyDescent="0.3">
      <c r="D41" s="30" t="s">
        <v>3869</v>
      </c>
      <c r="E41" s="62" t="s">
        <v>3870</v>
      </c>
      <c r="F41" s="67">
        <v>0</v>
      </c>
      <c r="G41" s="63" t="s">
        <v>3871</v>
      </c>
      <c r="H41" s="34" t="s">
        <v>29</v>
      </c>
      <c r="I41" s="35">
        <v>46147</v>
      </c>
      <c r="J41" s="35">
        <v>46154</v>
      </c>
      <c r="K41" s="36" t="s">
        <v>8</v>
      </c>
    </row>
    <row r="42" spans="4:11" ht="42" customHeight="1" x14ac:dyDescent="0.3">
      <c r="D42" s="30" t="s">
        <v>3872</v>
      </c>
      <c r="E42" s="62" t="s">
        <v>3873</v>
      </c>
      <c r="F42" s="67">
        <v>0</v>
      </c>
      <c r="G42" s="63" t="s">
        <v>3874</v>
      </c>
      <c r="H42" s="34" t="s">
        <v>193</v>
      </c>
      <c r="I42" s="35">
        <v>46147</v>
      </c>
      <c r="J42" s="35">
        <v>46147</v>
      </c>
      <c r="K42" s="36" t="s">
        <v>8</v>
      </c>
    </row>
    <row r="43" spans="4:11" ht="42" customHeight="1" x14ac:dyDescent="0.3">
      <c r="D43" s="30" t="s">
        <v>3875</v>
      </c>
      <c r="E43" s="62" t="s">
        <v>3876</v>
      </c>
      <c r="F43" s="68" t="s">
        <v>163</v>
      </c>
      <c r="G43" s="63" t="s">
        <v>3877</v>
      </c>
      <c r="H43" s="52" t="s">
        <v>2618</v>
      </c>
      <c r="I43" s="60">
        <v>46153</v>
      </c>
      <c r="J43" s="35">
        <v>46174</v>
      </c>
      <c r="K43" s="36" t="s">
        <v>8</v>
      </c>
    </row>
    <row r="44" spans="4:11" ht="42" customHeight="1" x14ac:dyDescent="0.3">
      <c r="D44" s="30" t="s">
        <v>3878</v>
      </c>
      <c r="E44" s="62" t="s">
        <v>3879</v>
      </c>
      <c r="F44" s="68" t="s">
        <v>163</v>
      </c>
      <c r="G44" s="63" t="s">
        <v>3880</v>
      </c>
      <c r="H44" s="52" t="s">
        <v>29</v>
      </c>
      <c r="I44" s="60">
        <v>46154</v>
      </c>
      <c r="J44" s="35">
        <v>46163</v>
      </c>
      <c r="K44" s="36" t="s">
        <v>8</v>
      </c>
    </row>
    <row r="45" spans="4:11" ht="42" customHeight="1" x14ac:dyDescent="0.3">
      <c r="D45" s="30" t="s">
        <v>3881</v>
      </c>
      <c r="E45" s="62" t="s">
        <v>3882</v>
      </c>
      <c r="F45" s="68" t="s">
        <v>163</v>
      </c>
      <c r="G45" s="63" t="s">
        <v>3883</v>
      </c>
      <c r="H45" s="52" t="s">
        <v>193</v>
      </c>
      <c r="I45" s="60">
        <v>46154</v>
      </c>
      <c r="J45" s="35">
        <v>46158</v>
      </c>
      <c r="K45" s="36" t="s">
        <v>8</v>
      </c>
    </row>
    <row r="46" spans="4:11" ht="42" customHeight="1" x14ac:dyDescent="0.3">
      <c r="D46" s="30" t="s">
        <v>3884</v>
      </c>
      <c r="E46" s="62" t="s">
        <v>3885</v>
      </c>
      <c r="F46" s="68" t="s">
        <v>163</v>
      </c>
      <c r="G46" s="63" t="s">
        <v>3886</v>
      </c>
      <c r="H46" s="52" t="s">
        <v>193</v>
      </c>
      <c r="I46" s="60">
        <v>46154</v>
      </c>
      <c r="J46" s="35">
        <v>46155</v>
      </c>
      <c r="K46" s="36" t="s">
        <v>8</v>
      </c>
    </row>
    <row r="47" spans="4:11" ht="42" customHeight="1" x14ac:dyDescent="0.3">
      <c r="D47" s="30" t="s">
        <v>3887</v>
      </c>
      <c r="E47" s="62" t="s">
        <v>3888</v>
      </c>
      <c r="F47" s="68" t="s">
        <v>163</v>
      </c>
      <c r="G47" s="63" t="s">
        <v>3889</v>
      </c>
      <c r="H47" s="52" t="s">
        <v>2840</v>
      </c>
      <c r="I47" s="60">
        <v>46154</v>
      </c>
      <c r="J47" s="35">
        <v>46162</v>
      </c>
      <c r="K47" s="36" t="s">
        <v>8</v>
      </c>
    </row>
    <row r="48" spans="4:11" ht="42" customHeight="1" x14ac:dyDescent="0.3">
      <c r="D48" s="30" t="s">
        <v>3890</v>
      </c>
      <c r="E48" s="62" t="s">
        <v>3891</v>
      </c>
      <c r="F48" s="68" t="s">
        <v>163</v>
      </c>
      <c r="G48" s="63" t="s">
        <v>3892</v>
      </c>
      <c r="H48" s="52" t="s">
        <v>2840</v>
      </c>
      <c r="I48" s="60">
        <v>46154</v>
      </c>
      <c r="J48" s="35">
        <v>46160</v>
      </c>
      <c r="K48" s="36" t="s">
        <v>8</v>
      </c>
    </row>
    <row r="49" spans="4:11" ht="42" customHeight="1" x14ac:dyDescent="0.3">
      <c r="D49" s="30" t="s">
        <v>3893</v>
      </c>
      <c r="E49" s="62" t="s">
        <v>3894</v>
      </c>
      <c r="F49" s="68" t="s">
        <v>163</v>
      </c>
      <c r="G49" s="63" t="s">
        <v>3895</v>
      </c>
      <c r="H49" s="52" t="s">
        <v>2840</v>
      </c>
      <c r="I49" s="60">
        <v>46154</v>
      </c>
      <c r="J49" s="35">
        <v>46156</v>
      </c>
      <c r="K49" s="36" t="s">
        <v>8</v>
      </c>
    </row>
    <row r="50" spans="4:11" ht="42" customHeight="1" x14ac:dyDescent="0.3">
      <c r="D50" s="30" t="s">
        <v>3896</v>
      </c>
      <c r="E50" s="62" t="s">
        <v>3897</v>
      </c>
      <c r="F50" s="68" t="s">
        <v>163</v>
      </c>
      <c r="G50" s="63" t="s">
        <v>3898</v>
      </c>
      <c r="H50" s="52" t="s">
        <v>2818</v>
      </c>
      <c r="I50" s="60">
        <v>46156</v>
      </c>
      <c r="J50" s="35">
        <v>46174</v>
      </c>
      <c r="K50" s="36" t="s">
        <v>8</v>
      </c>
    </row>
    <row r="51" spans="4:11" ht="42" customHeight="1" x14ac:dyDescent="0.3">
      <c r="D51" s="30" t="s">
        <v>3899</v>
      </c>
      <c r="E51" s="62" t="s">
        <v>3900</v>
      </c>
      <c r="F51" s="68" t="s">
        <v>163</v>
      </c>
      <c r="G51" s="63" t="s">
        <v>3901</v>
      </c>
      <c r="H51" s="52" t="s">
        <v>2622</v>
      </c>
      <c r="I51" s="60">
        <v>46156</v>
      </c>
      <c r="J51" s="35">
        <v>46174</v>
      </c>
      <c r="K51" s="36" t="s">
        <v>8</v>
      </c>
    </row>
    <row r="52" spans="4:11" ht="42" customHeight="1" x14ac:dyDescent="0.3">
      <c r="D52" s="30" t="s">
        <v>3902</v>
      </c>
      <c r="E52" s="62" t="s">
        <v>3903</v>
      </c>
      <c r="F52" s="68" t="s">
        <v>163</v>
      </c>
      <c r="G52" s="63" t="s">
        <v>3904</v>
      </c>
      <c r="H52" s="52" t="s">
        <v>2622</v>
      </c>
      <c r="I52" s="60">
        <v>46156</v>
      </c>
      <c r="J52" s="35">
        <v>46174</v>
      </c>
      <c r="K52" s="36" t="s">
        <v>8</v>
      </c>
    </row>
    <row r="53" spans="4:11" ht="42" customHeight="1" x14ac:dyDescent="0.3">
      <c r="D53" s="30" t="s">
        <v>3905</v>
      </c>
      <c r="E53" s="62" t="s">
        <v>3906</v>
      </c>
      <c r="F53" s="68" t="s">
        <v>163</v>
      </c>
      <c r="G53" s="63" t="s">
        <v>3907</v>
      </c>
      <c r="H53" s="52" t="s">
        <v>2840</v>
      </c>
      <c r="I53" s="60">
        <v>46161</v>
      </c>
      <c r="J53" s="35">
        <v>46163</v>
      </c>
      <c r="K53" s="36" t="s">
        <v>8</v>
      </c>
    </row>
    <row r="54" spans="4:11" ht="42" customHeight="1" x14ac:dyDescent="0.3">
      <c r="D54" s="30" t="s">
        <v>3908</v>
      </c>
      <c r="E54" s="62" t="s">
        <v>3909</v>
      </c>
      <c r="F54" s="68" t="s">
        <v>163</v>
      </c>
      <c r="G54" s="63" t="s">
        <v>3910</v>
      </c>
      <c r="H54" s="52" t="s">
        <v>2840</v>
      </c>
      <c r="I54" s="60">
        <v>46161</v>
      </c>
      <c r="J54" s="35">
        <v>46163</v>
      </c>
      <c r="K54" s="36" t="s">
        <v>8</v>
      </c>
    </row>
    <row r="55" spans="4:11" ht="42" customHeight="1" x14ac:dyDescent="0.3">
      <c r="D55" s="30" t="s">
        <v>3911</v>
      </c>
      <c r="E55" s="62" t="s">
        <v>3912</v>
      </c>
      <c r="F55" s="68" t="s">
        <v>163</v>
      </c>
      <c r="G55" s="63" t="s">
        <v>3913</v>
      </c>
      <c r="H55" s="52" t="s">
        <v>2840</v>
      </c>
      <c r="I55" s="60">
        <v>46161</v>
      </c>
      <c r="J55" s="35">
        <v>46163</v>
      </c>
      <c r="K55" s="36" t="s">
        <v>8</v>
      </c>
    </row>
    <row r="56" spans="4:11" ht="42" customHeight="1" x14ac:dyDescent="0.3">
      <c r="D56" s="30" t="s">
        <v>3914</v>
      </c>
      <c r="E56" s="62" t="s">
        <v>3915</v>
      </c>
      <c r="F56" s="68" t="s">
        <v>163</v>
      </c>
      <c r="G56" s="63" t="s">
        <v>3916</v>
      </c>
      <c r="H56" s="52" t="s">
        <v>2674</v>
      </c>
      <c r="I56" s="60">
        <v>46162</v>
      </c>
      <c r="J56" s="35">
        <v>46174</v>
      </c>
      <c r="K56" s="36" t="s">
        <v>8</v>
      </c>
    </row>
    <row r="57" spans="4:11" ht="42" customHeight="1" x14ac:dyDescent="0.3">
      <c r="D57" s="30" t="s">
        <v>3917</v>
      </c>
      <c r="E57" s="62" t="s">
        <v>3918</v>
      </c>
      <c r="F57" s="68" t="s">
        <v>163</v>
      </c>
      <c r="G57" s="63" t="s">
        <v>3919</v>
      </c>
      <c r="H57" s="52" t="s">
        <v>50</v>
      </c>
      <c r="I57" s="60">
        <v>46177</v>
      </c>
      <c r="J57" s="35">
        <v>46187</v>
      </c>
      <c r="K57" s="36" t="s">
        <v>8</v>
      </c>
    </row>
    <row r="58" spans="4:11" ht="42" customHeight="1" x14ac:dyDescent="0.3">
      <c r="D58" s="30" t="s">
        <v>3920</v>
      </c>
      <c r="E58" s="62" t="s">
        <v>3921</v>
      </c>
      <c r="F58" s="68" t="s">
        <v>163</v>
      </c>
      <c r="G58" s="63" t="s">
        <v>3922</v>
      </c>
      <c r="H58" s="52" t="s">
        <v>3923</v>
      </c>
      <c r="I58" s="60">
        <v>46182</v>
      </c>
      <c r="J58" s="35">
        <v>46191</v>
      </c>
      <c r="K58" s="36" t="s">
        <v>8</v>
      </c>
    </row>
    <row r="59" spans="4:11" ht="42" customHeight="1" x14ac:dyDescent="0.3">
      <c r="D59" s="64" t="s">
        <v>3924</v>
      </c>
      <c r="E59" s="62" t="s">
        <v>3925</v>
      </c>
      <c r="F59" s="68" t="s">
        <v>163</v>
      </c>
      <c r="G59" s="63" t="s">
        <v>3926</v>
      </c>
      <c r="H59" s="52" t="s">
        <v>3260</v>
      </c>
      <c r="I59" s="60">
        <v>46182</v>
      </c>
      <c r="J59" s="35">
        <v>46189</v>
      </c>
      <c r="K59" s="36" t="s">
        <v>8</v>
      </c>
    </row>
    <row r="60" spans="4:11" ht="42" customHeight="1" x14ac:dyDescent="0.3">
      <c r="D60" s="64" t="s">
        <v>3927</v>
      </c>
      <c r="E60" s="62" t="s">
        <v>3928</v>
      </c>
      <c r="F60" s="68" t="s">
        <v>163</v>
      </c>
      <c r="G60" s="63" t="s">
        <v>3929</v>
      </c>
      <c r="H60" s="52" t="s">
        <v>2678</v>
      </c>
      <c r="I60" s="60">
        <v>46184</v>
      </c>
      <c r="J60" s="35">
        <v>46189</v>
      </c>
      <c r="K60" s="36" t="s">
        <v>8</v>
      </c>
    </row>
    <row r="61" spans="4:11" ht="42" customHeight="1" x14ac:dyDescent="0.3">
      <c r="D61" s="64" t="s">
        <v>3930</v>
      </c>
      <c r="E61" s="62" t="s">
        <v>3931</v>
      </c>
      <c r="F61" s="68" t="s">
        <v>163</v>
      </c>
      <c r="G61" s="63" t="s">
        <v>3932</v>
      </c>
      <c r="H61" s="52" t="s">
        <v>2678</v>
      </c>
      <c r="I61" s="60">
        <v>46184</v>
      </c>
      <c r="J61" s="35">
        <v>46198</v>
      </c>
      <c r="K61" s="36" t="s">
        <v>8</v>
      </c>
    </row>
    <row r="62" spans="4:11" ht="42" customHeight="1" x14ac:dyDescent="0.3">
      <c r="D62" s="64" t="s">
        <v>3933</v>
      </c>
      <c r="E62" s="62" t="s">
        <v>3934</v>
      </c>
      <c r="F62" s="68" t="s">
        <v>163</v>
      </c>
      <c r="G62" s="63" t="s">
        <v>3935</v>
      </c>
      <c r="H62" s="52" t="s">
        <v>2678</v>
      </c>
      <c r="I62" s="60">
        <v>46184</v>
      </c>
      <c r="J62" s="35">
        <v>46196</v>
      </c>
      <c r="K62" s="36" t="s">
        <v>8</v>
      </c>
    </row>
    <row r="63" spans="4:11" ht="42" customHeight="1" x14ac:dyDescent="0.3">
      <c r="D63" s="64" t="s">
        <v>3936</v>
      </c>
      <c r="E63" s="62" t="s">
        <v>3937</v>
      </c>
      <c r="F63" s="68" t="s">
        <v>163</v>
      </c>
      <c r="G63" s="63" t="s">
        <v>3938</v>
      </c>
      <c r="H63" s="52" t="s">
        <v>2678</v>
      </c>
      <c r="I63" s="60">
        <v>46184</v>
      </c>
      <c r="J63" s="35">
        <v>46196</v>
      </c>
      <c r="K63" s="36" t="s">
        <v>8</v>
      </c>
    </row>
    <row r="64" spans="4:11" ht="42" customHeight="1" x14ac:dyDescent="0.3">
      <c r="D64" s="64" t="s">
        <v>3939</v>
      </c>
      <c r="E64" s="62" t="s">
        <v>3940</v>
      </c>
      <c r="F64" s="68" t="s">
        <v>163</v>
      </c>
      <c r="G64" s="63" t="s">
        <v>3941</v>
      </c>
      <c r="H64" s="52" t="s">
        <v>2818</v>
      </c>
      <c r="I64" s="60">
        <v>46184</v>
      </c>
      <c r="J64" s="35">
        <v>46191</v>
      </c>
      <c r="K64" s="36" t="s">
        <v>8</v>
      </c>
    </row>
    <row r="65" spans="4:11" ht="42" customHeight="1" x14ac:dyDescent="0.3">
      <c r="D65" s="64" t="s">
        <v>3942</v>
      </c>
      <c r="E65" s="62" t="s">
        <v>3943</v>
      </c>
      <c r="F65" s="68" t="s">
        <v>163</v>
      </c>
      <c r="G65" s="63" t="s">
        <v>3944</v>
      </c>
      <c r="H65" s="52" t="s">
        <v>2678</v>
      </c>
      <c r="I65" s="60">
        <v>46184</v>
      </c>
      <c r="J65" s="35">
        <v>46198</v>
      </c>
      <c r="K65" s="36" t="s">
        <v>8</v>
      </c>
    </row>
    <row r="66" spans="4:11" ht="42" customHeight="1" x14ac:dyDescent="0.3">
      <c r="D66" s="30" t="s">
        <v>3945</v>
      </c>
      <c r="E66" s="62" t="s">
        <v>3946</v>
      </c>
      <c r="F66" s="68" t="s">
        <v>163</v>
      </c>
      <c r="G66" s="63" t="s">
        <v>3947</v>
      </c>
      <c r="H66" s="52" t="s">
        <v>193</v>
      </c>
      <c r="I66" s="60">
        <v>46187</v>
      </c>
      <c r="J66" s="35">
        <v>46208</v>
      </c>
      <c r="K66" s="36" t="s">
        <v>8</v>
      </c>
    </row>
    <row r="67" spans="4:11" ht="42" customHeight="1" x14ac:dyDescent="0.3">
      <c r="D67" s="30" t="s">
        <v>3948</v>
      </c>
      <c r="E67" s="62" t="s">
        <v>3949</v>
      </c>
      <c r="F67" s="68" t="s">
        <v>163</v>
      </c>
      <c r="G67" s="63" t="s">
        <v>3950</v>
      </c>
      <c r="H67" s="52" t="s">
        <v>193</v>
      </c>
      <c r="I67" s="60">
        <v>46187</v>
      </c>
      <c r="J67" s="35">
        <v>46189</v>
      </c>
      <c r="K67" s="36" t="s">
        <v>8</v>
      </c>
    </row>
    <row r="68" spans="4:11" ht="42" customHeight="1" x14ac:dyDescent="0.3">
      <c r="D68" s="30" t="s">
        <v>3951</v>
      </c>
      <c r="E68" s="62" t="s">
        <v>3952</v>
      </c>
      <c r="F68" s="68" t="s">
        <v>163</v>
      </c>
      <c r="G68" s="63" t="s">
        <v>3953</v>
      </c>
      <c r="H68" s="52" t="s">
        <v>2622</v>
      </c>
      <c r="I68" s="60">
        <v>46188</v>
      </c>
      <c r="J68" s="35">
        <v>46208</v>
      </c>
      <c r="K68" s="36" t="s">
        <v>8</v>
      </c>
    </row>
    <row r="69" spans="4:11" ht="42" customHeight="1" x14ac:dyDescent="0.3">
      <c r="D69" s="30" t="s">
        <v>3954</v>
      </c>
      <c r="E69" s="62" t="s">
        <v>3955</v>
      </c>
      <c r="F69" s="68" t="s">
        <v>163</v>
      </c>
      <c r="G69" s="63" t="s">
        <v>3956</v>
      </c>
      <c r="H69" s="52" t="s">
        <v>193</v>
      </c>
      <c r="I69" s="60">
        <v>46188</v>
      </c>
      <c r="J69" s="35">
        <v>46196</v>
      </c>
      <c r="K69" s="36" t="s">
        <v>8</v>
      </c>
    </row>
    <row r="70" spans="4:11" ht="42" customHeight="1" x14ac:dyDescent="0.3">
      <c r="D70" s="30" t="s">
        <v>3957</v>
      </c>
      <c r="E70" s="62" t="s">
        <v>3958</v>
      </c>
      <c r="F70" s="68" t="s">
        <v>163</v>
      </c>
      <c r="G70" s="63" t="s">
        <v>3959</v>
      </c>
      <c r="H70" s="52" t="s">
        <v>193</v>
      </c>
      <c r="I70" s="60">
        <v>46188</v>
      </c>
      <c r="J70" s="35">
        <v>46190</v>
      </c>
      <c r="K70" s="36" t="s">
        <v>8</v>
      </c>
    </row>
    <row r="71" spans="4:11" ht="42" customHeight="1" x14ac:dyDescent="0.3">
      <c r="D71" s="30" t="s">
        <v>3960</v>
      </c>
      <c r="E71" s="62" t="s">
        <v>3961</v>
      </c>
      <c r="F71" s="68" t="s">
        <v>163</v>
      </c>
      <c r="G71" s="63" t="s">
        <v>3962</v>
      </c>
      <c r="H71" s="52" t="s">
        <v>2818</v>
      </c>
      <c r="I71" s="60">
        <v>46188</v>
      </c>
      <c r="J71" s="35">
        <v>46189</v>
      </c>
      <c r="K71" s="36" t="s">
        <v>8</v>
      </c>
    </row>
    <row r="72" spans="4:11" ht="42" customHeight="1" x14ac:dyDescent="0.3">
      <c r="D72" s="30" t="s">
        <v>3963</v>
      </c>
      <c r="E72" s="62" t="s">
        <v>3964</v>
      </c>
      <c r="F72" s="68" t="s">
        <v>163</v>
      </c>
      <c r="G72" s="63" t="s">
        <v>3965</v>
      </c>
      <c r="H72" s="52" t="s">
        <v>2799</v>
      </c>
      <c r="I72" s="60">
        <v>46190</v>
      </c>
      <c r="J72" s="35">
        <v>46194</v>
      </c>
      <c r="K72" s="36" t="s">
        <v>8</v>
      </c>
    </row>
    <row r="73" spans="4:11" ht="42" customHeight="1" x14ac:dyDescent="0.3">
      <c r="D73" s="30" t="s">
        <v>3966</v>
      </c>
      <c r="E73" s="62" t="s">
        <v>3967</v>
      </c>
      <c r="F73" s="68" t="s">
        <v>163</v>
      </c>
      <c r="G73" s="63" t="s">
        <v>3968</v>
      </c>
      <c r="H73" s="52" t="s">
        <v>193</v>
      </c>
      <c r="I73" s="60">
        <v>46194</v>
      </c>
      <c r="J73" s="35">
        <v>46298</v>
      </c>
      <c r="K73" s="36" t="s">
        <v>8</v>
      </c>
    </row>
    <row r="74" spans="4:11" ht="42" customHeight="1" x14ac:dyDescent="0.3">
      <c r="D74" s="64" t="s">
        <v>3969</v>
      </c>
      <c r="E74" s="62" t="s">
        <v>3970</v>
      </c>
      <c r="F74" s="68" t="s">
        <v>163</v>
      </c>
      <c r="G74" s="63" t="s">
        <v>3971</v>
      </c>
      <c r="H74" s="52" t="s">
        <v>2678</v>
      </c>
      <c r="I74" s="60">
        <v>46198</v>
      </c>
      <c r="J74" s="35">
        <v>46204</v>
      </c>
      <c r="K74" s="36" t="s">
        <v>8</v>
      </c>
    </row>
    <row r="75" spans="4:11" ht="42" customHeight="1" x14ac:dyDescent="0.3">
      <c r="D75" s="30" t="s">
        <v>3972</v>
      </c>
      <c r="E75" s="62" t="s">
        <v>3973</v>
      </c>
      <c r="F75" s="68" t="s">
        <v>163</v>
      </c>
      <c r="G75" s="63" t="s">
        <v>3974</v>
      </c>
      <c r="H75" s="52" t="s">
        <v>2604</v>
      </c>
      <c r="I75" s="60">
        <v>46198</v>
      </c>
      <c r="J75" s="35">
        <v>46198</v>
      </c>
      <c r="K75" s="36" t="s">
        <v>8</v>
      </c>
    </row>
    <row r="76" spans="4:11" ht="42" customHeight="1" x14ac:dyDescent="0.3">
      <c r="D76" s="30" t="s">
        <v>3975</v>
      </c>
      <c r="E76" s="62" t="s">
        <v>3976</v>
      </c>
      <c r="F76" s="68" t="s">
        <v>163</v>
      </c>
      <c r="G76" s="63" t="s">
        <v>3977</v>
      </c>
      <c r="H76" s="52" t="s">
        <v>2622</v>
      </c>
      <c r="I76" s="60">
        <v>46200</v>
      </c>
      <c r="J76" s="35">
        <v>46204</v>
      </c>
      <c r="K76" s="36" t="s">
        <v>8</v>
      </c>
    </row>
    <row r="77" spans="4:11" ht="42" customHeight="1" x14ac:dyDescent="0.3">
      <c r="D77" s="64" t="s">
        <v>3978</v>
      </c>
      <c r="E77" s="62" t="s">
        <v>3979</v>
      </c>
      <c r="F77" s="68" t="s">
        <v>163</v>
      </c>
      <c r="G77" s="63" t="s">
        <v>3980</v>
      </c>
      <c r="H77" s="52" t="s">
        <v>2678</v>
      </c>
      <c r="I77" s="60">
        <v>46202</v>
      </c>
      <c r="J77" s="35">
        <v>46208</v>
      </c>
      <c r="K77" s="36" t="s">
        <v>8</v>
      </c>
    </row>
    <row r="78" spans="4:11" ht="42" customHeight="1" x14ac:dyDescent="0.3">
      <c r="D78" s="64" t="s">
        <v>3981</v>
      </c>
      <c r="E78" s="62" t="s">
        <v>3982</v>
      </c>
      <c r="F78" s="68" t="s">
        <v>163</v>
      </c>
      <c r="G78" s="63" t="s">
        <v>3983</v>
      </c>
      <c r="H78" s="52" t="s">
        <v>2678</v>
      </c>
      <c r="I78" s="60">
        <v>46202</v>
      </c>
      <c r="J78" s="35">
        <v>46204</v>
      </c>
      <c r="K78" s="36" t="s">
        <v>8</v>
      </c>
    </row>
    <row r="79" spans="4:11" ht="42" customHeight="1" x14ac:dyDescent="0.3">
      <c r="D79" s="64" t="s">
        <v>3984</v>
      </c>
      <c r="E79" s="62" t="s">
        <v>3985</v>
      </c>
      <c r="F79" s="68" t="s">
        <v>163</v>
      </c>
      <c r="G79" s="63" t="s">
        <v>3986</v>
      </c>
      <c r="H79" s="52" t="s">
        <v>2964</v>
      </c>
      <c r="I79" s="60">
        <v>46203</v>
      </c>
      <c r="J79" s="35">
        <v>46206</v>
      </c>
      <c r="K79" s="36" t="s">
        <v>8</v>
      </c>
    </row>
    <row r="80" spans="4:11" ht="42" customHeight="1" x14ac:dyDescent="0.3">
      <c r="D80" s="64" t="s">
        <v>3987</v>
      </c>
      <c r="E80" s="62" t="s">
        <v>3988</v>
      </c>
      <c r="F80" s="68" t="s">
        <v>163</v>
      </c>
      <c r="G80" s="63" t="s">
        <v>3989</v>
      </c>
      <c r="H80" s="52" t="s">
        <v>2964</v>
      </c>
      <c r="I80" s="60">
        <v>46203</v>
      </c>
      <c r="J80" s="35">
        <v>46205</v>
      </c>
      <c r="K80" s="36" t="s">
        <v>8</v>
      </c>
    </row>
    <row r="81" spans="4:11" ht="42" customHeight="1" x14ac:dyDescent="0.3">
      <c r="D81" s="64" t="s">
        <v>3990</v>
      </c>
      <c r="E81" s="62" t="s">
        <v>3991</v>
      </c>
      <c r="F81" s="68" t="s">
        <v>163</v>
      </c>
      <c r="G81" s="63" t="s">
        <v>3992</v>
      </c>
      <c r="H81" s="52" t="s">
        <v>2964</v>
      </c>
      <c r="I81" s="60">
        <v>46203</v>
      </c>
      <c r="J81" s="35">
        <v>46205</v>
      </c>
      <c r="K81" s="36" t="s">
        <v>8</v>
      </c>
    </row>
    <row r="82" spans="4:11" ht="42" customHeight="1" x14ac:dyDescent="0.3">
      <c r="D82" s="30" t="s">
        <v>3993</v>
      </c>
      <c r="E82" s="62" t="s">
        <v>3994</v>
      </c>
      <c r="F82" s="68" t="s">
        <v>163</v>
      </c>
      <c r="G82" s="63" t="s">
        <v>3983</v>
      </c>
      <c r="H82" s="52" t="s">
        <v>2622</v>
      </c>
      <c r="I82" s="60">
        <v>46203</v>
      </c>
      <c r="J82" s="35">
        <v>46218</v>
      </c>
      <c r="K82" s="36" t="s">
        <v>8</v>
      </c>
    </row>
    <row r="83" spans="4:11" ht="42" customHeight="1" x14ac:dyDescent="0.3">
      <c r="D83" s="64" t="s">
        <v>3995</v>
      </c>
      <c r="E83" s="62" t="s">
        <v>3996</v>
      </c>
      <c r="F83" s="68" t="s">
        <v>163</v>
      </c>
      <c r="G83" s="63" t="s">
        <v>3997</v>
      </c>
      <c r="H83" s="52" t="s">
        <v>2678</v>
      </c>
      <c r="I83" s="60">
        <v>46204</v>
      </c>
      <c r="J83" s="35">
        <v>46218</v>
      </c>
      <c r="K83" s="36" t="s">
        <v>8</v>
      </c>
    </row>
    <row r="84" spans="4:11" ht="42" customHeight="1" x14ac:dyDescent="0.3">
      <c r="D84" s="64" t="s">
        <v>3998</v>
      </c>
      <c r="E84" s="62" t="s">
        <v>3999</v>
      </c>
      <c r="F84" s="68" t="s">
        <v>163</v>
      </c>
      <c r="G84" s="63" t="s">
        <v>4000</v>
      </c>
      <c r="H84" s="52" t="s">
        <v>50</v>
      </c>
      <c r="I84" s="60">
        <v>46204</v>
      </c>
      <c r="J84" s="35">
        <v>46215</v>
      </c>
      <c r="K84" s="36" t="s">
        <v>8</v>
      </c>
    </row>
    <row r="85" spans="4:11" ht="42" customHeight="1" x14ac:dyDescent="0.3">
      <c r="D85" s="64" t="s">
        <v>4001</v>
      </c>
      <c r="E85" s="62" t="s">
        <v>4002</v>
      </c>
      <c r="F85" s="68" t="s">
        <v>163</v>
      </c>
      <c r="G85" s="63" t="s">
        <v>4003</v>
      </c>
      <c r="H85" s="52" t="s">
        <v>2678</v>
      </c>
      <c r="I85" s="60">
        <v>46208</v>
      </c>
      <c r="J85" s="35">
        <v>46215</v>
      </c>
      <c r="K85" s="36" t="s">
        <v>8</v>
      </c>
    </row>
    <row r="86" spans="4:11" ht="42" customHeight="1" x14ac:dyDescent="0.3">
      <c r="D86" s="64" t="s">
        <v>4004</v>
      </c>
      <c r="E86" s="62" t="s">
        <v>4005</v>
      </c>
      <c r="F86" s="68" t="s">
        <v>163</v>
      </c>
      <c r="G86" s="63" t="s">
        <v>4006</v>
      </c>
      <c r="H86" s="52" t="s">
        <v>2678</v>
      </c>
      <c r="I86" s="60">
        <v>46209</v>
      </c>
      <c r="J86" s="35">
        <v>46218</v>
      </c>
      <c r="K86" s="36" t="s">
        <v>8</v>
      </c>
    </row>
    <row r="87" spans="4:11" ht="42" customHeight="1" x14ac:dyDescent="0.3">
      <c r="D87" s="30" t="s">
        <v>4007</v>
      </c>
      <c r="E87" s="62" t="s">
        <v>4008</v>
      </c>
      <c r="F87" s="68" t="s">
        <v>163</v>
      </c>
      <c r="G87" s="63" t="s">
        <v>4009</v>
      </c>
      <c r="H87" s="52" t="s">
        <v>2622</v>
      </c>
      <c r="I87" s="60">
        <v>46209</v>
      </c>
      <c r="J87" s="35">
        <v>46217</v>
      </c>
      <c r="K87" s="36" t="s">
        <v>8</v>
      </c>
    </row>
    <row r="88" spans="4:11" ht="42" customHeight="1" x14ac:dyDescent="0.3">
      <c r="D88" s="64" t="s">
        <v>4010</v>
      </c>
      <c r="E88" s="62" t="s">
        <v>4011</v>
      </c>
      <c r="F88" s="68" t="s">
        <v>163</v>
      </c>
      <c r="G88" s="63" t="s">
        <v>4012</v>
      </c>
      <c r="H88" s="52" t="s">
        <v>2678</v>
      </c>
      <c r="I88" s="60">
        <v>46210</v>
      </c>
      <c r="J88" s="35">
        <v>46217</v>
      </c>
      <c r="K88" s="36" t="s">
        <v>8</v>
      </c>
    </row>
    <row r="89" spans="4:11" ht="42" customHeight="1" x14ac:dyDescent="0.3">
      <c r="D89" s="30" t="s">
        <v>4013</v>
      </c>
      <c r="E89" s="62" t="s">
        <v>4014</v>
      </c>
      <c r="F89" s="68" t="s">
        <v>163</v>
      </c>
      <c r="G89" s="63" t="s">
        <v>4009</v>
      </c>
      <c r="H89" s="52" t="s">
        <v>2622</v>
      </c>
      <c r="I89" s="60">
        <v>46211</v>
      </c>
      <c r="J89" s="35">
        <v>46218</v>
      </c>
      <c r="K89" s="36" t="s">
        <v>8</v>
      </c>
    </row>
    <row r="90" spans="4:11" ht="42" customHeight="1" x14ac:dyDescent="0.3">
      <c r="D90" s="30" t="s">
        <v>4015</v>
      </c>
      <c r="E90" s="62" t="s">
        <v>4016</v>
      </c>
      <c r="F90" s="68" t="s">
        <v>163</v>
      </c>
      <c r="G90" s="63" t="s">
        <v>4017</v>
      </c>
      <c r="H90" s="52" t="s">
        <v>193</v>
      </c>
      <c r="I90" s="60">
        <v>46212</v>
      </c>
      <c r="J90" s="35">
        <v>46229</v>
      </c>
      <c r="K90" s="36" t="s">
        <v>8</v>
      </c>
    </row>
    <row r="91" spans="4:11" ht="42" customHeight="1" x14ac:dyDescent="0.3">
      <c r="D91" s="30" t="s">
        <v>4018</v>
      </c>
      <c r="E91" s="62" t="s">
        <v>4019</v>
      </c>
      <c r="F91" s="68" t="s">
        <v>163</v>
      </c>
      <c r="G91" s="63" t="s">
        <v>4020</v>
      </c>
      <c r="H91" s="52" t="s">
        <v>2622</v>
      </c>
      <c r="I91" s="60">
        <v>46214</v>
      </c>
      <c r="J91" s="35">
        <v>46221</v>
      </c>
      <c r="K91" s="36" t="s">
        <v>8</v>
      </c>
    </row>
    <row r="92" spans="4:11" ht="42" customHeight="1" x14ac:dyDescent="0.3">
      <c r="D92" s="30" t="s">
        <v>4021</v>
      </c>
      <c r="E92" s="62" t="s">
        <v>4022</v>
      </c>
      <c r="F92" s="68" t="s">
        <v>163</v>
      </c>
      <c r="G92" s="63" t="s">
        <v>4023</v>
      </c>
      <c r="H92" s="52" t="s">
        <v>2622</v>
      </c>
      <c r="I92" s="60">
        <v>46217</v>
      </c>
      <c r="J92" s="35">
        <v>46230</v>
      </c>
      <c r="K92" s="36" t="s">
        <v>8</v>
      </c>
    </row>
    <row r="93" spans="4:11" ht="42" customHeight="1" x14ac:dyDescent="0.3">
      <c r="D93" s="30" t="s">
        <v>4024</v>
      </c>
      <c r="E93" s="62" t="s">
        <v>4025</v>
      </c>
      <c r="F93" s="68" t="s">
        <v>163</v>
      </c>
      <c r="G93" s="63" t="s">
        <v>4009</v>
      </c>
      <c r="H93" s="52" t="s">
        <v>2622</v>
      </c>
      <c r="I93" s="60">
        <v>46217</v>
      </c>
      <c r="J93" s="35">
        <v>46229</v>
      </c>
      <c r="K93" s="36" t="s">
        <v>8</v>
      </c>
    </row>
    <row r="94" spans="4:11" ht="42" customHeight="1" x14ac:dyDescent="0.3">
      <c r="D94" s="30" t="s">
        <v>4026</v>
      </c>
      <c r="E94" s="62" t="s">
        <v>4027</v>
      </c>
      <c r="F94" s="68" t="s">
        <v>163</v>
      </c>
      <c r="G94" s="63" t="s">
        <v>4028</v>
      </c>
      <c r="H94" s="52" t="s">
        <v>2622</v>
      </c>
      <c r="I94" s="60">
        <v>46217</v>
      </c>
      <c r="J94" s="35">
        <v>46230</v>
      </c>
      <c r="K94" s="36" t="s">
        <v>8</v>
      </c>
    </row>
    <row r="95" spans="4:11" ht="42" customHeight="1" x14ac:dyDescent="0.3">
      <c r="D95" s="30" t="s">
        <v>4029</v>
      </c>
      <c r="E95" s="62" t="s">
        <v>4030</v>
      </c>
      <c r="F95" s="68" t="s">
        <v>163</v>
      </c>
      <c r="G95" s="63" t="s">
        <v>4006</v>
      </c>
      <c r="H95" s="52" t="s">
        <v>54</v>
      </c>
      <c r="I95" s="60">
        <v>46218</v>
      </c>
      <c r="J95" s="35">
        <v>46224</v>
      </c>
      <c r="K95" s="36" t="s">
        <v>8</v>
      </c>
    </row>
    <row r="96" spans="4:11" ht="42" customHeight="1" x14ac:dyDescent="0.3">
      <c r="D96" s="30" t="s">
        <v>4031</v>
      </c>
      <c r="E96" s="62" t="s">
        <v>4032</v>
      </c>
      <c r="F96" s="68" t="s">
        <v>163</v>
      </c>
      <c r="G96" s="63" t="s">
        <v>4033</v>
      </c>
      <c r="H96" s="52" t="s">
        <v>2622</v>
      </c>
      <c r="I96" s="60">
        <v>46219</v>
      </c>
      <c r="J96" s="35">
        <v>46230</v>
      </c>
      <c r="K96" s="36" t="s">
        <v>8</v>
      </c>
    </row>
    <row r="97" spans="4:11" ht="42" customHeight="1" x14ac:dyDescent="0.3">
      <c r="D97" s="30" t="s">
        <v>4034</v>
      </c>
      <c r="E97" s="62" t="s">
        <v>4035</v>
      </c>
      <c r="F97" s="68" t="s">
        <v>163</v>
      </c>
      <c r="G97" s="63" t="s">
        <v>4036</v>
      </c>
      <c r="H97" s="52" t="s">
        <v>2678</v>
      </c>
      <c r="I97" s="60">
        <v>46219</v>
      </c>
      <c r="J97" s="35">
        <v>46229</v>
      </c>
      <c r="K97" s="36" t="s">
        <v>8</v>
      </c>
    </row>
    <row r="98" spans="4:11" ht="42" customHeight="1" x14ac:dyDescent="0.3">
      <c r="D98" s="30" t="s">
        <v>4037</v>
      </c>
      <c r="E98" s="62" t="s">
        <v>4038</v>
      </c>
      <c r="F98" s="68" t="s">
        <v>163</v>
      </c>
      <c r="G98" s="63" t="s">
        <v>4039</v>
      </c>
      <c r="H98" s="52" t="s">
        <v>36</v>
      </c>
      <c r="I98" s="60">
        <v>46221</v>
      </c>
      <c r="J98" s="35">
        <v>46231</v>
      </c>
      <c r="K98" s="36" t="s">
        <v>8</v>
      </c>
    </row>
    <row r="99" spans="4:11" ht="42" customHeight="1" x14ac:dyDescent="0.3">
      <c r="D99" s="30" t="s">
        <v>4040</v>
      </c>
      <c r="E99" s="62" t="s">
        <v>4041</v>
      </c>
      <c r="F99" s="68" t="s">
        <v>163</v>
      </c>
      <c r="G99" s="63" t="s">
        <v>4042</v>
      </c>
      <c r="H99" s="52" t="s">
        <v>193</v>
      </c>
      <c r="I99" s="60">
        <v>46221</v>
      </c>
      <c r="J99" s="35">
        <v>46229</v>
      </c>
      <c r="K99" s="36" t="s">
        <v>8</v>
      </c>
    </row>
    <row r="100" spans="4:11" ht="42" customHeight="1" x14ac:dyDescent="0.3">
      <c r="D100" s="30" t="s">
        <v>4043</v>
      </c>
      <c r="E100" s="62" t="s">
        <v>4044</v>
      </c>
      <c r="F100" s="68" t="s">
        <v>163</v>
      </c>
      <c r="G100" s="63" t="s">
        <v>4045</v>
      </c>
      <c r="H100" s="52" t="s">
        <v>2678</v>
      </c>
      <c r="I100" s="60">
        <v>46222</v>
      </c>
      <c r="J100" s="35">
        <v>46231</v>
      </c>
      <c r="K100" s="36" t="s">
        <v>8</v>
      </c>
    </row>
    <row r="101" spans="4:11" ht="42" customHeight="1" x14ac:dyDescent="0.3">
      <c r="D101" s="30" t="s">
        <v>4046</v>
      </c>
      <c r="E101" s="62" t="s">
        <v>4047</v>
      </c>
      <c r="F101" s="68" t="s">
        <v>163</v>
      </c>
      <c r="G101" s="63" t="s">
        <v>4048</v>
      </c>
      <c r="H101" s="52" t="s">
        <v>36</v>
      </c>
      <c r="I101" s="60">
        <v>46222</v>
      </c>
      <c r="J101" s="35">
        <v>46232</v>
      </c>
      <c r="K101" s="36" t="s">
        <v>8</v>
      </c>
    </row>
    <row r="102" spans="4:11" ht="42" customHeight="1" x14ac:dyDescent="0.3">
      <c r="D102" s="30" t="s">
        <v>4049</v>
      </c>
      <c r="E102" s="62" t="s">
        <v>4050</v>
      </c>
      <c r="F102" s="68" t="s">
        <v>163</v>
      </c>
      <c r="G102" s="63" t="s">
        <v>4051</v>
      </c>
      <c r="H102" s="52" t="s">
        <v>54</v>
      </c>
      <c r="I102" s="60">
        <v>46223</v>
      </c>
      <c r="J102" s="35">
        <v>46225</v>
      </c>
      <c r="K102" s="36" t="s">
        <v>8</v>
      </c>
    </row>
    <row r="103" spans="4:11" ht="42" customHeight="1" x14ac:dyDescent="0.3">
      <c r="D103" s="30" t="s">
        <v>4052</v>
      </c>
      <c r="E103" s="62" t="s">
        <v>4053</v>
      </c>
      <c r="F103" s="68" t="s">
        <v>163</v>
      </c>
      <c r="G103" s="63" t="s">
        <v>4054</v>
      </c>
      <c r="H103" s="52" t="s">
        <v>193</v>
      </c>
      <c r="I103" s="60">
        <v>46224</v>
      </c>
      <c r="J103" s="35">
        <v>46229</v>
      </c>
      <c r="K103" s="36" t="s">
        <v>8</v>
      </c>
    </row>
    <row r="104" spans="4:11" ht="42" customHeight="1" x14ac:dyDescent="0.3">
      <c r="D104" s="30" t="s">
        <v>4055</v>
      </c>
      <c r="E104" s="62" t="s">
        <v>4056</v>
      </c>
      <c r="F104" s="68" t="s">
        <v>163</v>
      </c>
      <c r="G104" s="63" t="s">
        <v>4057</v>
      </c>
      <c r="H104" s="52" t="s">
        <v>2678</v>
      </c>
      <c r="I104" s="60">
        <v>46224</v>
      </c>
      <c r="J104" s="35">
        <v>46232</v>
      </c>
      <c r="K104" s="36" t="s">
        <v>8</v>
      </c>
    </row>
    <row r="105" spans="4:11" ht="42" customHeight="1" x14ac:dyDescent="0.3">
      <c r="D105" s="30" t="s">
        <v>4058</v>
      </c>
      <c r="E105" s="62" t="s">
        <v>4059</v>
      </c>
      <c r="F105" s="68" t="s">
        <v>163</v>
      </c>
      <c r="G105" s="63" t="s">
        <v>4060</v>
      </c>
      <c r="H105" s="52" t="s">
        <v>2678</v>
      </c>
      <c r="I105" s="60">
        <v>46224</v>
      </c>
      <c r="J105" s="35">
        <v>46230</v>
      </c>
      <c r="K105" s="36" t="s">
        <v>8</v>
      </c>
    </row>
    <row r="106" spans="4:11" ht="42" customHeight="1" x14ac:dyDescent="0.3">
      <c r="D106" s="30" t="s">
        <v>4061</v>
      </c>
      <c r="E106" s="62" t="s">
        <v>4062</v>
      </c>
      <c r="F106" s="68" t="s">
        <v>163</v>
      </c>
      <c r="G106" s="63" t="s">
        <v>4063</v>
      </c>
      <c r="H106" s="52" t="s">
        <v>2678</v>
      </c>
      <c r="I106" s="60">
        <v>46224</v>
      </c>
      <c r="J106" s="35">
        <v>46231</v>
      </c>
      <c r="K106" s="36" t="s">
        <v>8</v>
      </c>
    </row>
    <row r="107" spans="4:11" ht="42" customHeight="1" x14ac:dyDescent="0.3">
      <c r="D107" s="30" t="s">
        <v>4064</v>
      </c>
      <c r="E107" s="62" t="s">
        <v>4065</v>
      </c>
      <c r="F107" s="68" t="s">
        <v>163</v>
      </c>
      <c r="G107" s="63" t="s">
        <v>4066</v>
      </c>
      <c r="H107" s="52" t="s">
        <v>2678</v>
      </c>
      <c r="I107" s="60">
        <v>46224</v>
      </c>
      <c r="J107" s="35">
        <v>46232</v>
      </c>
      <c r="K107" s="36" t="s">
        <v>8</v>
      </c>
    </row>
    <row r="108" spans="4:11" ht="42" customHeight="1" x14ac:dyDescent="0.3">
      <c r="D108" s="30" t="s">
        <v>4067</v>
      </c>
      <c r="E108" s="62" t="s">
        <v>4068</v>
      </c>
      <c r="F108" s="68" t="s">
        <v>163</v>
      </c>
      <c r="G108" s="63" t="s">
        <v>4057</v>
      </c>
      <c r="H108" s="52" t="s">
        <v>2678</v>
      </c>
      <c r="I108" s="60">
        <v>46224</v>
      </c>
      <c r="J108" s="35">
        <v>46231</v>
      </c>
      <c r="K108" s="36" t="s">
        <v>8</v>
      </c>
    </row>
    <row r="109" spans="4:11" ht="42" customHeight="1" x14ac:dyDescent="0.3">
      <c r="D109" s="30" t="s">
        <v>4069</v>
      </c>
      <c r="E109" s="62" t="s">
        <v>4070</v>
      </c>
      <c r="F109" s="68" t="s">
        <v>163</v>
      </c>
      <c r="G109" s="63" t="s">
        <v>4071</v>
      </c>
      <c r="H109" s="52" t="s">
        <v>2678</v>
      </c>
      <c r="I109" s="60">
        <v>46224</v>
      </c>
      <c r="J109" s="35">
        <v>46232</v>
      </c>
      <c r="K109" s="36" t="s">
        <v>8</v>
      </c>
    </row>
    <row r="110" spans="4:11" ht="42" customHeight="1" x14ac:dyDescent="0.3">
      <c r="D110" s="30" t="s">
        <v>4072</v>
      </c>
      <c r="E110" s="62" t="s">
        <v>4073</v>
      </c>
      <c r="F110" s="68" t="s">
        <v>163</v>
      </c>
      <c r="G110" s="63" t="s">
        <v>4074</v>
      </c>
      <c r="H110" s="52" t="s">
        <v>2678</v>
      </c>
      <c r="I110" s="60">
        <v>46224</v>
      </c>
      <c r="J110" s="35">
        <v>46231</v>
      </c>
      <c r="K110" s="36" t="s">
        <v>8</v>
      </c>
    </row>
    <row r="111" spans="4:11" ht="42" customHeight="1" x14ac:dyDescent="0.3">
      <c r="D111" s="30" t="s">
        <v>4075</v>
      </c>
      <c r="E111" s="62" t="s">
        <v>4076</v>
      </c>
      <c r="F111" s="68" t="s">
        <v>163</v>
      </c>
      <c r="G111" s="63" t="s">
        <v>4077</v>
      </c>
      <c r="H111" s="52" t="s">
        <v>2678</v>
      </c>
      <c r="I111" s="60">
        <v>46224</v>
      </c>
      <c r="J111" s="35">
        <v>46232</v>
      </c>
      <c r="K111" s="36" t="s">
        <v>8</v>
      </c>
    </row>
    <row r="112" spans="4:11" ht="42" customHeight="1" x14ac:dyDescent="0.3">
      <c r="D112" s="64" t="s">
        <v>4078</v>
      </c>
      <c r="E112" s="62" t="s">
        <v>4079</v>
      </c>
      <c r="F112" s="68" t="s">
        <v>163</v>
      </c>
      <c r="G112" s="63" t="s">
        <v>4080</v>
      </c>
      <c r="H112" s="52" t="s">
        <v>50</v>
      </c>
      <c r="I112" s="60">
        <v>46225</v>
      </c>
      <c r="J112" s="35">
        <v>46232</v>
      </c>
      <c r="K112" s="36" t="s">
        <v>8</v>
      </c>
    </row>
    <row r="113" spans="4:11" ht="42" customHeight="1" x14ac:dyDescent="0.3">
      <c r="D113" s="64" t="s">
        <v>4081</v>
      </c>
      <c r="E113" s="62" t="s">
        <v>4082</v>
      </c>
      <c r="F113" s="68" t="s">
        <v>163</v>
      </c>
      <c r="G113" s="63" t="s">
        <v>4083</v>
      </c>
      <c r="H113" s="52" t="s">
        <v>50</v>
      </c>
      <c r="I113" s="60">
        <v>46225</v>
      </c>
      <c r="J113" s="35">
        <v>46237</v>
      </c>
      <c r="K113" s="36" t="s">
        <v>8</v>
      </c>
    </row>
    <row r="114" spans="4:11" ht="42" customHeight="1" x14ac:dyDescent="0.3">
      <c r="D114" s="30" t="s">
        <v>4084</v>
      </c>
      <c r="E114" s="62" t="s">
        <v>4085</v>
      </c>
      <c r="F114" s="68" t="s">
        <v>163</v>
      </c>
      <c r="G114" s="63" t="s">
        <v>4086</v>
      </c>
      <c r="H114" s="52" t="s">
        <v>2622</v>
      </c>
      <c r="I114" s="60">
        <v>46229</v>
      </c>
      <c r="J114" s="35">
        <v>46233</v>
      </c>
      <c r="K114" s="36" t="s">
        <v>8</v>
      </c>
    </row>
    <row r="115" spans="4:11" ht="42" customHeight="1" x14ac:dyDescent="0.3">
      <c r="D115" s="30" t="s">
        <v>4087</v>
      </c>
      <c r="E115" s="62" t="s">
        <v>4088</v>
      </c>
      <c r="F115" s="68" t="s">
        <v>163</v>
      </c>
      <c r="G115" s="63" t="s">
        <v>4089</v>
      </c>
      <c r="H115" s="52" t="s">
        <v>2678</v>
      </c>
      <c r="I115" s="60">
        <v>46230</v>
      </c>
      <c r="J115" s="35">
        <v>46236</v>
      </c>
      <c r="K115" s="36" t="s">
        <v>8</v>
      </c>
    </row>
    <row r="116" spans="4:11" ht="42" customHeight="1" x14ac:dyDescent="0.3">
      <c r="D116" s="30" t="s">
        <v>4090</v>
      </c>
      <c r="E116" s="62" t="s">
        <v>4091</v>
      </c>
      <c r="F116" s="68" t="s">
        <v>163</v>
      </c>
      <c r="G116" s="63" t="s">
        <v>4092</v>
      </c>
      <c r="H116" s="52" t="s">
        <v>2678</v>
      </c>
      <c r="I116" s="60">
        <v>46230</v>
      </c>
      <c r="J116" s="35">
        <v>46240</v>
      </c>
      <c r="K116" s="36" t="s">
        <v>8</v>
      </c>
    </row>
    <row r="117" spans="4:11" ht="42" customHeight="1" x14ac:dyDescent="0.3">
      <c r="D117" s="30" t="s">
        <v>4093</v>
      </c>
      <c r="E117" s="62" t="s">
        <v>4094</v>
      </c>
      <c r="F117" s="68" t="s">
        <v>163</v>
      </c>
      <c r="G117" s="63" t="s">
        <v>4095</v>
      </c>
      <c r="H117" s="52" t="s">
        <v>2678</v>
      </c>
      <c r="I117" s="60">
        <v>46230</v>
      </c>
      <c r="J117" s="35">
        <v>46240</v>
      </c>
      <c r="K117" s="36" t="s">
        <v>8</v>
      </c>
    </row>
    <row r="118" spans="4:11" ht="42" customHeight="1" x14ac:dyDescent="0.3">
      <c r="D118" s="30" t="s">
        <v>4096</v>
      </c>
      <c r="E118" s="62" t="s">
        <v>4097</v>
      </c>
      <c r="F118" s="68" t="s">
        <v>163</v>
      </c>
      <c r="G118" s="63" t="s">
        <v>4098</v>
      </c>
      <c r="H118" s="52" t="s">
        <v>193</v>
      </c>
      <c r="I118" s="60">
        <v>46230</v>
      </c>
      <c r="J118" s="35">
        <v>46236</v>
      </c>
      <c r="K118" s="36" t="s">
        <v>8</v>
      </c>
    </row>
    <row r="119" spans="4:11" ht="42" customHeight="1" x14ac:dyDescent="0.3">
      <c r="D119" s="30" t="s">
        <v>4099</v>
      </c>
      <c r="E119" s="62" t="s">
        <v>4100</v>
      </c>
      <c r="F119" s="68" t="s">
        <v>163</v>
      </c>
      <c r="G119" s="63" t="s">
        <v>4101</v>
      </c>
      <c r="H119" s="52" t="s">
        <v>193</v>
      </c>
      <c r="I119" s="60">
        <v>46230</v>
      </c>
      <c r="J119" s="35">
        <v>46236</v>
      </c>
      <c r="K119" s="36" t="s">
        <v>8</v>
      </c>
    </row>
    <row r="120" spans="4:11" ht="42" customHeight="1" x14ac:dyDescent="0.3">
      <c r="D120" s="30" t="s">
        <v>4102</v>
      </c>
      <c r="E120" s="62" t="s">
        <v>4103</v>
      </c>
      <c r="F120" s="68" t="s">
        <v>163</v>
      </c>
      <c r="G120" s="63" t="s">
        <v>4104</v>
      </c>
      <c r="H120" s="52" t="s">
        <v>50</v>
      </c>
      <c r="I120" s="60">
        <v>46231</v>
      </c>
      <c r="J120" s="35">
        <v>46237</v>
      </c>
      <c r="K120" s="36" t="s">
        <v>8</v>
      </c>
    </row>
    <row r="121" spans="4:11" ht="42" customHeight="1" x14ac:dyDescent="0.3">
      <c r="D121" s="30" t="s">
        <v>4105</v>
      </c>
      <c r="E121" s="62" t="s">
        <v>4106</v>
      </c>
      <c r="F121" s="68" t="s">
        <v>163</v>
      </c>
      <c r="G121" s="63" t="s">
        <v>4107</v>
      </c>
      <c r="H121" s="52" t="s">
        <v>2678</v>
      </c>
      <c r="I121" s="60">
        <v>46231</v>
      </c>
      <c r="J121" s="35">
        <v>46239</v>
      </c>
      <c r="K121" s="36" t="s">
        <v>8</v>
      </c>
    </row>
    <row r="122" spans="4:11" ht="42" customHeight="1" x14ac:dyDescent="0.3">
      <c r="D122" s="30" t="s">
        <v>4108</v>
      </c>
      <c r="E122" s="62" t="s">
        <v>4109</v>
      </c>
      <c r="F122" s="68" t="s">
        <v>163</v>
      </c>
      <c r="G122" s="63" t="s">
        <v>4110</v>
      </c>
      <c r="H122" s="52" t="s">
        <v>2678</v>
      </c>
      <c r="I122" s="60">
        <v>46231</v>
      </c>
      <c r="J122" s="35">
        <v>46236</v>
      </c>
      <c r="K122" s="36" t="s">
        <v>8</v>
      </c>
    </row>
    <row r="123" spans="4:11" ht="42" customHeight="1" x14ac:dyDescent="0.3">
      <c r="D123" s="30" t="s">
        <v>4111</v>
      </c>
      <c r="E123" s="62" t="s">
        <v>4112</v>
      </c>
      <c r="F123" s="68" t="s">
        <v>163</v>
      </c>
      <c r="G123" s="63" t="s">
        <v>4113</v>
      </c>
      <c r="H123" s="52" t="s">
        <v>2678</v>
      </c>
      <c r="I123" s="60">
        <v>46231</v>
      </c>
      <c r="J123" s="35">
        <v>46240</v>
      </c>
      <c r="K123" s="36" t="s">
        <v>8</v>
      </c>
    </row>
    <row r="124" spans="4:11" ht="42" customHeight="1" x14ac:dyDescent="0.3">
      <c r="D124" s="30" t="s">
        <v>4114</v>
      </c>
      <c r="E124" s="62" t="s">
        <v>4115</v>
      </c>
      <c r="F124" s="68" t="s">
        <v>163</v>
      </c>
      <c r="G124" s="63" t="s">
        <v>4116</v>
      </c>
      <c r="H124" s="52" t="s">
        <v>2678</v>
      </c>
      <c r="I124" s="60">
        <v>46231</v>
      </c>
      <c r="J124" s="35">
        <v>46240</v>
      </c>
      <c r="K124" s="36" t="s">
        <v>8</v>
      </c>
    </row>
    <row r="125" spans="4:11" ht="42" customHeight="1" x14ac:dyDescent="0.3">
      <c r="D125" s="30" t="s">
        <v>4117</v>
      </c>
      <c r="E125" s="62" t="s">
        <v>4118</v>
      </c>
      <c r="F125" s="68" t="s">
        <v>163</v>
      </c>
      <c r="G125" s="63" t="s">
        <v>4119</v>
      </c>
      <c r="H125" s="52" t="s">
        <v>2678</v>
      </c>
      <c r="I125" s="60">
        <v>46231</v>
      </c>
      <c r="J125" s="35">
        <v>46239</v>
      </c>
      <c r="K125" s="36" t="s">
        <v>8</v>
      </c>
    </row>
    <row r="126" spans="4:11" ht="42" customHeight="1" x14ac:dyDescent="0.3">
      <c r="D126" s="30" t="s">
        <v>4120</v>
      </c>
      <c r="E126" s="62" t="s">
        <v>4121</v>
      </c>
      <c r="F126" s="68" t="s">
        <v>163</v>
      </c>
      <c r="G126" s="63" t="s">
        <v>4122</v>
      </c>
      <c r="H126" s="52" t="s">
        <v>2678</v>
      </c>
      <c r="I126" s="60">
        <v>46231</v>
      </c>
      <c r="J126" s="35">
        <v>46239</v>
      </c>
      <c r="K126" s="36" t="s">
        <v>8</v>
      </c>
    </row>
    <row r="127" spans="4:11" ht="42" customHeight="1" x14ac:dyDescent="0.3">
      <c r="D127" s="30" t="s">
        <v>4123</v>
      </c>
      <c r="E127" s="62" t="s">
        <v>4124</v>
      </c>
      <c r="F127" s="68" t="s">
        <v>163</v>
      </c>
      <c r="G127" s="63" t="s">
        <v>4125</v>
      </c>
      <c r="H127" s="52" t="s">
        <v>2678</v>
      </c>
      <c r="I127" s="60">
        <v>46231</v>
      </c>
      <c r="J127" s="35">
        <v>46239</v>
      </c>
      <c r="K127" s="36" t="s">
        <v>8</v>
      </c>
    </row>
    <row r="128" spans="4:11" ht="42" customHeight="1" x14ac:dyDescent="0.3">
      <c r="D128" s="30" t="s">
        <v>4126</v>
      </c>
      <c r="E128" s="62" t="s">
        <v>4127</v>
      </c>
      <c r="F128" s="68" t="s">
        <v>163</v>
      </c>
      <c r="G128" s="63" t="s">
        <v>4128</v>
      </c>
      <c r="H128" s="52" t="s">
        <v>50</v>
      </c>
      <c r="I128" s="60">
        <v>46232</v>
      </c>
      <c r="J128" s="35">
        <v>46239</v>
      </c>
      <c r="K128" s="36" t="s">
        <v>8</v>
      </c>
    </row>
    <row r="129" spans="4:11" ht="42" customHeight="1" x14ac:dyDescent="0.3">
      <c r="D129" s="30" t="s">
        <v>4129</v>
      </c>
      <c r="E129" s="62" t="s">
        <v>4130</v>
      </c>
      <c r="F129" s="68" t="s">
        <v>163</v>
      </c>
      <c r="G129" s="63" t="s">
        <v>4131</v>
      </c>
      <c r="H129" s="52" t="s">
        <v>50</v>
      </c>
      <c r="I129" s="60">
        <v>46233</v>
      </c>
      <c r="J129" s="35">
        <v>46237</v>
      </c>
      <c r="K129" s="36" t="s">
        <v>8</v>
      </c>
    </row>
    <row r="130" spans="4:11" ht="42" customHeight="1" x14ac:dyDescent="0.3">
      <c r="D130" s="30" t="s">
        <v>4132</v>
      </c>
      <c r="E130" s="62" t="s">
        <v>4133</v>
      </c>
      <c r="F130" s="68" t="s">
        <v>163</v>
      </c>
      <c r="G130" s="63" t="s">
        <v>4134</v>
      </c>
      <c r="H130" s="52" t="s">
        <v>50</v>
      </c>
      <c r="I130" s="60">
        <v>46233</v>
      </c>
      <c r="J130" s="35">
        <v>46237</v>
      </c>
      <c r="K130" s="36" t="s">
        <v>8</v>
      </c>
    </row>
    <row r="131" spans="4:11" ht="42" customHeight="1" x14ac:dyDescent="0.3">
      <c r="D131" s="30" t="s">
        <v>4135</v>
      </c>
      <c r="E131" s="62" t="s">
        <v>4136</v>
      </c>
      <c r="F131" s="68" t="s">
        <v>163</v>
      </c>
      <c r="G131" s="63" t="s">
        <v>4137</v>
      </c>
      <c r="H131" s="52" t="s">
        <v>2678</v>
      </c>
      <c r="I131" s="60">
        <v>46233</v>
      </c>
      <c r="J131" s="35">
        <v>46245</v>
      </c>
      <c r="K131" s="36" t="s">
        <v>8</v>
      </c>
    </row>
    <row r="132" spans="4:11" ht="42" customHeight="1" x14ac:dyDescent="0.3">
      <c r="D132" s="30" t="s">
        <v>4138</v>
      </c>
      <c r="E132" s="62" t="s">
        <v>4139</v>
      </c>
      <c r="F132" s="68" t="s">
        <v>163</v>
      </c>
      <c r="G132" s="63" t="s">
        <v>4140</v>
      </c>
      <c r="H132" s="52" t="s">
        <v>2678</v>
      </c>
      <c r="I132" s="60">
        <v>46236</v>
      </c>
      <c r="J132" s="35">
        <v>46243</v>
      </c>
      <c r="K132" s="36" t="s">
        <v>8</v>
      </c>
    </row>
    <row r="133" spans="4:11" ht="42" customHeight="1" x14ac:dyDescent="0.3">
      <c r="D133" s="30" t="s">
        <v>4141</v>
      </c>
      <c r="E133" s="62" t="s">
        <v>4142</v>
      </c>
      <c r="F133" s="68" t="s">
        <v>163</v>
      </c>
      <c r="G133" s="63" t="s">
        <v>4143</v>
      </c>
      <c r="H133" s="52" t="s">
        <v>2678</v>
      </c>
      <c r="I133" s="60">
        <v>46236</v>
      </c>
      <c r="J133" s="35">
        <v>46244</v>
      </c>
      <c r="K133" s="36" t="s">
        <v>8</v>
      </c>
    </row>
    <row r="134" spans="4:11" ht="42" customHeight="1" x14ac:dyDescent="0.3">
      <c r="D134" s="30" t="s">
        <v>4144</v>
      </c>
      <c r="E134" s="62" t="s">
        <v>4145</v>
      </c>
      <c r="F134" s="68" t="s">
        <v>163</v>
      </c>
      <c r="G134" s="63" t="s">
        <v>4146</v>
      </c>
      <c r="H134" s="52" t="s">
        <v>2678</v>
      </c>
      <c r="I134" s="60">
        <v>46236</v>
      </c>
      <c r="J134" s="35">
        <v>46244</v>
      </c>
      <c r="K134" s="36" t="s">
        <v>8</v>
      </c>
    </row>
    <row r="135" spans="4:11" ht="42" customHeight="1" x14ac:dyDescent="0.3">
      <c r="D135" s="30" t="s">
        <v>4147</v>
      </c>
      <c r="E135" s="62" t="s">
        <v>4148</v>
      </c>
      <c r="F135" s="68" t="s">
        <v>163</v>
      </c>
      <c r="G135" s="63" t="s">
        <v>4149</v>
      </c>
      <c r="H135" s="52" t="s">
        <v>2622</v>
      </c>
      <c r="I135" s="60">
        <v>46238</v>
      </c>
      <c r="J135" s="35">
        <v>46244</v>
      </c>
      <c r="K135" s="36" t="s">
        <v>8</v>
      </c>
    </row>
    <row r="136" spans="4:11" ht="42" customHeight="1" x14ac:dyDescent="0.3">
      <c r="D136" s="30" t="s">
        <v>4150</v>
      </c>
      <c r="E136" s="62" t="s">
        <v>4151</v>
      </c>
      <c r="F136" s="68" t="s">
        <v>163</v>
      </c>
      <c r="G136" s="63" t="s">
        <v>4152</v>
      </c>
      <c r="H136" s="52" t="s">
        <v>2840</v>
      </c>
      <c r="I136" s="60">
        <v>46240</v>
      </c>
      <c r="J136" s="35">
        <v>46243</v>
      </c>
      <c r="K136" s="36" t="s">
        <v>8</v>
      </c>
    </row>
    <row r="137" spans="4:11" ht="42" customHeight="1" x14ac:dyDescent="0.3">
      <c r="D137" s="30" t="s">
        <v>4153</v>
      </c>
      <c r="E137" s="62" t="s">
        <v>4154</v>
      </c>
      <c r="F137" s="68" t="s">
        <v>163</v>
      </c>
      <c r="G137" s="63" t="s">
        <v>4155</v>
      </c>
      <c r="H137" s="52" t="s">
        <v>2678</v>
      </c>
      <c r="I137" s="60">
        <v>46240</v>
      </c>
      <c r="J137" s="35">
        <v>46247</v>
      </c>
      <c r="K137" s="36" t="s">
        <v>8</v>
      </c>
    </row>
    <row r="138" spans="4:11" ht="42" customHeight="1" x14ac:dyDescent="0.3">
      <c r="D138" s="30" t="s">
        <v>4156</v>
      </c>
      <c r="E138" s="62" t="s">
        <v>4157</v>
      </c>
      <c r="F138" s="68" t="s">
        <v>163</v>
      </c>
      <c r="G138" s="63" t="s">
        <v>4158</v>
      </c>
      <c r="H138" s="52" t="s">
        <v>2678</v>
      </c>
      <c r="I138" s="60">
        <v>46240</v>
      </c>
      <c r="J138" s="35">
        <v>46246</v>
      </c>
      <c r="K138" s="36" t="s">
        <v>8</v>
      </c>
    </row>
    <row r="139" spans="4:11" ht="42" customHeight="1" x14ac:dyDescent="0.3">
      <c r="D139" s="30" t="s">
        <v>4159</v>
      </c>
      <c r="E139" s="62" t="s">
        <v>4160</v>
      </c>
      <c r="F139" s="68" t="s">
        <v>163</v>
      </c>
      <c r="G139" s="63" t="s">
        <v>4161</v>
      </c>
      <c r="H139" s="52" t="s">
        <v>2678</v>
      </c>
      <c r="I139" s="60">
        <v>46240</v>
      </c>
      <c r="J139" s="35">
        <v>46246</v>
      </c>
      <c r="K139" s="36" t="s">
        <v>8</v>
      </c>
    </row>
    <row r="140" spans="4:11" ht="42" customHeight="1" x14ac:dyDescent="0.3">
      <c r="D140" s="30" t="s">
        <v>4162</v>
      </c>
      <c r="E140" s="62" t="s">
        <v>4163</v>
      </c>
      <c r="F140" s="68" t="s">
        <v>163</v>
      </c>
      <c r="G140" s="63" t="s">
        <v>4164</v>
      </c>
      <c r="H140" s="52" t="s">
        <v>2678</v>
      </c>
      <c r="I140" s="60">
        <v>46242</v>
      </c>
      <c r="J140" s="35">
        <v>46247</v>
      </c>
      <c r="K140" s="36" t="s">
        <v>8</v>
      </c>
    </row>
    <row r="141" spans="4:11" ht="42" customHeight="1" x14ac:dyDescent="0.3">
      <c r="D141" s="30" t="s">
        <v>4165</v>
      </c>
      <c r="E141" s="62" t="s">
        <v>4166</v>
      </c>
      <c r="F141" s="68" t="s">
        <v>163</v>
      </c>
      <c r="G141" s="63" t="s">
        <v>4167</v>
      </c>
      <c r="H141" s="52" t="s">
        <v>2604</v>
      </c>
      <c r="I141" s="60">
        <v>46242</v>
      </c>
      <c r="J141" s="35">
        <v>46245</v>
      </c>
      <c r="K141" s="36" t="s">
        <v>8</v>
      </c>
    </row>
    <row r="142" spans="4:11" ht="42" customHeight="1" x14ac:dyDescent="0.3">
      <c r="D142" s="30" t="s">
        <v>4168</v>
      </c>
      <c r="E142" s="62" t="s">
        <v>4169</v>
      </c>
      <c r="F142" s="68" t="s">
        <v>163</v>
      </c>
      <c r="G142" s="63" t="s">
        <v>4170</v>
      </c>
      <c r="H142" s="52" t="s">
        <v>2604</v>
      </c>
      <c r="I142" s="60">
        <v>46242</v>
      </c>
      <c r="J142" s="35">
        <v>46245</v>
      </c>
      <c r="K142" s="36" t="s">
        <v>8</v>
      </c>
    </row>
    <row r="143" spans="4:11" ht="42" customHeight="1" x14ac:dyDescent="0.3">
      <c r="D143" s="30" t="s">
        <v>4171</v>
      </c>
      <c r="E143" s="62" t="s">
        <v>4172</v>
      </c>
      <c r="F143" s="68" t="s">
        <v>163</v>
      </c>
      <c r="G143" s="63" t="s">
        <v>4173</v>
      </c>
      <c r="H143" s="52" t="s">
        <v>2604</v>
      </c>
      <c r="I143" s="60">
        <v>46242</v>
      </c>
      <c r="J143" s="35">
        <v>46245</v>
      </c>
      <c r="K143" s="36" t="s">
        <v>8</v>
      </c>
    </row>
    <row r="144" spans="4:11" ht="42" customHeight="1" x14ac:dyDescent="0.3">
      <c r="D144" s="30" t="s">
        <v>4174</v>
      </c>
      <c r="E144" s="62" t="s">
        <v>4175</v>
      </c>
      <c r="F144" s="68" t="s">
        <v>163</v>
      </c>
      <c r="G144" s="63" t="s">
        <v>4176</v>
      </c>
      <c r="H144" s="52" t="s">
        <v>2604</v>
      </c>
      <c r="I144" s="60">
        <v>46242</v>
      </c>
      <c r="J144" s="35">
        <v>46245</v>
      </c>
      <c r="K144" s="36" t="s">
        <v>8</v>
      </c>
    </row>
    <row r="145" spans="4:11" ht="42" customHeight="1" x14ac:dyDescent="0.3">
      <c r="D145" s="30" t="s">
        <v>4177</v>
      </c>
      <c r="E145" s="62" t="s">
        <v>4178</v>
      </c>
      <c r="F145" s="68" t="s">
        <v>163</v>
      </c>
      <c r="G145" s="63" t="s">
        <v>4179</v>
      </c>
      <c r="H145" s="52" t="s">
        <v>2604</v>
      </c>
      <c r="I145" s="60">
        <v>46242</v>
      </c>
      <c r="J145" s="35">
        <v>46245</v>
      </c>
      <c r="K145" s="36" t="s">
        <v>8</v>
      </c>
    </row>
    <row r="146" spans="4:11" ht="42" customHeight="1" x14ac:dyDescent="0.3">
      <c r="D146" s="30" t="s">
        <v>4180</v>
      </c>
      <c r="E146" s="62" t="s">
        <v>4181</v>
      </c>
      <c r="F146" s="68" t="s">
        <v>163</v>
      </c>
      <c r="G146" s="63" t="s">
        <v>4182</v>
      </c>
      <c r="H146" s="52" t="s">
        <v>2678</v>
      </c>
      <c r="I146" s="60">
        <v>46242</v>
      </c>
      <c r="J146" s="35">
        <v>46247</v>
      </c>
      <c r="K146" s="36" t="s">
        <v>8</v>
      </c>
    </row>
    <row r="147" spans="4:11" ht="42" customHeight="1" x14ac:dyDescent="0.3">
      <c r="D147" s="30" t="s">
        <v>4183</v>
      </c>
      <c r="E147" s="62" t="s">
        <v>4184</v>
      </c>
      <c r="F147" s="68" t="s">
        <v>163</v>
      </c>
      <c r="G147" s="63" t="s">
        <v>4185</v>
      </c>
      <c r="H147" s="52" t="s">
        <v>2678</v>
      </c>
      <c r="I147" s="60">
        <v>46242</v>
      </c>
      <c r="J147" s="35">
        <v>46245</v>
      </c>
      <c r="K147" s="36" t="s">
        <v>8</v>
      </c>
    </row>
    <row r="148" spans="4:11" ht="42" customHeight="1" x14ac:dyDescent="0.3">
      <c r="D148" s="30" t="s">
        <v>4186</v>
      </c>
      <c r="E148" s="62" t="s">
        <v>4187</v>
      </c>
      <c r="F148" s="68" t="s">
        <v>163</v>
      </c>
      <c r="G148" s="63" t="s">
        <v>4188</v>
      </c>
      <c r="H148" s="52" t="s">
        <v>2678</v>
      </c>
      <c r="I148" s="60">
        <v>46242</v>
      </c>
      <c r="J148" s="35">
        <v>46244</v>
      </c>
      <c r="K148" s="36" t="s">
        <v>8</v>
      </c>
    </row>
    <row r="149" spans="4:11" ht="42" customHeight="1" x14ac:dyDescent="0.3">
      <c r="D149" s="30" t="s">
        <v>4189</v>
      </c>
      <c r="E149" s="62" t="s">
        <v>4190</v>
      </c>
      <c r="F149" s="68" t="s">
        <v>163</v>
      </c>
      <c r="G149" s="63" t="s">
        <v>4191</v>
      </c>
      <c r="H149" s="52" t="s">
        <v>2678</v>
      </c>
      <c r="I149" s="60">
        <v>46242</v>
      </c>
      <c r="J149" s="35">
        <v>46251</v>
      </c>
      <c r="K149" s="36" t="s">
        <v>8</v>
      </c>
    </row>
    <row r="150" spans="4:11" ht="42" customHeight="1" x14ac:dyDescent="0.3">
      <c r="D150" s="30" t="s">
        <v>4192</v>
      </c>
      <c r="E150" s="62" t="s">
        <v>4193</v>
      </c>
      <c r="F150" s="68" t="s">
        <v>163</v>
      </c>
      <c r="G150" s="63" t="s">
        <v>4194</v>
      </c>
      <c r="H150" s="52" t="s">
        <v>2678</v>
      </c>
      <c r="I150" s="60">
        <v>46243</v>
      </c>
      <c r="J150" s="35">
        <v>46253</v>
      </c>
      <c r="K150" s="36" t="s">
        <v>8</v>
      </c>
    </row>
    <row r="151" spans="4:11" ht="42" customHeight="1" x14ac:dyDescent="0.3">
      <c r="D151" s="30" t="s">
        <v>4195</v>
      </c>
      <c r="E151" s="62" t="s">
        <v>4196</v>
      </c>
      <c r="F151" s="68" t="s">
        <v>163</v>
      </c>
      <c r="G151" s="63" t="s">
        <v>4197</v>
      </c>
      <c r="H151" s="52" t="s">
        <v>2678</v>
      </c>
      <c r="I151" s="60">
        <v>46243</v>
      </c>
      <c r="J151" s="35">
        <v>46246</v>
      </c>
      <c r="K151" s="36" t="s">
        <v>8</v>
      </c>
    </row>
    <row r="152" spans="4:11" ht="42" customHeight="1" x14ac:dyDescent="0.3">
      <c r="D152" s="30" t="s">
        <v>4198</v>
      </c>
      <c r="E152" s="62" t="s">
        <v>4199</v>
      </c>
      <c r="F152" s="68" t="s">
        <v>163</v>
      </c>
      <c r="G152" s="63" t="s">
        <v>4200</v>
      </c>
      <c r="H152" s="52" t="s">
        <v>2678</v>
      </c>
      <c r="I152" s="60">
        <v>46243</v>
      </c>
      <c r="J152" s="35">
        <v>46251</v>
      </c>
      <c r="K152" s="36" t="s">
        <v>8</v>
      </c>
    </row>
    <row r="153" spans="4:11" ht="42" customHeight="1" x14ac:dyDescent="0.3">
      <c r="D153" s="30" t="s">
        <v>4201</v>
      </c>
      <c r="E153" s="62" t="s">
        <v>4202</v>
      </c>
      <c r="F153" s="68" t="s">
        <v>163</v>
      </c>
      <c r="G153" s="63" t="s">
        <v>4203</v>
      </c>
      <c r="H153" s="52" t="s">
        <v>2678</v>
      </c>
      <c r="I153" s="60">
        <v>46243</v>
      </c>
      <c r="J153" s="35">
        <v>46253</v>
      </c>
      <c r="K153" s="36" t="s">
        <v>8</v>
      </c>
    </row>
    <row r="154" spans="4:11" ht="42" customHeight="1" x14ac:dyDescent="0.3">
      <c r="D154" s="30" t="s">
        <v>4204</v>
      </c>
      <c r="E154" s="62" t="s">
        <v>4205</v>
      </c>
      <c r="F154" s="68" t="s">
        <v>163</v>
      </c>
      <c r="G154" s="63" t="s">
        <v>4206</v>
      </c>
      <c r="H154" s="52" t="s">
        <v>2678</v>
      </c>
      <c r="I154" s="60">
        <v>46243</v>
      </c>
      <c r="J154" s="35">
        <v>46251</v>
      </c>
      <c r="K154" s="36" t="s">
        <v>8</v>
      </c>
    </row>
    <row r="155" spans="4:11" ht="42" customHeight="1" x14ac:dyDescent="0.3">
      <c r="D155" s="30" t="s">
        <v>4207</v>
      </c>
      <c r="E155" s="62" t="s">
        <v>4208</v>
      </c>
      <c r="F155" s="68" t="s">
        <v>163</v>
      </c>
      <c r="G155" s="63" t="s">
        <v>4209</v>
      </c>
      <c r="H155" s="52" t="s">
        <v>2678</v>
      </c>
      <c r="I155" s="60">
        <v>46243</v>
      </c>
      <c r="J155" s="35">
        <v>46245</v>
      </c>
      <c r="K155" s="36" t="s">
        <v>8</v>
      </c>
    </row>
    <row r="156" spans="4:11" ht="42" customHeight="1" x14ac:dyDescent="0.3">
      <c r="D156" s="30" t="s">
        <v>4210</v>
      </c>
      <c r="E156" s="62" t="s">
        <v>4211</v>
      </c>
      <c r="F156" s="68" t="s">
        <v>163</v>
      </c>
      <c r="G156" s="63" t="s">
        <v>4212</v>
      </c>
      <c r="H156" s="52" t="s">
        <v>2678</v>
      </c>
      <c r="I156" s="60">
        <v>46243</v>
      </c>
      <c r="J156" s="35">
        <v>46246</v>
      </c>
      <c r="K156" s="36" t="s">
        <v>8</v>
      </c>
    </row>
    <row r="157" spans="4:11" ht="42" customHeight="1" x14ac:dyDescent="0.3">
      <c r="D157" s="30" t="s">
        <v>4213</v>
      </c>
      <c r="E157" s="62" t="s">
        <v>4214</v>
      </c>
      <c r="F157" s="68" t="s">
        <v>163</v>
      </c>
      <c r="G157" s="63" t="s">
        <v>4215</v>
      </c>
      <c r="H157" s="52" t="s">
        <v>36</v>
      </c>
      <c r="I157" s="60">
        <v>46244</v>
      </c>
      <c r="J157" s="35">
        <v>46246</v>
      </c>
      <c r="K157" s="36" t="s">
        <v>8</v>
      </c>
    </row>
    <row r="158" spans="4:11" ht="42" customHeight="1" x14ac:dyDescent="0.3">
      <c r="D158" s="30" t="s">
        <v>4216</v>
      </c>
      <c r="E158" s="62" t="s">
        <v>4217</v>
      </c>
      <c r="F158" s="68" t="s">
        <v>163</v>
      </c>
      <c r="G158" s="63" t="s">
        <v>4218</v>
      </c>
      <c r="H158" s="52" t="s">
        <v>2622</v>
      </c>
      <c r="I158" s="60">
        <v>46244</v>
      </c>
      <c r="J158" s="35">
        <v>46246</v>
      </c>
      <c r="K158" s="36" t="s">
        <v>8</v>
      </c>
    </row>
    <row r="159" spans="4:11" ht="42" customHeight="1" x14ac:dyDescent="0.3">
      <c r="D159" s="30" t="s">
        <v>4219</v>
      </c>
      <c r="E159" s="62" t="s">
        <v>4220</v>
      </c>
      <c r="F159" s="68" t="s">
        <v>163</v>
      </c>
      <c r="G159" s="63" t="s">
        <v>4221</v>
      </c>
      <c r="H159" s="52" t="s">
        <v>2799</v>
      </c>
      <c r="I159" s="60">
        <v>46245</v>
      </c>
      <c r="J159" s="35">
        <v>46246</v>
      </c>
      <c r="K159" s="36" t="s">
        <v>8</v>
      </c>
    </row>
    <row r="160" spans="4:11" ht="42" customHeight="1" x14ac:dyDescent="0.3">
      <c r="D160" s="30" t="s">
        <v>4222</v>
      </c>
      <c r="E160" s="62" t="s">
        <v>4223</v>
      </c>
      <c r="F160" s="68" t="s">
        <v>163</v>
      </c>
      <c r="G160" s="63" t="s">
        <v>4224</v>
      </c>
      <c r="H160" s="52" t="s">
        <v>50</v>
      </c>
      <c r="I160" s="60">
        <v>46246</v>
      </c>
      <c r="J160" s="35">
        <v>46253</v>
      </c>
      <c r="K160" s="36" t="s">
        <v>8</v>
      </c>
    </row>
    <row r="161" spans="4:11" ht="42" customHeight="1" x14ac:dyDescent="0.3">
      <c r="D161" s="30" t="s">
        <v>4225</v>
      </c>
      <c r="E161" s="62" t="s">
        <v>4226</v>
      </c>
      <c r="F161" s="68" t="s">
        <v>163</v>
      </c>
      <c r="G161" s="63" t="s">
        <v>4227</v>
      </c>
      <c r="H161" s="52" t="s">
        <v>50</v>
      </c>
      <c r="I161" s="60">
        <v>46246</v>
      </c>
      <c r="J161" s="35">
        <v>46253</v>
      </c>
      <c r="K161" s="36" t="s">
        <v>8</v>
      </c>
    </row>
    <row r="162" spans="4:11" ht="42" customHeight="1" x14ac:dyDescent="0.3">
      <c r="D162" s="30" t="s">
        <v>4228</v>
      </c>
      <c r="E162" s="62" t="s">
        <v>4229</v>
      </c>
      <c r="F162" s="68" t="s">
        <v>163</v>
      </c>
      <c r="G162" s="63" t="s">
        <v>4230</v>
      </c>
      <c r="H162" s="52" t="s">
        <v>2678</v>
      </c>
      <c r="I162" s="60">
        <v>46246</v>
      </c>
      <c r="J162" s="35">
        <v>46251</v>
      </c>
      <c r="K162" s="36" t="s">
        <v>8</v>
      </c>
    </row>
    <row r="163" spans="4:11" ht="42" customHeight="1" x14ac:dyDescent="0.3">
      <c r="D163" s="30" t="s">
        <v>4231</v>
      </c>
      <c r="E163" s="62" t="s">
        <v>4232</v>
      </c>
      <c r="F163" s="68" t="s">
        <v>163</v>
      </c>
      <c r="G163" s="63" t="s">
        <v>4233</v>
      </c>
      <c r="H163" s="52" t="s">
        <v>193</v>
      </c>
      <c r="I163" s="60">
        <v>46246</v>
      </c>
      <c r="J163" s="35">
        <v>46253</v>
      </c>
      <c r="K163" s="36" t="s">
        <v>8</v>
      </c>
    </row>
    <row r="164" spans="4:11" ht="42" customHeight="1" x14ac:dyDescent="0.3">
      <c r="D164" s="30" t="s">
        <v>4234</v>
      </c>
      <c r="E164" s="62" t="s">
        <v>4235</v>
      </c>
      <c r="F164" s="68" t="s">
        <v>163</v>
      </c>
      <c r="G164" s="63" t="s">
        <v>4236</v>
      </c>
      <c r="H164" s="52" t="s">
        <v>54</v>
      </c>
      <c r="I164" s="60">
        <v>46246</v>
      </c>
      <c r="J164" s="35">
        <v>46251</v>
      </c>
      <c r="K164" s="36" t="s">
        <v>8</v>
      </c>
    </row>
    <row r="165" spans="4:11" ht="42" customHeight="1" x14ac:dyDescent="0.3">
      <c r="D165" s="30" t="s">
        <v>4237</v>
      </c>
      <c r="E165" s="62" t="s">
        <v>4238</v>
      </c>
      <c r="F165" s="68" t="s">
        <v>163</v>
      </c>
      <c r="G165" s="63" t="s">
        <v>4215</v>
      </c>
      <c r="H165" s="52" t="s">
        <v>36</v>
      </c>
      <c r="I165" s="60">
        <v>46247</v>
      </c>
      <c r="J165" s="35">
        <v>46251</v>
      </c>
      <c r="K165" s="36" t="s">
        <v>8</v>
      </c>
    </row>
    <row r="166" spans="4:11" ht="42" customHeight="1" x14ac:dyDescent="0.3">
      <c r="D166" s="30" t="s">
        <v>4239</v>
      </c>
      <c r="E166" s="62" t="s">
        <v>4240</v>
      </c>
      <c r="F166" s="68" t="s">
        <v>163</v>
      </c>
      <c r="G166" s="63" t="s">
        <v>4241</v>
      </c>
      <c r="H166" s="52" t="s">
        <v>36</v>
      </c>
      <c r="I166" s="60">
        <v>46250</v>
      </c>
      <c r="J166" s="35">
        <v>46256</v>
      </c>
      <c r="K166" s="36" t="s">
        <v>8</v>
      </c>
    </row>
    <row r="167" spans="4:11" ht="42" customHeight="1" x14ac:dyDescent="0.3">
      <c r="D167" s="30" t="s">
        <v>4242</v>
      </c>
      <c r="E167" s="62" t="s">
        <v>4243</v>
      </c>
      <c r="F167" s="68" t="s">
        <v>163</v>
      </c>
      <c r="G167" s="63" t="s">
        <v>4244</v>
      </c>
      <c r="H167" s="52" t="s">
        <v>2678</v>
      </c>
      <c r="I167" s="60">
        <v>46251</v>
      </c>
      <c r="J167" s="35">
        <v>46259</v>
      </c>
      <c r="K167" s="36" t="s">
        <v>8</v>
      </c>
    </row>
    <row r="168" spans="4:11" ht="42" customHeight="1" x14ac:dyDescent="0.3">
      <c r="D168" s="30" t="s">
        <v>4245</v>
      </c>
      <c r="E168" s="62" t="s">
        <v>4246</v>
      </c>
      <c r="F168" s="68" t="s">
        <v>163</v>
      </c>
      <c r="G168" s="63" t="s">
        <v>4247</v>
      </c>
      <c r="H168" s="52" t="s">
        <v>193</v>
      </c>
      <c r="I168" s="60">
        <v>46252</v>
      </c>
      <c r="J168" s="35">
        <v>46258</v>
      </c>
      <c r="K168" s="36" t="s">
        <v>8</v>
      </c>
    </row>
    <row r="169" spans="4:11" ht="42" customHeight="1" x14ac:dyDescent="0.3">
      <c r="D169" s="30" t="s">
        <v>4248</v>
      </c>
      <c r="E169" s="62" t="s">
        <v>4249</v>
      </c>
      <c r="F169" s="68" t="s">
        <v>163</v>
      </c>
      <c r="G169" s="63" t="s">
        <v>4250</v>
      </c>
      <c r="H169" s="52" t="s">
        <v>2678</v>
      </c>
      <c r="I169" s="60">
        <v>46253</v>
      </c>
      <c r="J169" s="35">
        <v>46258</v>
      </c>
      <c r="K169" s="36" t="s">
        <v>8</v>
      </c>
    </row>
    <row r="170" spans="4:11" ht="42" customHeight="1" x14ac:dyDescent="0.3">
      <c r="D170" s="30" t="s">
        <v>4251</v>
      </c>
      <c r="E170" s="62" t="s">
        <v>4252</v>
      </c>
      <c r="F170" s="68" t="s">
        <v>163</v>
      </c>
      <c r="G170" s="63" t="s">
        <v>4253</v>
      </c>
      <c r="H170" s="52" t="s">
        <v>2678</v>
      </c>
      <c r="I170" s="60">
        <v>46253</v>
      </c>
      <c r="J170" s="35">
        <v>46258</v>
      </c>
      <c r="K170" s="36" t="s">
        <v>8</v>
      </c>
    </row>
    <row r="171" spans="4:11" ht="42" customHeight="1" x14ac:dyDescent="0.3">
      <c r="D171" s="30" t="s">
        <v>4254</v>
      </c>
      <c r="E171" s="62" t="s">
        <v>4255</v>
      </c>
      <c r="F171" s="68" t="s">
        <v>163</v>
      </c>
      <c r="G171" s="63" t="s">
        <v>4256</v>
      </c>
      <c r="H171" s="52" t="s">
        <v>2678</v>
      </c>
      <c r="I171" s="60">
        <v>46253</v>
      </c>
      <c r="J171" s="35">
        <v>46265</v>
      </c>
      <c r="K171" s="36" t="s">
        <v>8</v>
      </c>
    </row>
    <row r="172" spans="4:11" ht="42" customHeight="1" x14ac:dyDescent="0.3">
      <c r="D172" s="30" t="s">
        <v>4257</v>
      </c>
      <c r="E172" s="62" t="s">
        <v>4258</v>
      </c>
      <c r="F172" s="68" t="s">
        <v>163</v>
      </c>
      <c r="G172" s="63" t="s">
        <v>4259</v>
      </c>
      <c r="H172" s="52" t="s">
        <v>50</v>
      </c>
      <c r="I172" s="60">
        <v>46254</v>
      </c>
      <c r="J172" s="35">
        <v>46259</v>
      </c>
      <c r="K172" s="36" t="s">
        <v>8</v>
      </c>
    </row>
    <row r="173" spans="4:11" ht="42" customHeight="1" x14ac:dyDescent="0.3">
      <c r="D173" s="30" t="s">
        <v>4260</v>
      </c>
      <c r="E173" s="62" t="s">
        <v>4261</v>
      </c>
      <c r="F173" s="68" t="s">
        <v>163</v>
      </c>
      <c r="G173" s="63" t="s">
        <v>4262</v>
      </c>
      <c r="H173" s="52" t="s">
        <v>2678</v>
      </c>
      <c r="I173" s="60">
        <v>46254</v>
      </c>
      <c r="J173" s="35">
        <v>46260</v>
      </c>
      <c r="K173" s="36" t="s">
        <v>8</v>
      </c>
    </row>
    <row r="174" spans="4:11" ht="42" customHeight="1" x14ac:dyDescent="0.3">
      <c r="D174" s="30" t="s">
        <v>4263</v>
      </c>
      <c r="E174" s="62" t="s">
        <v>4264</v>
      </c>
      <c r="F174" s="68" t="s">
        <v>163</v>
      </c>
      <c r="G174" s="63" t="s">
        <v>4265</v>
      </c>
      <c r="H174" s="52" t="s">
        <v>2678</v>
      </c>
      <c r="I174" s="60">
        <v>46256</v>
      </c>
      <c r="J174" s="35">
        <v>46260</v>
      </c>
      <c r="K174" s="36" t="s">
        <v>8</v>
      </c>
    </row>
    <row r="175" spans="4:11" ht="42" customHeight="1" x14ac:dyDescent="0.3">
      <c r="D175" s="30" t="s">
        <v>4266</v>
      </c>
      <c r="E175" s="62" t="s">
        <v>4267</v>
      </c>
      <c r="F175" s="68" t="s">
        <v>163</v>
      </c>
      <c r="G175" s="63" t="s">
        <v>4268</v>
      </c>
      <c r="H175" s="52" t="s">
        <v>2964</v>
      </c>
      <c r="I175" s="60">
        <v>46257</v>
      </c>
      <c r="J175" s="35">
        <v>46258</v>
      </c>
      <c r="K175" s="36" t="s">
        <v>8</v>
      </c>
    </row>
    <row r="176" spans="4:11" ht="42" customHeight="1" x14ac:dyDescent="0.3">
      <c r="D176" s="30" t="s">
        <v>4269</v>
      </c>
      <c r="E176" s="62" t="s">
        <v>4270</v>
      </c>
      <c r="F176" s="68" t="s">
        <v>163</v>
      </c>
      <c r="G176" s="63" t="s">
        <v>4271</v>
      </c>
      <c r="H176" s="52" t="s">
        <v>2964</v>
      </c>
      <c r="I176" s="60">
        <v>46257</v>
      </c>
      <c r="J176" s="35">
        <v>46258</v>
      </c>
      <c r="K176" s="36" t="s">
        <v>8</v>
      </c>
    </row>
    <row r="177" spans="4:11" ht="42" customHeight="1" x14ac:dyDescent="0.3">
      <c r="D177" s="30" t="s">
        <v>4272</v>
      </c>
      <c r="E177" s="62" t="s">
        <v>4273</v>
      </c>
      <c r="F177" s="68" t="s">
        <v>163</v>
      </c>
      <c r="G177" s="63" t="s">
        <v>4274</v>
      </c>
      <c r="H177" s="52" t="s">
        <v>2622</v>
      </c>
      <c r="I177" s="60">
        <v>46258</v>
      </c>
      <c r="J177" s="35">
        <v>46267</v>
      </c>
      <c r="K177" s="36" t="s">
        <v>8</v>
      </c>
    </row>
    <row r="178" spans="4:11" ht="42" customHeight="1" x14ac:dyDescent="0.3">
      <c r="D178" s="30" t="s">
        <v>4275</v>
      </c>
      <c r="E178" s="62" t="s">
        <v>4276</v>
      </c>
      <c r="F178" s="68" t="s">
        <v>163</v>
      </c>
      <c r="G178" s="63" t="s">
        <v>4277</v>
      </c>
      <c r="H178" s="52" t="s">
        <v>2622</v>
      </c>
      <c r="I178" s="60">
        <v>46258</v>
      </c>
      <c r="J178" s="35">
        <v>46267</v>
      </c>
      <c r="K178" s="36" t="s">
        <v>8</v>
      </c>
    </row>
    <row r="179" spans="4:11" ht="42" customHeight="1" x14ac:dyDescent="0.3">
      <c r="D179" s="30" t="s">
        <v>4278</v>
      </c>
      <c r="E179" s="62" t="s">
        <v>4279</v>
      </c>
      <c r="F179" s="68" t="s">
        <v>163</v>
      </c>
      <c r="G179" s="63" t="s">
        <v>4280</v>
      </c>
      <c r="H179" s="52" t="s">
        <v>50</v>
      </c>
      <c r="I179" s="60">
        <v>46259</v>
      </c>
      <c r="J179" s="35">
        <v>46265</v>
      </c>
      <c r="K179" s="36" t="s">
        <v>8</v>
      </c>
    </row>
    <row r="180" spans="4:11" ht="42" customHeight="1" x14ac:dyDescent="0.3">
      <c r="D180" s="30" t="s">
        <v>4281</v>
      </c>
      <c r="E180" s="62" t="s">
        <v>4282</v>
      </c>
      <c r="F180" s="68" t="s">
        <v>163</v>
      </c>
      <c r="G180" s="63" t="s">
        <v>4283</v>
      </c>
      <c r="H180" s="52" t="s">
        <v>2678</v>
      </c>
      <c r="I180" s="60">
        <v>46260</v>
      </c>
      <c r="J180" s="35">
        <v>46268</v>
      </c>
      <c r="K180" s="36" t="s">
        <v>8</v>
      </c>
    </row>
    <row r="181" spans="4:11" ht="42" customHeight="1" x14ac:dyDescent="0.3">
      <c r="D181" s="30" t="s">
        <v>4284</v>
      </c>
      <c r="E181" s="62" t="s">
        <v>4285</v>
      </c>
      <c r="F181" s="68" t="s">
        <v>163</v>
      </c>
      <c r="G181" s="63" t="s">
        <v>4286</v>
      </c>
      <c r="H181" s="52" t="s">
        <v>2622</v>
      </c>
      <c r="I181" s="60">
        <v>46263</v>
      </c>
      <c r="J181" s="35">
        <v>46265</v>
      </c>
      <c r="K181" s="36" t="s">
        <v>8</v>
      </c>
    </row>
    <row r="182" spans="4:11" ht="42" customHeight="1" x14ac:dyDescent="0.3">
      <c r="D182" s="30" t="s">
        <v>4287</v>
      </c>
      <c r="E182" s="62" t="s">
        <v>4288</v>
      </c>
      <c r="F182" s="68" t="s">
        <v>163</v>
      </c>
      <c r="G182" s="63" t="s">
        <v>4289</v>
      </c>
      <c r="H182" s="52" t="s">
        <v>2622</v>
      </c>
      <c r="I182" s="60">
        <v>46263</v>
      </c>
      <c r="J182" s="35">
        <v>46265</v>
      </c>
      <c r="K182" s="36" t="s">
        <v>8</v>
      </c>
    </row>
    <row r="183" spans="4:11" ht="42" customHeight="1" x14ac:dyDescent="0.3">
      <c r="D183" s="30" t="s">
        <v>4290</v>
      </c>
      <c r="E183" s="62" t="s">
        <v>4291</v>
      </c>
      <c r="F183" s="68" t="s">
        <v>163</v>
      </c>
      <c r="G183" s="63" t="s">
        <v>4292</v>
      </c>
      <c r="H183" s="52" t="s">
        <v>2622</v>
      </c>
      <c r="I183" s="60">
        <v>46263</v>
      </c>
      <c r="J183" s="35">
        <v>46265</v>
      </c>
      <c r="K183" s="36" t="s">
        <v>8</v>
      </c>
    </row>
    <row r="184" spans="4:11" ht="42" customHeight="1" x14ac:dyDescent="0.3">
      <c r="D184" s="30" t="s">
        <v>4293</v>
      </c>
      <c r="E184" s="62" t="s">
        <v>4294</v>
      </c>
      <c r="F184" s="68" t="s">
        <v>163</v>
      </c>
      <c r="G184" s="63" t="s">
        <v>4295</v>
      </c>
      <c r="H184" s="52" t="s">
        <v>2622</v>
      </c>
      <c r="I184" s="60">
        <v>46263</v>
      </c>
      <c r="J184" s="35">
        <v>46265</v>
      </c>
      <c r="K184" s="36" t="s">
        <v>8</v>
      </c>
    </row>
    <row r="185" spans="4:11" ht="42" customHeight="1" x14ac:dyDescent="0.3">
      <c r="D185" s="30" t="s">
        <v>4296</v>
      </c>
      <c r="E185" s="62" t="s">
        <v>4297</v>
      </c>
      <c r="F185" s="68" t="s">
        <v>163</v>
      </c>
      <c r="G185" s="63" t="s">
        <v>4298</v>
      </c>
      <c r="H185" s="52" t="s">
        <v>2622</v>
      </c>
      <c r="I185" s="60">
        <v>46263</v>
      </c>
      <c r="J185" s="35">
        <v>46265</v>
      </c>
      <c r="K185" s="36" t="s">
        <v>8</v>
      </c>
    </row>
    <row r="186" spans="4:11" ht="42" customHeight="1" x14ac:dyDescent="0.3">
      <c r="D186" s="30" t="s">
        <v>4299</v>
      </c>
      <c r="E186" s="62" t="s">
        <v>4300</v>
      </c>
      <c r="F186" s="68" t="s">
        <v>163</v>
      </c>
      <c r="G186" s="63" t="s">
        <v>4301</v>
      </c>
      <c r="H186" s="52" t="s">
        <v>2622</v>
      </c>
      <c r="I186" s="60">
        <v>46263</v>
      </c>
      <c r="J186" s="35">
        <v>46265</v>
      </c>
      <c r="K186" s="36" t="s">
        <v>8</v>
      </c>
    </row>
    <row r="187" spans="4:11" ht="42" customHeight="1" x14ac:dyDescent="0.3">
      <c r="D187" s="30" t="s">
        <v>4302</v>
      </c>
      <c r="E187" s="62" t="s">
        <v>4303</v>
      </c>
      <c r="F187" s="68" t="s">
        <v>163</v>
      </c>
      <c r="G187" s="63" t="s">
        <v>4304</v>
      </c>
      <c r="H187" s="52" t="s">
        <v>2622</v>
      </c>
      <c r="I187" s="60">
        <v>46263</v>
      </c>
      <c r="J187" s="35">
        <v>46265</v>
      </c>
      <c r="K187" s="36" t="s">
        <v>8</v>
      </c>
    </row>
    <row r="188" spans="4:11" ht="42" customHeight="1" x14ac:dyDescent="0.3">
      <c r="D188" s="30" t="s">
        <v>4305</v>
      </c>
      <c r="E188" s="62" t="s">
        <v>4306</v>
      </c>
      <c r="F188" s="68" t="s">
        <v>163</v>
      </c>
      <c r="G188" s="63" t="s">
        <v>4307</v>
      </c>
      <c r="H188" s="52" t="s">
        <v>40</v>
      </c>
      <c r="I188" s="60">
        <v>46264</v>
      </c>
      <c r="J188" s="35">
        <v>46268</v>
      </c>
      <c r="K188" s="36" t="s">
        <v>8</v>
      </c>
    </row>
    <row r="189" spans="4:11" ht="42" customHeight="1" x14ac:dyDescent="0.3">
      <c r="D189" s="30" t="s">
        <v>4308</v>
      </c>
      <c r="E189" s="62" t="s">
        <v>4309</v>
      </c>
      <c r="F189" s="68" t="s">
        <v>163</v>
      </c>
      <c r="G189" s="63" t="s">
        <v>4310</v>
      </c>
      <c r="H189" s="52" t="s">
        <v>2622</v>
      </c>
      <c r="I189" s="60">
        <v>46264</v>
      </c>
      <c r="J189" s="35">
        <v>46265</v>
      </c>
      <c r="K189" s="36" t="s">
        <v>8</v>
      </c>
    </row>
    <row r="190" spans="4:11" ht="42" customHeight="1" x14ac:dyDescent="0.3">
      <c r="D190" s="30" t="s">
        <v>4311</v>
      </c>
      <c r="E190" s="62" t="s">
        <v>4312</v>
      </c>
      <c r="F190" s="68" t="s">
        <v>163</v>
      </c>
      <c r="G190" s="63" t="s">
        <v>4313</v>
      </c>
      <c r="H190" s="52" t="s">
        <v>2622</v>
      </c>
      <c r="I190" s="60">
        <v>46264</v>
      </c>
      <c r="J190" s="35">
        <v>46273</v>
      </c>
      <c r="K190" s="36" t="s">
        <v>8</v>
      </c>
    </row>
    <row r="191" spans="4:11" ht="42" customHeight="1" x14ac:dyDescent="0.3">
      <c r="D191" s="30" t="s">
        <v>4314</v>
      </c>
      <c r="E191" s="62" t="s">
        <v>4315</v>
      </c>
      <c r="F191" s="68" t="s">
        <v>163</v>
      </c>
      <c r="G191" s="63" t="s">
        <v>4316</v>
      </c>
      <c r="H191" s="52" t="s">
        <v>2622</v>
      </c>
      <c r="I191" s="60">
        <v>46264</v>
      </c>
      <c r="J191" s="35">
        <v>46266</v>
      </c>
      <c r="K191" s="36" t="s">
        <v>8</v>
      </c>
    </row>
    <row r="192" spans="4:11" ht="42" customHeight="1" x14ac:dyDescent="0.3">
      <c r="D192" s="30" t="s">
        <v>4317</v>
      </c>
      <c r="E192" s="62" t="s">
        <v>4318</v>
      </c>
      <c r="F192" s="68" t="s">
        <v>163</v>
      </c>
      <c r="G192" s="63" t="s">
        <v>4319</v>
      </c>
      <c r="H192" s="52" t="s">
        <v>2622</v>
      </c>
      <c r="I192" s="60">
        <v>46264</v>
      </c>
      <c r="J192" s="35">
        <v>46268</v>
      </c>
      <c r="K192" s="36" t="s">
        <v>8</v>
      </c>
    </row>
    <row r="193" spans="4:11" ht="42" customHeight="1" x14ac:dyDescent="0.3">
      <c r="D193" s="30" t="s">
        <v>4320</v>
      </c>
      <c r="E193" s="62" t="s">
        <v>4321</v>
      </c>
      <c r="F193" s="68" t="s">
        <v>163</v>
      </c>
      <c r="G193" s="63" t="s">
        <v>4322</v>
      </c>
      <c r="H193" s="52" t="s">
        <v>2622</v>
      </c>
      <c r="I193" s="60">
        <v>46264</v>
      </c>
      <c r="J193" s="35">
        <v>46273</v>
      </c>
      <c r="K193" s="36" t="s">
        <v>8</v>
      </c>
    </row>
    <row r="194" spans="4:11" ht="42" customHeight="1" x14ac:dyDescent="0.3">
      <c r="D194" s="30" t="s">
        <v>4323</v>
      </c>
      <c r="E194" s="62" t="s">
        <v>4324</v>
      </c>
      <c r="F194" s="68" t="s">
        <v>163</v>
      </c>
      <c r="G194" s="63" t="s">
        <v>4325</v>
      </c>
      <c r="H194" s="52" t="s">
        <v>2622</v>
      </c>
      <c r="I194" s="60">
        <v>46265</v>
      </c>
      <c r="J194" s="35">
        <v>46268</v>
      </c>
      <c r="K194" s="36" t="s">
        <v>8</v>
      </c>
    </row>
    <row r="195" spans="4:11" ht="42" customHeight="1" x14ac:dyDescent="0.3">
      <c r="D195" s="30" t="s">
        <v>4326</v>
      </c>
      <c r="E195" s="62" t="s">
        <v>4327</v>
      </c>
      <c r="F195" s="68" t="s">
        <v>163</v>
      </c>
      <c r="G195" s="63" t="s">
        <v>4328</v>
      </c>
      <c r="H195" s="52" t="s">
        <v>2622</v>
      </c>
      <c r="I195" s="60">
        <v>46265</v>
      </c>
      <c r="J195" s="35">
        <v>46268</v>
      </c>
      <c r="K195" s="36" t="s">
        <v>8</v>
      </c>
    </row>
    <row r="196" spans="4:11" ht="42" customHeight="1" x14ac:dyDescent="0.3">
      <c r="D196" s="30" t="s">
        <v>4329</v>
      </c>
      <c r="E196" s="62" t="s">
        <v>4330</v>
      </c>
      <c r="F196" s="68" t="s">
        <v>163</v>
      </c>
      <c r="G196" s="63" t="s">
        <v>4331</v>
      </c>
      <c r="H196" s="52" t="s">
        <v>2678</v>
      </c>
      <c r="I196" s="60">
        <v>46266</v>
      </c>
      <c r="J196" s="35">
        <v>46274</v>
      </c>
      <c r="K196" s="36" t="s">
        <v>8</v>
      </c>
    </row>
    <row r="197" spans="4:11" ht="42" customHeight="1" x14ac:dyDescent="0.3">
      <c r="D197" s="30" t="s">
        <v>4332</v>
      </c>
      <c r="E197" s="62" t="s">
        <v>4333</v>
      </c>
      <c r="F197" s="68" t="s">
        <v>163</v>
      </c>
      <c r="G197" s="63" t="s">
        <v>4334</v>
      </c>
      <c r="H197" s="52" t="s">
        <v>2964</v>
      </c>
      <c r="I197" s="60">
        <v>46266</v>
      </c>
      <c r="J197" s="35">
        <v>46267</v>
      </c>
      <c r="K197" s="36" t="s">
        <v>8</v>
      </c>
    </row>
    <row r="198" spans="4:11" ht="42" customHeight="1" x14ac:dyDescent="0.3">
      <c r="D198" s="30" t="s">
        <v>4335</v>
      </c>
      <c r="E198" s="62" t="s">
        <v>4336</v>
      </c>
      <c r="F198" s="68" t="s">
        <v>163</v>
      </c>
      <c r="G198" s="63" t="s">
        <v>4337</v>
      </c>
      <c r="H198" s="52" t="s">
        <v>50</v>
      </c>
      <c r="I198" s="60">
        <v>46267</v>
      </c>
      <c r="J198" s="35">
        <v>46272</v>
      </c>
      <c r="K198" s="36" t="s">
        <v>8</v>
      </c>
    </row>
    <row r="199" spans="4:11" ht="42" customHeight="1" x14ac:dyDescent="0.3">
      <c r="D199" s="30" t="s">
        <v>4338</v>
      </c>
      <c r="E199" s="62" t="s">
        <v>4339</v>
      </c>
      <c r="F199" s="68" t="s">
        <v>163</v>
      </c>
      <c r="G199" s="63" t="s">
        <v>4340</v>
      </c>
      <c r="H199" s="52" t="s">
        <v>54</v>
      </c>
      <c r="I199" s="60">
        <v>46267</v>
      </c>
      <c r="J199" s="35">
        <v>46268</v>
      </c>
      <c r="K199" s="36" t="s">
        <v>8</v>
      </c>
    </row>
    <row r="200" spans="4:11" ht="42" customHeight="1" x14ac:dyDescent="0.3">
      <c r="D200" s="30" t="s">
        <v>4341</v>
      </c>
      <c r="E200" s="62" t="s">
        <v>4342</v>
      </c>
      <c r="F200" s="68" t="s">
        <v>163</v>
      </c>
      <c r="G200" s="63" t="s">
        <v>4343</v>
      </c>
      <c r="H200" s="52" t="s">
        <v>50</v>
      </c>
      <c r="I200" s="60">
        <v>46267</v>
      </c>
      <c r="J200" s="35">
        <v>46275</v>
      </c>
      <c r="K200" s="36" t="s">
        <v>8</v>
      </c>
    </row>
    <row r="201" spans="4:11" ht="42" customHeight="1" x14ac:dyDescent="0.3">
      <c r="D201" s="30" t="s">
        <v>4344</v>
      </c>
      <c r="E201" s="62" t="s">
        <v>4345</v>
      </c>
      <c r="F201" s="68" t="s">
        <v>163</v>
      </c>
      <c r="G201" s="63" t="s">
        <v>4346</v>
      </c>
      <c r="H201" s="52" t="s">
        <v>50</v>
      </c>
      <c r="I201" s="60">
        <v>46267</v>
      </c>
      <c r="J201" s="35">
        <v>46274</v>
      </c>
      <c r="K201" s="36" t="s">
        <v>8</v>
      </c>
    </row>
    <row r="202" spans="4:11" ht="42" customHeight="1" x14ac:dyDescent="0.3">
      <c r="D202" s="30" t="s">
        <v>4347</v>
      </c>
      <c r="E202" s="62" t="s">
        <v>4348</v>
      </c>
      <c r="F202" s="68" t="s">
        <v>163</v>
      </c>
      <c r="G202" s="63" t="s">
        <v>4349</v>
      </c>
      <c r="H202" s="52" t="s">
        <v>50</v>
      </c>
      <c r="I202" s="60">
        <v>46267</v>
      </c>
      <c r="J202" s="35">
        <v>46280</v>
      </c>
      <c r="K202" s="36" t="s">
        <v>8</v>
      </c>
    </row>
    <row r="203" spans="4:11" ht="42" customHeight="1" x14ac:dyDescent="0.3">
      <c r="D203" s="30" t="s">
        <v>4350</v>
      </c>
      <c r="E203" s="62" t="s">
        <v>4351</v>
      </c>
      <c r="F203" s="68" t="s">
        <v>163</v>
      </c>
      <c r="G203" s="63" t="s">
        <v>4352</v>
      </c>
      <c r="H203" s="52" t="s">
        <v>50</v>
      </c>
      <c r="I203" s="60">
        <v>46267</v>
      </c>
      <c r="J203" s="35">
        <v>46275</v>
      </c>
      <c r="K203" s="36" t="s">
        <v>8</v>
      </c>
    </row>
    <row r="204" spans="4:11" ht="42" customHeight="1" x14ac:dyDescent="0.3">
      <c r="D204" s="30" t="s">
        <v>4353</v>
      </c>
      <c r="E204" s="62" t="s">
        <v>4354</v>
      </c>
      <c r="F204" s="68" t="s">
        <v>163</v>
      </c>
      <c r="G204" s="63" t="s">
        <v>4355</v>
      </c>
      <c r="H204" s="52" t="s">
        <v>50</v>
      </c>
      <c r="I204" s="60">
        <v>46267</v>
      </c>
      <c r="J204" s="35">
        <v>46275</v>
      </c>
      <c r="K204" s="36" t="s">
        <v>8</v>
      </c>
    </row>
    <row r="205" spans="4:11" ht="42" customHeight="1" x14ac:dyDescent="0.3">
      <c r="D205" s="30" t="s">
        <v>4356</v>
      </c>
      <c r="E205" s="62" t="s">
        <v>4357</v>
      </c>
      <c r="F205" s="68" t="s">
        <v>163</v>
      </c>
      <c r="G205" s="63" t="s">
        <v>4358</v>
      </c>
      <c r="H205" s="52" t="s">
        <v>50</v>
      </c>
      <c r="I205" s="60">
        <v>46267</v>
      </c>
      <c r="J205" s="35">
        <v>46278</v>
      </c>
      <c r="K205" s="36" t="s">
        <v>8</v>
      </c>
    </row>
    <row r="206" spans="4:11" ht="42" customHeight="1" x14ac:dyDescent="0.3">
      <c r="D206" s="30" t="s">
        <v>4359</v>
      </c>
      <c r="E206" s="62" t="s">
        <v>4360</v>
      </c>
      <c r="F206" s="68" t="s">
        <v>163</v>
      </c>
      <c r="G206" s="63" t="s">
        <v>4361</v>
      </c>
      <c r="H206" s="52" t="s">
        <v>50</v>
      </c>
      <c r="I206" s="60">
        <v>46267</v>
      </c>
      <c r="J206" s="35">
        <v>46275</v>
      </c>
      <c r="K206" s="36" t="s">
        <v>8</v>
      </c>
    </row>
    <row r="207" spans="4:11" ht="42" customHeight="1" x14ac:dyDescent="0.3">
      <c r="D207" s="30" t="s">
        <v>4362</v>
      </c>
      <c r="E207" s="62" t="s">
        <v>4363</v>
      </c>
      <c r="F207" s="68" t="s">
        <v>163</v>
      </c>
      <c r="G207" s="63" t="s">
        <v>4364</v>
      </c>
      <c r="H207" s="52" t="s">
        <v>50</v>
      </c>
      <c r="I207" s="60">
        <v>46267</v>
      </c>
      <c r="J207" s="35">
        <v>46278</v>
      </c>
      <c r="K207" s="36" t="s">
        <v>8</v>
      </c>
    </row>
    <row r="208" spans="4:11" ht="42" customHeight="1" x14ac:dyDescent="0.3">
      <c r="D208" s="30" t="s">
        <v>4365</v>
      </c>
      <c r="E208" s="62" t="s">
        <v>4366</v>
      </c>
      <c r="F208" s="68" t="s">
        <v>163</v>
      </c>
      <c r="G208" s="63" t="s">
        <v>4367</v>
      </c>
      <c r="H208" s="52" t="s">
        <v>50</v>
      </c>
      <c r="I208" s="60">
        <v>46267</v>
      </c>
      <c r="J208" s="35">
        <v>46280</v>
      </c>
      <c r="K208" s="36" t="s">
        <v>8</v>
      </c>
    </row>
    <row r="209" spans="4:11" ht="42" customHeight="1" x14ac:dyDescent="0.3">
      <c r="D209" s="30" t="s">
        <v>4368</v>
      </c>
      <c r="E209" s="62" t="s">
        <v>4369</v>
      </c>
      <c r="F209" s="68" t="s">
        <v>163</v>
      </c>
      <c r="G209" s="63" t="s">
        <v>4274</v>
      </c>
      <c r="H209" s="52" t="s">
        <v>2622</v>
      </c>
      <c r="I209" s="60">
        <v>46267</v>
      </c>
      <c r="J209" s="35">
        <v>46280</v>
      </c>
      <c r="K209" s="36" t="s">
        <v>8</v>
      </c>
    </row>
    <row r="210" spans="4:11" ht="42" customHeight="1" x14ac:dyDescent="0.3">
      <c r="D210" s="30" t="s">
        <v>4370</v>
      </c>
      <c r="E210" s="62" t="s">
        <v>4371</v>
      </c>
      <c r="F210" s="68" t="s">
        <v>163</v>
      </c>
      <c r="G210" s="63" t="s">
        <v>4277</v>
      </c>
      <c r="H210" s="52" t="s">
        <v>2622</v>
      </c>
      <c r="I210" s="60">
        <v>46267</v>
      </c>
      <c r="J210" s="35">
        <v>46280</v>
      </c>
      <c r="K210" s="36" t="s">
        <v>8</v>
      </c>
    </row>
    <row r="211" spans="4:11" ht="42" customHeight="1" x14ac:dyDescent="0.3">
      <c r="D211" s="30" t="s">
        <v>4372</v>
      </c>
      <c r="E211" s="62" t="s">
        <v>4373</v>
      </c>
      <c r="F211" s="68" t="s">
        <v>163</v>
      </c>
      <c r="G211" s="63" t="s">
        <v>4374</v>
      </c>
      <c r="H211" s="52" t="s">
        <v>54</v>
      </c>
      <c r="I211" s="60">
        <v>46267</v>
      </c>
      <c r="J211" s="35">
        <v>46271</v>
      </c>
      <c r="K211" s="36" t="s">
        <v>8</v>
      </c>
    </row>
    <row r="212" spans="4:11" ht="42" customHeight="1" x14ac:dyDescent="0.3">
      <c r="D212" s="30" t="s">
        <v>4375</v>
      </c>
      <c r="E212" s="62" t="s">
        <v>4376</v>
      </c>
      <c r="F212" s="68" t="s">
        <v>163</v>
      </c>
      <c r="G212" s="63" t="s">
        <v>4377</v>
      </c>
      <c r="H212" s="52" t="s">
        <v>2674</v>
      </c>
      <c r="I212" s="60">
        <v>46267</v>
      </c>
      <c r="J212" s="35">
        <v>46272</v>
      </c>
      <c r="K212" s="36" t="s">
        <v>8</v>
      </c>
    </row>
    <row r="213" spans="4:11" ht="42" customHeight="1" x14ac:dyDescent="0.3">
      <c r="D213" s="30" t="s">
        <v>4378</v>
      </c>
      <c r="E213" s="62" t="s">
        <v>4379</v>
      </c>
      <c r="F213" s="68" t="s">
        <v>163</v>
      </c>
      <c r="G213" s="63" t="s">
        <v>4380</v>
      </c>
      <c r="H213" s="52" t="s">
        <v>193</v>
      </c>
      <c r="I213" s="60">
        <v>46267</v>
      </c>
      <c r="J213" s="35">
        <v>46271</v>
      </c>
      <c r="K213" s="36" t="s">
        <v>8</v>
      </c>
    </row>
    <row r="214" spans="4:11" ht="42" customHeight="1" x14ac:dyDescent="0.3">
      <c r="D214" s="30" t="s">
        <v>4381</v>
      </c>
      <c r="E214" s="62" t="s">
        <v>4382</v>
      </c>
      <c r="F214" s="68" t="s">
        <v>163</v>
      </c>
      <c r="G214" s="63" t="s">
        <v>4383</v>
      </c>
      <c r="H214" s="52" t="s">
        <v>2674</v>
      </c>
      <c r="I214" s="60">
        <v>46267</v>
      </c>
      <c r="J214" s="35">
        <v>46273</v>
      </c>
      <c r="K214" s="36" t="s">
        <v>8</v>
      </c>
    </row>
    <row r="215" spans="4:11" ht="42" customHeight="1" x14ac:dyDescent="0.3">
      <c r="D215" s="30" t="s">
        <v>4384</v>
      </c>
      <c r="E215" s="62"/>
      <c r="F215" s="68" t="s">
        <v>163</v>
      </c>
      <c r="G215" s="63" t="s">
        <v>4385</v>
      </c>
      <c r="H215" s="52" t="s">
        <v>2674</v>
      </c>
      <c r="I215" s="60">
        <v>46267</v>
      </c>
      <c r="J215" s="35">
        <v>46275</v>
      </c>
      <c r="K215" s="36" t="s">
        <v>8</v>
      </c>
    </row>
    <row r="216" spans="4:11" ht="42" customHeight="1" x14ac:dyDescent="0.3">
      <c r="D216" s="30" t="s">
        <v>4386</v>
      </c>
      <c r="E216" s="62" t="s">
        <v>4387</v>
      </c>
      <c r="F216" s="68" t="s">
        <v>163</v>
      </c>
      <c r="G216" s="63" t="s">
        <v>4388</v>
      </c>
      <c r="H216" s="52" t="s">
        <v>50</v>
      </c>
      <c r="I216" s="60">
        <v>46270</v>
      </c>
      <c r="J216" s="35">
        <v>46278</v>
      </c>
      <c r="K216" s="36" t="s">
        <v>8</v>
      </c>
    </row>
    <row r="217" spans="4:11" ht="42" customHeight="1" x14ac:dyDescent="0.3">
      <c r="D217" s="30" t="s">
        <v>4389</v>
      </c>
      <c r="E217" s="62"/>
      <c r="F217" s="68" t="s">
        <v>163</v>
      </c>
      <c r="G217" s="63" t="s">
        <v>4390</v>
      </c>
      <c r="H217" s="52" t="s">
        <v>2678</v>
      </c>
      <c r="I217" s="60">
        <v>46270</v>
      </c>
      <c r="J217" s="35">
        <v>46278</v>
      </c>
      <c r="K217" s="36" t="s">
        <v>8</v>
      </c>
    </row>
    <row r="218" spans="4:11" ht="42" customHeight="1" x14ac:dyDescent="0.3">
      <c r="D218" s="30" t="s">
        <v>4391</v>
      </c>
      <c r="E218" s="62" t="s">
        <v>4392</v>
      </c>
      <c r="F218" s="68" t="s">
        <v>163</v>
      </c>
      <c r="G218" s="63" t="s">
        <v>4393</v>
      </c>
      <c r="H218" s="52" t="s">
        <v>2678</v>
      </c>
      <c r="I218" s="60">
        <v>46271</v>
      </c>
      <c r="J218" s="35">
        <v>46280</v>
      </c>
      <c r="K218" s="36" t="s">
        <v>8</v>
      </c>
    </row>
    <row r="219" spans="4:11" ht="42" customHeight="1" x14ac:dyDescent="0.3">
      <c r="D219" s="30" t="s">
        <v>4394</v>
      </c>
      <c r="E219" s="62" t="s">
        <v>4395</v>
      </c>
      <c r="F219" s="68" t="s">
        <v>163</v>
      </c>
      <c r="G219" s="63" t="s">
        <v>4396</v>
      </c>
      <c r="H219" s="52" t="s">
        <v>2678</v>
      </c>
      <c r="I219" s="60">
        <v>46271</v>
      </c>
      <c r="J219" s="35">
        <v>46280</v>
      </c>
      <c r="K219" s="36" t="s">
        <v>8</v>
      </c>
    </row>
    <row r="220" spans="4:11" ht="42" customHeight="1" x14ac:dyDescent="0.3">
      <c r="D220" s="30" t="s">
        <v>4397</v>
      </c>
      <c r="E220" s="62" t="s">
        <v>4398</v>
      </c>
      <c r="F220" s="68" t="s">
        <v>163</v>
      </c>
      <c r="G220" s="63" t="s">
        <v>4399</v>
      </c>
      <c r="H220" s="52" t="s">
        <v>2678</v>
      </c>
      <c r="I220" s="60">
        <v>46271</v>
      </c>
      <c r="J220" s="35">
        <v>46281</v>
      </c>
      <c r="K220" s="36" t="s">
        <v>8</v>
      </c>
    </row>
    <row r="221" spans="4:11" ht="42" customHeight="1" x14ac:dyDescent="0.3">
      <c r="D221" s="30" t="s">
        <v>4400</v>
      </c>
      <c r="E221" s="62" t="s">
        <v>4401</v>
      </c>
      <c r="F221" s="68" t="s">
        <v>163</v>
      </c>
      <c r="G221" s="63" t="s">
        <v>4402</v>
      </c>
      <c r="H221" s="52" t="s">
        <v>193</v>
      </c>
      <c r="I221" s="60">
        <v>46272</v>
      </c>
      <c r="J221" s="35">
        <v>46281</v>
      </c>
      <c r="K221" s="36" t="s">
        <v>8</v>
      </c>
    </row>
    <row r="222" spans="4:11" ht="42" customHeight="1" x14ac:dyDescent="0.3">
      <c r="D222" s="30" t="s">
        <v>4403</v>
      </c>
      <c r="E222" s="62" t="s">
        <v>4404</v>
      </c>
      <c r="F222" s="68" t="s">
        <v>163</v>
      </c>
      <c r="G222" s="63" t="s">
        <v>4405</v>
      </c>
      <c r="H222" s="52" t="s">
        <v>2818</v>
      </c>
      <c r="I222" s="60">
        <v>46273</v>
      </c>
      <c r="J222" s="35">
        <v>46274</v>
      </c>
      <c r="K222" s="36" t="s">
        <v>8</v>
      </c>
    </row>
    <row r="223" spans="4:11" ht="42" customHeight="1" x14ac:dyDescent="0.3">
      <c r="D223" s="30" t="s">
        <v>4406</v>
      </c>
      <c r="E223" s="62" t="s">
        <v>4407</v>
      </c>
      <c r="F223" s="68" t="s">
        <v>163</v>
      </c>
      <c r="G223" s="63" t="s">
        <v>4408</v>
      </c>
      <c r="H223" s="52" t="s">
        <v>2818</v>
      </c>
      <c r="I223" s="60">
        <v>46273</v>
      </c>
      <c r="J223" s="35">
        <v>46274</v>
      </c>
      <c r="K223" s="36" t="s">
        <v>8</v>
      </c>
    </row>
    <row r="224" spans="4:11" ht="42" customHeight="1" x14ac:dyDescent="0.3">
      <c r="D224" s="30" t="s">
        <v>4409</v>
      </c>
      <c r="E224" s="62" t="s">
        <v>4410</v>
      </c>
      <c r="F224" s="68" t="s">
        <v>163</v>
      </c>
      <c r="G224" s="63" t="s">
        <v>4411</v>
      </c>
      <c r="H224" s="52" t="s">
        <v>2678</v>
      </c>
      <c r="I224" s="60">
        <v>46273</v>
      </c>
      <c r="J224" s="35">
        <v>46281</v>
      </c>
      <c r="K224" s="36" t="s">
        <v>8</v>
      </c>
    </row>
    <row r="225" spans="4:11" ht="42" customHeight="1" x14ac:dyDescent="0.3">
      <c r="D225" s="30" t="s">
        <v>4412</v>
      </c>
      <c r="E225" s="62" t="s">
        <v>4413</v>
      </c>
      <c r="F225" s="68" t="s">
        <v>163</v>
      </c>
      <c r="G225" s="63" t="s">
        <v>4414</v>
      </c>
      <c r="H225" s="52" t="s">
        <v>2674</v>
      </c>
      <c r="I225" s="60">
        <v>46273</v>
      </c>
      <c r="J225" s="35">
        <v>46275</v>
      </c>
      <c r="K225" s="36" t="s">
        <v>8</v>
      </c>
    </row>
    <row r="226" spans="4:11" ht="42" customHeight="1" x14ac:dyDescent="0.3">
      <c r="D226" s="30" t="s">
        <v>4415</v>
      </c>
      <c r="E226" s="62" t="s">
        <v>4416</v>
      </c>
      <c r="F226" s="68" t="s">
        <v>163</v>
      </c>
      <c r="G226" s="63" t="s">
        <v>4417</v>
      </c>
      <c r="H226" s="52" t="s">
        <v>2678</v>
      </c>
      <c r="I226" s="60">
        <v>46273</v>
      </c>
      <c r="J226" s="35">
        <v>46280</v>
      </c>
      <c r="K226" s="36" t="s">
        <v>8</v>
      </c>
    </row>
    <row r="227" spans="4:11" ht="42" customHeight="1" x14ac:dyDescent="0.3">
      <c r="D227" s="30" t="s">
        <v>4418</v>
      </c>
      <c r="E227" s="62" t="s">
        <v>4419</v>
      </c>
      <c r="F227" s="68" t="s">
        <v>163</v>
      </c>
      <c r="G227" s="63" t="s">
        <v>4420</v>
      </c>
      <c r="H227" s="52" t="s">
        <v>2678</v>
      </c>
      <c r="I227" s="60">
        <v>46274</v>
      </c>
      <c r="J227" s="35">
        <v>46282</v>
      </c>
      <c r="K227" s="36" t="s">
        <v>8</v>
      </c>
    </row>
    <row r="228" spans="4:11" ht="42" customHeight="1" x14ac:dyDescent="0.3">
      <c r="D228" s="30" t="s">
        <v>4421</v>
      </c>
      <c r="E228" s="62" t="s">
        <v>4422</v>
      </c>
      <c r="F228" s="68" t="s">
        <v>163</v>
      </c>
      <c r="G228" s="63" t="s">
        <v>4423</v>
      </c>
      <c r="H228" s="52" t="s">
        <v>2678</v>
      </c>
      <c r="I228" s="60">
        <v>46274</v>
      </c>
      <c r="J228" s="35">
        <v>46286</v>
      </c>
      <c r="K228" s="36" t="s">
        <v>8</v>
      </c>
    </row>
    <row r="229" spans="4:11" ht="42" customHeight="1" x14ac:dyDescent="0.3">
      <c r="D229" s="30" t="s">
        <v>4424</v>
      </c>
      <c r="E229" s="62" t="s">
        <v>4425</v>
      </c>
      <c r="F229" s="68" t="s">
        <v>163</v>
      </c>
      <c r="G229" s="63" t="s">
        <v>4426</v>
      </c>
      <c r="H229" s="52" t="s">
        <v>40</v>
      </c>
      <c r="I229" s="60">
        <v>46278</v>
      </c>
      <c r="J229" s="35">
        <v>46280</v>
      </c>
      <c r="K229" s="36" t="s">
        <v>8</v>
      </c>
    </row>
    <row r="230" spans="4:11" ht="42" customHeight="1" x14ac:dyDescent="0.3">
      <c r="D230" s="30" t="s">
        <v>4427</v>
      </c>
      <c r="E230" s="62" t="s">
        <v>4428</v>
      </c>
      <c r="F230" s="68" t="s">
        <v>163</v>
      </c>
      <c r="G230" s="63" t="s">
        <v>4429</v>
      </c>
      <c r="H230" s="52" t="s">
        <v>50</v>
      </c>
      <c r="I230" s="60">
        <v>46278</v>
      </c>
      <c r="J230" s="35">
        <v>46289</v>
      </c>
      <c r="K230" s="36" t="s">
        <v>8</v>
      </c>
    </row>
    <row r="231" spans="4:11" ht="42" customHeight="1" x14ac:dyDescent="0.3">
      <c r="D231" s="30" t="s">
        <v>4430</v>
      </c>
      <c r="E231" s="62" t="s">
        <v>4431</v>
      </c>
      <c r="F231" s="68" t="s">
        <v>163</v>
      </c>
      <c r="G231" s="63" t="s">
        <v>4432</v>
      </c>
      <c r="H231" s="52" t="s">
        <v>2678</v>
      </c>
      <c r="I231" s="60">
        <v>46278</v>
      </c>
      <c r="J231" s="35">
        <v>46281</v>
      </c>
      <c r="K231" s="36" t="s">
        <v>8</v>
      </c>
    </row>
    <row r="232" spans="4:11" ht="42" customHeight="1" x14ac:dyDescent="0.3">
      <c r="D232" s="30" t="s">
        <v>4433</v>
      </c>
      <c r="E232" s="62" t="s">
        <v>4434</v>
      </c>
      <c r="F232" s="68" t="s">
        <v>163</v>
      </c>
      <c r="G232" s="63" t="s">
        <v>4435</v>
      </c>
      <c r="H232" s="52" t="s">
        <v>193</v>
      </c>
      <c r="I232" s="60">
        <v>46278</v>
      </c>
      <c r="J232" s="35">
        <v>46289</v>
      </c>
      <c r="K232" s="36" t="s">
        <v>8</v>
      </c>
    </row>
    <row r="233" spans="4:11" ht="42" customHeight="1" x14ac:dyDescent="0.3">
      <c r="D233" s="30" t="s">
        <v>4436</v>
      </c>
      <c r="E233" s="62" t="s">
        <v>4437</v>
      </c>
      <c r="F233" s="68" t="s">
        <v>163</v>
      </c>
      <c r="G233" s="63" t="s">
        <v>4438</v>
      </c>
      <c r="H233" s="52" t="s">
        <v>193</v>
      </c>
      <c r="I233" s="60">
        <v>46279</v>
      </c>
      <c r="J233" s="35">
        <v>46285</v>
      </c>
      <c r="K233" s="36" t="s">
        <v>8</v>
      </c>
    </row>
    <row r="234" spans="4:11" ht="42" customHeight="1" x14ac:dyDescent="0.3">
      <c r="D234" s="30" t="s">
        <v>4439</v>
      </c>
      <c r="E234" s="62" t="s">
        <v>4440</v>
      </c>
      <c r="F234" s="68" t="s">
        <v>163</v>
      </c>
      <c r="G234" s="63" t="s">
        <v>4441</v>
      </c>
      <c r="H234" s="52" t="s">
        <v>193</v>
      </c>
      <c r="I234" s="60">
        <v>46279</v>
      </c>
      <c r="J234" s="35">
        <v>46292</v>
      </c>
      <c r="K234" s="36" t="s">
        <v>8</v>
      </c>
    </row>
    <row r="235" spans="4:11" ht="42" customHeight="1" x14ac:dyDescent="0.3">
      <c r="D235" s="30" t="s">
        <v>4442</v>
      </c>
      <c r="E235" s="62" t="s">
        <v>4443</v>
      </c>
      <c r="F235" s="68" t="s">
        <v>163</v>
      </c>
      <c r="G235" s="63" t="s">
        <v>4444</v>
      </c>
      <c r="H235" s="52" t="s">
        <v>193</v>
      </c>
      <c r="I235" s="60">
        <v>46279</v>
      </c>
      <c r="J235" s="35">
        <v>46286</v>
      </c>
      <c r="K235" s="36" t="s">
        <v>8</v>
      </c>
    </row>
    <row r="236" spans="4:11" ht="42" customHeight="1" x14ac:dyDescent="0.3">
      <c r="D236" s="30" t="s">
        <v>4445</v>
      </c>
      <c r="E236" s="62" t="s">
        <v>4446</v>
      </c>
      <c r="F236" s="68" t="s">
        <v>163</v>
      </c>
      <c r="G236" s="63" t="s">
        <v>4447</v>
      </c>
      <c r="H236" s="52" t="s">
        <v>193</v>
      </c>
      <c r="I236" s="60">
        <v>46279</v>
      </c>
      <c r="J236" s="35">
        <v>46282</v>
      </c>
      <c r="K236" s="36" t="s">
        <v>8</v>
      </c>
    </row>
    <row r="237" spans="4:11" ht="42" customHeight="1" x14ac:dyDescent="0.3">
      <c r="D237" s="30" t="s">
        <v>4448</v>
      </c>
      <c r="E237" s="62" t="s">
        <v>4449</v>
      </c>
      <c r="F237" s="68" t="s">
        <v>163</v>
      </c>
      <c r="G237" s="63" t="s">
        <v>4450</v>
      </c>
      <c r="H237" s="52" t="s">
        <v>193</v>
      </c>
      <c r="I237" s="60">
        <v>46279</v>
      </c>
      <c r="J237" s="35">
        <v>46292</v>
      </c>
      <c r="K237" s="36" t="s">
        <v>8</v>
      </c>
    </row>
    <row r="238" spans="4:11" ht="42" customHeight="1" x14ac:dyDescent="0.3">
      <c r="D238" s="30" t="s">
        <v>4451</v>
      </c>
      <c r="E238" s="62" t="s">
        <v>4452</v>
      </c>
      <c r="F238" s="68" t="s">
        <v>163</v>
      </c>
      <c r="G238" s="63" t="s">
        <v>4453</v>
      </c>
      <c r="H238" s="52" t="s">
        <v>2674</v>
      </c>
      <c r="I238" s="60">
        <v>46279</v>
      </c>
      <c r="J238" s="35">
        <v>46293</v>
      </c>
      <c r="K238" s="36" t="s">
        <v>8</v>
      </c>
    </row>
    <row r="239" spans="4:11" ht="42" customHeight="1" x14ac:dyDescent="0.3">
      <c r="D239" s="30" t="s">
        <v>4454</v>
      </c>
      <c r="E239" s="62" t="s">
        <v>4455</v>
      </c>
      <c r="F239" s="68" t="s">
        <v>163</v>
      </c>
      <c r="G239" s="63" t="s">
        <v>4456</v>
      </c>
      <c r="H239" s="52" t="s">
        <v>193</v>
      </c>
      <c r="I239" s="60">
        <v>46279</v>
      </c>
      <c r="J239" s="35">
        <v>46282</v>
      </c>
      <c r="K239" s="36" t="s">
        <v>8</v>
      </c>
    </row>
    <row r="240" spans="4:11" ht="42" customHeight="1" x14ac:dyDescent="0.3">
      <c r="D240" s="30" t="s">
        <v>4457</v>
      </c>
      <c r="E240" s="62" t="s">
        <v>4458</v>
      </c>
      <c r="F240" s="68" t="s">
        <v>163</v>
      </c>
      <c r="G240" s="63" t="s">
        <v>4459</v>
      </c>
      <c r="H240" s="52" t="s">
        <v>2678</v>
      </c>
      <c r="I240" s="60">
        <v>46279</v>
      </c>
      <c r="J240" s="35">
        <v>46282</v>
      </c>
      <c r="K240" s="36" t="s">
        <v>8</v>
      </c>
    </row>
    <row r="241" spans="4:11" ht="42" customHeight="1" x14ac:dyDescent="0.3">
      <c r="D241" s="30" t="s">
        <v>4460</v>
      </c>
      <c r="E241" s="62" t="s">
        <v>4461</v>
      </c>
      <c r="F241" s="58" t="s">
        <v>163</v>
      </c>
      <c r="G241" s="63" t="s">
        <v>4462</v>
      </c>
      <c r="H241" s="52" t="s">
        <v>193</v>
      </c>
      <c r="I241" s="60">
        <v>46279</v>
      </c>
      <c r="J241" s="35">
        <v>46289</v>
      </c>
      <c r="K241" s="36" t="s">
        <v>8</v>
      </c>
    </row>
    <row r="242" spans="4:11" ht="42" customHeight="1" x14ac:dyDescent="0.3">
      <c r="D242" s="30" t="s">
        <v>4463</v>
      </c>
      <c r="E242" s="62" t="s">
        <v>4464</v>
      </c>
      <c r="F242" s="58" t="s">
        <v>163</v>
      </c>
      <c r="G242" s="63" t="s">
        <v>4465</v>
      </c>
      <c r="H242" s="52">
        <v>1023</v>
      </c>
      <c r="I242" s="60">
        <v>46280</v>
      </c>
      <c r="J242" s="35">
        <v>46288</v>
      </c>
      <c r="K242" s="36" t="s">
        <v>8</v>
      </c>
    </row>
    <row r="243" spans="4:11" ht="42" customHeight="1" x14ac:dyDescent="0.3">
      <c r="D243" s="30" t="s">
        <v>4466</v>
      </c>
      <c r="E243" s="62" t="s">
        <v>4467</v>
      </c>
      <c r="F243" s="58" t="s">
        <v>163</v>
      </c>
      <c r="G243" s="63" t="s">
        <v>4468</v>
      </c>
      <c r="H243" s="52">
        <v>1021</v>
      </c>
      <c r="I243" s="60">
        <v>46280</v>
      </c>
      <c r="J243" s="35">
        <v>46288</v>
      </c>
      <c r="K243" s="36" t="s">
        <v>8</v>
      </c>
    </row>
    <row r="244" spans="4:11" ht="42" customHeight="1" x14ac:dyDescent="0.3">
      <c r="D244" s="30" t="s">
        <v>4469</v>
      </c>
      <c r="E244" s="62" t="s">
        <v>4470</v>
      </c>
      <c r="F244" s="58" t="s">
        <v>163</v>
      </c>
      <c r="G244" s="63" t="s">
        <v>4471</v>
      </c>
      <c r="H244" s="52">
        <v>1022</v>
      </c>
      <c r="I244" s="60">
        <v>46280</v>
      </c>
      <c r="J244" s="35">
        <v>46289</v>
      </c>
      <c r="K244" s="36" t="s">
        <v>8</v>
      </c>
    </row>
    <row r="245" spans="4:11" ht="42" customHeight="1" x14ac:dyDescent="0.3">
      <c r="D245" s="30" t="s">
        <v>4472</v>
      </c>
      <c r="E245" s="62" t="s">
        <v>4473</v>
      </c>
      <c r="F245" s="58" t="s">
        <v>163</v>
      </c>
      <c r="G245" s="63" t="s">
        <v>4474</v>
      </c>
      <c r="H245" s="52">
        <v>1031</v>
      </c>
      <c r="I245" s="60">
        <v>46280</v>
      </c>
      <c r="J245" s="35">
        <v>46289</v>
      </c>
      <c r="K245" s="36" t="s">
        <v>8</v>
      </c>
    </row>
    <row r="246" spans="4:11" ht="42" customHeight="1" x14ac:dyDescent="0.3">
      <c r="D246" s="30" t="s">
        <v>4475</v>
      </c>
      <c r="E246" s="62" t="s">
        <v>4476</v>
      </c>
      <c r="F246" s="58" t="s">
        <v>163</v>
      </c>
      <c r="G246" s="63" t="s">
        <v>4477</v>
      </c>
      <c r="H246" s="52" t="s">
        <v>193</v>
      </c>
      <c r="I246" s="60">
        <v>46282</v>
      </c>
      <c r="J246" s="35">
        <v>46285</v>
      </c>
      <c r="K246" s="36" t="s">
        <v>8</v>
      </c>
    </row>
    <row r="247" spans="4:11" ht="42" customHeight="1" x14ac:dyDescent="0.3">
      <c r="D247" s="30" t="s">
        <v>4478</v>
      </c>
      <c r="E247" s="62" t="s">
        <v>4479</v>
      </c>
      <c r="F247" s="58" t="s">
        <v>163</v>
      </c>
      <c r="G247" s="63" t="s">
        <v>4480</v>
      </c>
      <c r="H247" s="52">
        <v>1029</v>
      </c>
      <c r="I247" s="60">
        <v>46281</v>
      </c>
      <c r="J247" s="35">
        <v>46286</v>
      </c>
      <c r="K247" s="36" t="s">
        <v>8</v>
      </c>
    </row>
    <row r="248" spans="4:11" ht="42" customHeight="1" x14ac:dyDescent="0.3">
      <c r="D248" s="30" t="s">
        <v>4481</v>
      </c>
      <c r="E248" s="62" t="s">
        <v>4482</v>
      </c>
      <c r="F248" s="58" t="s">
        <v>163</v>
      </c>
      <c r="G248" s="63" t="s">
        <v>4483</v>
      </c>
      <c r="H248" s="52">
        <v>1029</v>
      </c>
      <c r="I248" s="60">
        <v>46281</v>
      </c>
      <c r="J248" s="35">
        <v>46286</v>
      </c>
      <c r="K248" s="36" t="s">
        <v>8</v>
      </c>
    </row>
    <row r="249" spans="4:11" ht="42" customHeight="1" x14ac:dyDescent="0.3">
      <c r="D249" s="30" t="s">
        <v>4484</v>
      </c>
      <c r="E249" s="62" t="s">
        <v>4485</v>
      </c>
      <c r="F249" s="58" t="s">
        <v>163</v>
      </c>
      <c r="G249" s="63" t="s">
        <v>4486</v>
      </c>
      <c r="H249" s="52">
        <v>1029</v>
      </c>
      <c r="I249" s="60">
        <v>46281</v>
      </c>
      <c r="J249" s="35">
        <v>46288</v>
      </c>
      <c r="K249" s="36" t="s">
        <v>8</v>
      </c>
    </row>
    <row r="250" spans="4:11" ht="42" customHeight="1" x14ac:dyDescent="0.3">
      <c r="D250" s="30" t="s">
        <v>4487</v>
      </c>
      <c r="E250" s="62" t="s">
        <v>4488</v>
      </c>
      <c r="F250" s="58" t="s">
        <v>163</v>
      </c>
      <c r="G250" s="63" t="s">
        <v>4489</v>
      </c>
      <c r="H250" s="52">
        <v>1029</v>
      </c>
      <c r="I250" s="60">
        <v>46281</v>
      </c>
      <c r="J250" s="35">
        <v>46289</v>
      </c>
      <c r="K250" s="36" t="s">
        <v>8</v>
      </c>
    </row>
    <row r="251" spans="4:11" ht="42" customHeight="1" x14ac:dyDescent="0.3">
      <c r="D251" s="30" t="s">
        <v>4490</v>
      </c>
      <c r="E251" s="62" t="s">
        <v>4491</v>
      </c>
      <c r="F251" s="58" t="s">
        <v>163</v>
      </c>
      <c r="G251" s="63" t="s">
        <v>4492</v>
      </c>
      <c r="H251" s="52" t="s">
        <v>193</v>
      </c>
      <c r="I251" s="60">
        <v>46281</v>
      </c>
      <c r="J251" s="35">
        <v>46285</v>
      </c>
      <c r="K251" s="36" t="s">
        <v>8</v>
      </c>
    </row>
    <row r="252" spans="4:11" ht="42" customHeight="1" x14ac:dyDescent="0.3">
      <c r="D252" s="30" t="s">
        <v>4493</v>
      </c>
      <c r="E252" s="62" t="s">
        <v>4494</v>
      </c>
      <c r="F252" s="58" t="s">
        <v>163</v>
      </c>
      <c r="G252" s="63" t="s">
        <v>4495</v>
      </c>
      <c r="H252" s="52">
        <v>1029</v>
      </c>
      <c r="I252" s="60">
        <v>46281</v>
      </c>
      <c r="J252" s="35">
        <v>46294</v>
      </c>
      <c r="K252" s="36" t="s">
        <v>8</v>
      </c>
    </row>
    <row r="253" spans="4:11" ht="42" customHeight="1" x14ac:dyDescent="0.3">
      <c r="D253" s="30" t="s">
        <v>4496</v>
      </c>
      <c r="E253" s="62" t="s">
        <v>4497</v>
      </c>
      <c r="F253" s="58" t="s">
        <v>163</v>
      </c>
      <c r="G253" s="63" t="s">
        <v>4498</v>
      </c>
      <c r="H253" s="52">
        <v>1025</v>
      </c>
      <c r="I253" s="60">
        <v>46282</v>
      </c>
      <c r="J253" s="35">
        <v>46285</v>
      </c>
      <c r="K253" s="36" t="s">
        <v>8</v>
      </c>
    </row>
    <row r="254" spans="4:11" ht="42" customHeight="1" x14ac:dyDescent="0.3">
      <c r="D254" s="30" t="s">
        <v>4499</v>
      </c>
      <c r="E254" s="62" t="s">
        <v>4500</v>
      </c>
      <c r="F254" s="58" t="s">
        <v>163</v>
      </c>
      <c r="G254" s="63" t="s">
        <v>4501</v>
      </c>
      <c r="H254" s="52">
        <v>1022</v>
      </c>
      <c r="I254" s="60">
        <v>46282</v>
      </c>
      <c r="J254" s="35">
        <v>46288</v>
      </c>
      <c r="K254" s="36" t="s">
        <v>8</v>
      </c>
    </row>
    <row r="255" spans="4:11" ht="42" customHeight="1" x14ac:dyDescent="0.3">
      <c r="D255" s="30" t="s">
        <v>4502</v>
      </c>
      <c r="E255" s="62" t="s">
        <v>4503</v>
      </c>
      <c r="F255" s="58" t="s">
        <v>163</v>
      </c>
      <c r="G255" s="63" t="s">
        <v>4504</v>
      </c>
      <c r="H255" s="52">
        <v>1025</v>
      </c>
      <c r="I255" s="60">
        <v>46284</v>
      </c>
      <c r="J255" s="35">
        <v>46287</v>
      </c>
      <c r="K255" s="36" t="s">
        <v>8</v>
      </c>
    </row>
    <row r="256" spans="4:11" ht="42" customHeight="1" x14ac:dyDescent="0.3">
      <c r="D256" s="30" t="s">
        <v>4505</v>
      </c>
      <c r="E256" s="62" t="s">
        <v>4506</v>
      </c>
      <c r="F256" s="58" t="s">
        <v>163</v>
      </c>
      <c r="G256" s="63" t="s">
        <v>4507</v>
      </c>
      <c r="H256" s="52" t="s">
        <v>193</v>
      </c>
      <c r="I256" s="60">
        <v>46285</v>
      </c>
      <c r="J256" s="35">
        <v>46286</v>
      </c>
      <c r="K256" s="36" t="s">
        <v>8</v>
      </c>
    </row>
    <row r="257" spans="4:11" ht="42" customHeight="1" x14ac:dyDescent="0.3">
      <c r="D257" s="30" t="s">
        <v>4508</v>
      </c>
      <c r="E257" s="62" t="s">
        <v>4509</v>
      </c>
      <c r="F257" s="58" t="s">
        <v>163</v>
      </c>
      <c r="G257" s="63" t="s">
        <v>4510</v>
      </c>
      <c r="H257" s="52">
        <v>1022</v>
      </c>
      <c r="I257" s="60">
        <v>46285</v>
      </c>
      <c r="J257" s="35">
        <v>46289</v>
      </c>
      <c r="K257" s="36" t="s">
        <v>8</v>
      </c>
    </row>
    <row r="258" spans="4:11" ht="42" customHeight="1" x14ac:dyDescent="0.3">
      <c r="D258" s="30" t="s">
        <v>4511</v>
      </c>
      <c r="E258" s="62" t="s">
        <v>4512</v>
      </c>
      <c r="F258" s="58" t="s">
        <v>163</v>
      </c>
      <c r="G258" s="63" t="s">
        <v>4513</v>
      </c>
      <c r="H258" s="52" t="s">
        <v>193</v>
      </c>
      <c r="I258" s="60">
        <v>46285</v>
      </c>
      <c r="J258" s="35">
        <v>46292</v>
      </c>
      <c r="K258" s="36" t="s">
        <v>8</v>
      </c>
    </row>
    <row r="259" spans="4:11" ht="42" customHeight="1" x14ac:dyDescent="0.3">
      <c r="D259" s="30" t="s">
        <v>4514</v>
      </c>
      <c r="E259" s="62" t="s">
        <v>4515</v>
      </c>
      <c r="F259" s="58" t="s">
        <v>163</v>
      </c>
      <c r="G259" s="63" t="s">
        <v>4516</v>
      </c>
      <c r="H259" s="52">
        <v>1031</v>
      </c>
      <c r="I259" s="60">
        <v>46286</v>
      </c>
      <c r="J259" s="35">
        <v>46294</v>
      </c>
      <c r="K259" s="36" t="s">
        <v>8</v>
      </c>
    </row>
    <row r="260" spans="4:11" ht="42" customHeight="1" x14ac:dyDescent="0.3">
      <c r="D260" s="30" t="s">
        <v>4517</v>
      </c>
      <c r="E260" s="62" t="s">
        <v>4518</v>
      </c>
      <c r="F260" s="58" t="s">
        <v>163</v>
      </c>
      <c r="G260" s="63" t="s">
        <v>4519</v>
      </c>
      <c r="H260" s="52">
        <v>1031</v>
      </c>
      <c r="I260" s="60">
        <v>46286</v>
      </c>
      <c r="J260" s="35"/>
      <c r="K260" s="36" t="s">
        <v>7</v>
      </c>
    </row>
    <row r="261" spans="4:11" ht="42" customHeight="1" x14ac:dyDescent="0.3">
      <c r="D261" s="30" t="s">
        <v>4520</v>
      </c>
      <c r="E261" s="62" t="s">
        <v>4521</v>
      </c>
      <c r="F261" s="58" t="s">
        <v>163</v>
      </c>
      <c r="G261" s="63" t="s">
        <v>4522</v>
      </c>
      <c r="H261" s="52">
        <v>1031</v>
      </c>
      <c r="I261" s="60">
        <v>46286</v>
      </c>
      <c r="J261" s="35">
        <v>46301</v>
      </c>
      <c r="K261" s="36" t="s">
        <v>8</v>
      </c>
    </row>
    <row r="262" spans="4:11" ht="42" customHeight="1" x14ac:dyDescent="0.3">
      <c r="D262" s="30" t="s">
        <v>4523</v>
      </c>
      <c r="E262" s="62" t="s">
        <v>4524</v>
      </c>
      <c r="F262" s="58" t="s">
        <v>163</v>
      </c>
      <c r="G262" s="63" t="s">
        <v>4525</v>
      </c>
      <c r="H262" s="52" t="s">
        <v>193</v>
      </c>
      <c r="I262" s="60">
        <v>46286</v>
      </c>
      <c r="J262" s="35">
        <v>46295</v>
      </c>
      <c r="K262" s="36" t="s">
        <v>8</v>
      </c>
    </row>
    <row r="263" spans="4:11" ht="42" customHeight="1" x14ac:dyDescent="0.3">
      <c r="D263" s="30" t="s">
        <v>4526</v>
      </c>
      <c r="E263" s="62" t="s">
        <v>4527</v>
      </c>
      <c r="F263" s="58" t="s">
        <v>163</v>
      </c>
      <c r="G263" s="63" t="s">
        <v>4528</v>
      </c>
      <c r="H263" s="52" t="s">
        <v>193</v>
      </c>
      <c r="I263" s="60">
        <v>46286</v>
      </c>
      <c r="J263" s="35">
        <v>46289</v>
      </c>
      <c r="K263" s="36" t="s">
        <v>8</v>
      </c>
    </row>
    <row r="264" spans="4:11" ht="42" customHeight="1" x14ac:dyDescent="0.3">
      <c r="D264" s="30" t="s">
        <v>4529</v>
      </c>
      <c r="E264" s="62" t="s">
        <v>4530</v>
      </c>
      <c r="F264" s="58" t="s">
        <v>163</v>
      </c>
      <c r="G264" s="63" t="s">
        <v>4531</v>
      </c>
      <c r="H264" s="52">
        <v>1027</v>
      </c>
      <c r="I264" s="60">
        <v>46286</v>
      </c>
      <c r="J264" s="35">
        <v>46293</v>
      </c>
      <c r="K264" s="36" t="s">
        <v>8</v>
      </c>
    </row>
    <row r="265" spans="4:11" ht="42" customHeight="1" x14ac:dyDescent="0.3">
      <c r="D265" s="30" t="s">
        <v>4532</v>
      </c>
      <c r="E265" s="62" t="s">
        <v>4533</v>
      </c>
      <c r="F265" s="58" t="s">
        <v>163</v>
      </c>
      <c r="G265" s="63" t="s">
        <v>4534</v>
      </c>
      <c r="H265" s="52">
        <v>1027</v>
      </c>
      <c r="I265" s="60">
        <v>46287</v>
      </c>
      <c r="J265" s="35">
        <v>46288</v>
      </c>
      <c r="K265" s="36" t="s">
        <v>8</v>
      </c>
    </row>
    <row r="266" spans="4:11" ht="42" customHeight="1" x14ac:dyDescent="0.3">
      <c r="D266" s="30" t="s">
        <v>4535</v>
      </c>
      <c r="E266" s="62" t="s">
        <v>4536</v>
      </c>
      <c r="F266" s="58" t="s">
        <v>163</v>
      </c>
      <c r="G266" s="63" t="s">
        <v>4537</v>
      </c>
      <c r="H266" s="52">
        <v>1026</v>
      </c>
      <c r="I266" s="60">
        <v>46287</v>
      </c>
      <c r="J266" s="35">
        <v>46288</v>
      </c>
      <c r="K266" s="36" t="s">
        <v>8</v>
      </c>
    </row>
    <row r="267" spans="4:11" ht="42" customHeight="1" x14ac:dyDescent="0.3">
      <c r="D267" s="30" t="s">
        <v>4538</v>
      </c>
      <c r="E267" s="62" t="s">
        <v>4539</v>
      </c>
      <c r="F267" s="58" t="s">
        <v>163</v>
      </c>
      <c r="G267" s="63" t="s">
        <v>4540</v>
      </c>
      <c r="H267" s="52">
        <v>1025</v>
      </c>
      <c r="I267" s="60">
        <v>46287</v>
      </c>
      <c r="J267" s="35">
        <v>46288</v>
      </c>
      <c r="K267" s="36" t="s">
        <v>8</v>
      </c>
    </row>
    <row r="268" spans="4:11" ht="42" customHeight="1" x14ac:dyDescent="0.3">
      <c r="D268" s="30" t="s">
        <v>4541</v>
      </c>
      <c r="E268" s="62" t="s">
        <v>4542</v>
      </c>
      <c r="F268" s="58" t="s">
        <v>163</v>
      </c>
      <c r="G268" s="63" t="s">
        <v>4543</v>
      </c>
      <c r="H268" s="52">
        <v>1025</v>
      </c>
      <c r="I268" s="60">
        <v>46287</v>
      </c>
      <c r="J268" s="35">
        <v>46288</v>
      </c>
      <c r="K268" s="36" t="s">
        <v>8</v>
      </c>
    </row>
    <row r="269" spans="4:11" ht="42" customHeight="1" x14ac:dyDescent="0.3">
      <c r="D269" s="30" t="s">
        <v>4544</v>
      </c>
      <c r="E269" s="62" t="s">
        <v>4545</v>
      </c>
      <c r="F269" s="58" t="s">
        <v>163</v>
      </c>
      <c r="G269" s="63" t="s">
        <v>4546</v>
      </c>
      <c r="H269" s="52">
        <v>1028</v>
      </c>
      <c r="I269" s="60">
        <v>46287</v>
      </c>
      <c r="J269" s="35">
        <v>46288</v>
      </c>
      <c r="K269" s="36" t="s">
        <v>8</v>
      </c>
    </row>
    <row r="270" spans="4:11" ht="42" customHeight="1" x14ac:dyDescent="0.3">
      <c r="D270" s="30" t="s">
        <v>4547</v>
      </c>
      <c r="E270" s="62" t="s">
        <v>4548</v>
      </c>
      <c r="F270" s="58" t="s">
        <v>163</v>
      </c>
      <c r="G270" s="63" t="s">
        <v>4549</v>
      </c>
      <c r="H270" s="52">
        <v>1021</v>
      </c>
      <c r="I270" s="60">
        <v>46288</v>
      </c>
      <c r="J270" s="35">
        <v>46294</v>
      </c>
      <c r="K270" s="36" t="s">
        <v>8</v>
      </c>
    </row>
    <row r="271" spans="4:11" ht="42" customHeight="1" x14ac:dyDescent="0.3">
      <c r="D271" s="30" t="s">
        <v>4550</v>
      </c>
      <c r="E271" s="62" t="s">
        <v>4551</v>
      </c>
      <c r="F271" s="58" t="s">
        <v>163</v>
      </c>
      <c r="G271" s="63" t="s">
        <v>4552</v>
      </c>
      <c r="H271" s="52">
        <v>1043</v>
      </c>
      <c r="I271" s="60">
        <v>46288</v>
      </c>
      <c r="J271" s="35">
        <v>46296</v>
      </c>
      <c r="K271" s="36" t="s">
        <v>8</v>
      </c>
    </row>
    <row r="272" spans="4:11" ht="42" customHeight="1" x14ac:dyDescent="0.3">
      <c r="D272" s="30" t="s">
        <v>4553</v>
      </c>
      <c r="E272" s="62" t="s">
        <v>4554</v>
      </c>
      <c r="F272" s="58" t="s">
        <v>163</v>
      </c>
      <c r="G272" s="63" t="s">
        <v>4555</v>
      </c>
      <c r="H272" s="52">
        <v>1023</v>
      </c>
      <c r="I272" s="60">
        <v>46288</v>
      </c>
      <c r="J272" s="35">
        <v>46296</v>
      </c>
      <c r="K272" s="36" t="s">
        <v>8</v>
      </c>
    </row>
    <row r="273" spans="4:11" ht="42" customHeight="1" x14ac:dyDescent="0.3">
      <c r="D273" s="30" t="s">
        <v>4556</v>
      </c>
      <c r="E273" s="62" t="s">
        <v>4557</v>
      </c>
      <c r="F273" s="58" t="s">
        <v>163</v>
      </c>
      <c r="G273" s="63" t="s">
        <v>4558</v>
      </c>
      <c r="H273" s="52">
        <v>1022</v>
      </c>
      <c r="I273" s="60">
        <v>46289</v>
      </c>
      <c r="J273" s="35"/>
      <c r="K273" s="36" t="s">
        <v>7</v>
      </c>
    </row>
    <row r="274" spans="4:11" ht="42" customHeight="1" x14ac:dyDescent="0.3">
      <c r="D274" s="30" t="s">
        <v>4559</v>
      </c>
      <c r="E274" s="62" t="s">
        <v>4560</v>
      </c>
      <c r="F274" s="58" t="s">
        <v>163</v>
      </c>
      <c r="G274" s="63" t="s">
        <v>4561</v>
      </c>
      <c r="H274" s="52">
        <v>1022</v>
      </c>
      <c r="I274" s="60">
        <v>46289</v>
      </c>
      <c r="J274" s="35"/>
      <c r="K274" s="36" t="s">
        <v>7</v>
      </c>
    </row>
    <row r="275" spans="4:11" ht="42" customHeight="1" x14ac:dyDescent="0.3">
      <c r="D275" s="30" t="s">
        <v>4562</v>
      </c>
      <c r="E275" s="62" t="s">
        <v>4563</v>
      </c>
      <c r="F275" s="58" t="s">
        <v>163</v>
      </c>
      <c r="G275" s="63" t="s">
        <v>4564</v>
      </c>
      <c r="H275" s="52">
        <v>1025</v>
      </c>
      <c r="I275" s="60">
        <v>46289</v>
      </c>
      <c r="J275" s="35">
        <v>46294</v>
      </c>
      <c r="K275" s="36" t="s">
        <v>8</v>
      </c>
    </row>
    <row r="276" spans="4:11" ht="42" customHeight="1" x14ac:dyDescent="0.3">
      <c r="D276" s="30" t="s">
        <v>4565</v>
      </c>
      <c r="E276" s="62" t="s">
        <v>4566</v>
      </c>
      <c r="F276" s="58" t="s">
        <v>163</v>
      </c>
      <c r="G276" s="63" t="s">
        <v>4567</v>
      </c>
      <c r="H276" s="52">
        <v>1044</v>
      </c>
      <c r="I276" s="60">
        <v>46289</v>
      </c>
      <c r="J276" s="35">
        <v>46295</v>
      </c>
      <c r="K276" s="36" t="s">
        <v>8</v>
      </c>
    </row>
    <row r="277" spans="4:11" ht="42" customHeight="1" x14ac:dyDescent="0.3">
      <c r="D277" s="30" t="s">
        <v>4568</v>
      </c>
      <c r="E277" s="62" t="s">
        <v>4569</v>
      </c>
      <c r="F277" s="58" t="s">
        <v>163</v>
      </c>
      <c r="G277" s="63" t="s">
        <v>4570</v>
      </c>
      <c r="H277" s="52">
        <v>1044</v>
      </c>
      <c r="I277" s="60">
        <v>46289</v>
      </c>
      <c r="J277" s="35">
        <v>46296</v>
      </c>
      <c r="K277" s="36" t="s">
        <v>8</v>
      </c>
    </row>
    <row r="278" spans="4:11" ht="42" customHeight="1" x14ac:dyDescent="0.3">
      <c r="D278" s="30" t="s">
        <v>4571</v>
      </c>
      <c r="E278" s="62" t="s">
        <v>4572</v>
      </c>
      <c r="F278" s="58" t="s">
        <v>163</v>
      </c>
      <c r="G278" s="63" t="s">
        <v>4573</v>
      </c>
      <c r="H278" s="52">
        <v>1022</v>
      </c>
      <c r="I278" s="60">
        <v>46291</v>
      </c>
      <c r="J278" s="35"/>
      <c r="K278" s="36" t="s">
        <v>7</v>
      </c>
    </row>
    <row r="279" spans="4:11" ht="42" customHeight="1" x14ac:dyDescent="0.3">
      <c r="D279" s="30" t="s">
        <v>4574</v>
      </c>
      <c r="E279" s="62" t="s">
        <v>4575</v>
      </c>
      <c r="F279" s="58" t="s">
        <v>163</v>
      </c>
      <c r="G279" s="63" t="s">
        <v>4576</v>
      </c>
      <c r="H279" s="52">
        <v>1022</v>
      </c>
      <c r="I279" s="60">
        <v>46291</v>
      </c>
      <c r="J279" s="35"/>
      <c r="K279" s="36" t="s">
        <v>7</v>
      </c>
    </row>
    <row r="280" spans="4:11" ht="42" customHeight="1" x14ac:dyDescent="0.3">
      <c r="D280" s="30" t="s">
        <v>4577</v>
      </c>
      <c r="E280" s="62" t="s">
        <v>4578</v>
      </c>
      <c r="F280" s="58" t="s">
        <v>163</v>
      </c>
      <c r="G280" s="63" t="s">
        <v>4579</v>
      </c>
      <c r="H280" s="52">
        <v>1022</v>
      </c>
      <c r="I280" s="60">
        <v>46291</v>
      </c>
      <c r="J280" s="35"/>
      <c r="K280" s="36" t="s">
        <v>7</v>
      </c>
    </row>
    <row r="281" spans="4:11" ht="42" customHeight="1" x14ac:dyDescent="0.3">
      <c r="D281" s="30" t="s">
        <v>4580</v>
      </c>
      <c r="E281" s="62" t="s">
        <v>4581</v>
      </c>
      <c r="F281" s="58" t="s">
        <v>163</v>
      </c>
      <c r="G281" s="63" t="s">
        <v>4582</v>
      </c>
      <c r="H281" s="52">
        <v>1022</v>
      </c>
      <c r="I281" s="60">
        <v>46291</v>
      </c>
      <c r="J281" s="35"/>
      <c r="K281" s="36" t="s">
        <v>7</v>
      </c>
    </row>
    <row r="282" spans="4:11" ht="42" customHeight="1" x14ac:dyDescent="0.3">
      <c r="D282" s="30" t="s">
        <v>4583</v>
      </c>
      <c r="E282" s="62" t="s">
        <v>4584</v>
      </c>
      <c r="F282" s="58" t="s">
        <v>163</v>
      </c>
      <c r="G282" s="63" t="s">
        <v>4585</v>
      </c>
      <c r="H282" s="52">
        <v>1036</v>
      </c>
      <c r="I282" s="60">
        <v>46291</v>
      </c>
      <c r="J282" s="35">
        <v>46292</v>
      </c>
      <c r="K282" s="36" t="s">
        <v>8</v>
      </c>
    </row>
    <row r="283" spans="4:11" ht="42" customHeight="1" x14ac:dyDescent="0.3">
      <c r="D283" s="30" t="s">
        <v>4586</v>
      </c>
      <c r="E283" s="62" t="s">
        <v>4587</v>
      </c>
      <c r="F283" s="58" t="s">
        <v>163</v>
      </c>
      <c r="G283" s="63" t="s">
        <v>4588</v>
      </c>
      <c r="H283" s="52">
        <v>1036</v>
      </c>
      <c r="I283" s="60">
        <v>46291</v>
      </c>
      <c r="J283" s="35">
        <v>46292</v>
      </c>
      <c r="K283" s="36" t="s">
        <v>8</v>
      </c>
    </row>
    <row r="284" spans="4:11" ht="42" customHeight="1" x14ac:dyDescent="0.3">
      <c r="D284" s="30" t="s">
        <v>4589</v>
      </c>
      <c r="E284" s="62" t="s">
        <v>4590</v>
      </c>
      <c r="F284" s="58" t="s">
        <v>163</v>
      </c>
      <c r="G284" s="63" t="s">
        <v>4591</v>
      </c>
      <c r="H284" s="52">
        <v>1036</v>
      </c>
      <c r="I284" s="60">
        <v>46291</v>
      </c>
      <c r="J284" s="35">
        <v>46292</v>
      </c>
      <c r="K284" s="36" t="s">
        <v>8</v>
      </c>
    </row>
    <row r="285" spans="4:11" ht="42" customHeight="1" x14ac:dyDescent="0.3">
      <c r="D285" s="30" t="s">
        <v>4592</v>
      </c>
      <c r="E285" s="62" t="s">
        <v>4593</v>
      </c>
      <c r="F285" s="58" t="s">
        <v>163</v>
      </c>
      <c r="G285" s="63" t="s">
        <v>4594</v>
      </c>
      <c r="H285" s="52">
        <v>1022</v>
      </c>
      <c r="I285" s="60">
        <v>46292</v>
      </c>
      <c r="J285" s="35"/>
      <c r="K285" s="36" t="s">
        <v>7</v>
      </c>
    </row>
    <row r="286" spans="4:11" ht="42" customHeight="1" x14ac:dyDescent="0.3">
      <c r="D286" s="30" t="s">
        <v>4595</v>
      </c>
      <c r="E286" s="62" t="s">
        <v>4596</v>
      </c>
      <c r="F286" s="58" t="s">
        <v>163</v>
      </c>
      <c r="G286" s="63" t="s">
        <v>4597</v>
      </c>
      <c r="H286" s="52" t="s">
        <v>193</v>
      </c>
      <c r="I286" s="60">
        <v>46293</v>
      </c>
      <c r="J286" s="35">
        <v>46294</v>
      </c>
      <c r="K286" s="36" t="s">
        <v>8</v>
      </c>
    </row>
    <row r="287" spans="4:11" ht="42" customHeight="1" x14ac:dyDescent="0.3">
      <c r="D287" s="30" t="s">
        <v>4598</v>
      </c>
      <c r="E287" s="62" t="s">
        <v>4599</v>
      </c>
      <c r="F287" s="58" t="s">
        <v>163</v>
      </c>
      <c r="G287" s="63" t="s">
        <v>4600</v>
      </c>
      <c r="H287" s="52" t="s">
        <v>193</v>
      </c>
      <c r="I287" s="60">
        <v>46294</v>
      </c>
      <c r="J287" s="35">
        <v>46296</v>
      </c>
      <c r="K287" s="36" t="s">
        <v>8</v>
      </c>
    </row>
    <row r="288" spans="4:11" ht="42" customHeight="1" x14ac:dyDescent="0.3">
      <c r="D288" s="30" t="s">
        <v>4601</v>
      </c>
      <c r="E288" s="62" t="s">
        <v>4602</v>
      </c>
      <c r="F288" s="58" t="s">
        <v>163</v>
      </c>
      <c r="G288" s="63" t="s">
        <v>4603</v>
      </c>
      <c r="H288" s="52">
        <v>1031</v>
      </c>
      <c r="I288" s="60">
        <v>46295</v>
      </c>
      <c r="J288" s="35"/>
      <c r="K288" s="36" t="s">
        <v>7</v>
      </c>
    </row>
    <row r="289" spans="4:11" ht="42" customHeight="1" x14ac:dyDescent="0.3">
      <c r="D289" s="30" t="s">
        <v>4604</v>
      </c>
      <c r="E289" s="62" t="s">
        <v>4605</v>
      </c>
      <c r="F289" s="58" t="s">
        <v>163</v>
      </c>
      <c r="G289" s="63" t="s">
        <v>4606</v>
      </c>
      <c r="H289" s="52">
        <v>1031</v>
      </c>
      <c r="I289" s="60">
        <v>46299</v>
      </c>
      <c r="J289" s="35">
        <v>46299</v>
      </c>
      <c r="K289" s="36" t="s">
        <v>8</v>
      </c>
    </row>
    <row r="290" spans="4:11" ht="42" customHeight="1" x14ac:dyDescent="0.3">
      <c r="D290" s="30" t="s">
        <v>4607</v>
      </c>
      <c r="E290" s="62" t="s">
        <v>4608</v>
      </c>
      <c r="F290" s="58" t="s">
        <v>163</v>
      </c>
      <c r="G290" s="63" t="s">
        <v>4609</v>
      </c>
      <c r="H290" s="52">
        <v>1035</v>
      </c>
      <c r="I290" s="60">
        <v>46299</v>
      </c>
      <c r="J290" s="35">
        <v>46299</v>
      </c>
      <c r="K290" s="36" t="s">
        <v>8</v>
      </c>
    </row>
    <row r="291" spans="4:11" ht="42" customHeight="1" x14ac:dyDescent="0.3">
      <c r="D291" s="30" t="s">
        <v>4610</v>
      </c>
      <c r="E291" s="62" t="s">
        <v>4611</v>
      </c>
      <c r="F291" s="58" t="s">
        <v>163</v>
      </c>
      <c r="G291" s="63" t="s">
        <v>4612</v>
      </c>
      <c r="H291" s="52">
        <v>1029</v>
      </c>
      <c r="I291" s="60">
        <v>46299</v>
      </c>
      <c r="J291" s="35"/>
      <c r="K291" s="36" t="s">
        <v>7</v>
      </c>
    </row>
    <row r="292" spans="4:11" ht="42" customHeight="1" x14ac:dyDescent="0.3">
      <c r="D292" s="30" t="s">
        <v>4613</v>
      </c>
      <c r="E292" s="62" t="s">
        <v>4614</v>
      </c>
      <c r="F292" s="58" t="s">
        <v>163</v>
      </c>
      <c r="G292" s="63" t="s">
        <v>4615</v>
      </c>
      <c r="H292" s="52">
        <v>1035</v>
      </c>
      <c r="I292" s="60">
        <v>46299</v>
      </c>
      <c r="J292" s="35">
        <v>46300</v>
      </c>
      <c r="K292" s="36" t="s">
        <v>8</v>
      </c>
    </row>
    <row r="293" spans="4:11" ht="42" customHeight="1" x14ac:dyDescent="0.3">
      <c r="D293" s="30" t="s">
        <v>4616</v>
      </c>
      <c r="E293" s="62" t="s">
        <v>4617</v>
      </c>
      <c r="F293" s="58" t="s">
        <v>163</v>
      </c>
      <c r="G293" s="63" t="s">
        <v>4618</v>
      </c>
      <c r="H293" s="69" t="s">
        <v>4619</v>
      </c>
      <c r="I293" s="60">
        <v>46300</v>
      </c>
      <c r="J293" s="35"/>
      <c r="K293" s="36" t="s">
        <v>7</v>
      </c>
    </row>
    <row r="294" spans="4:11" ht="42" customHeight="1" x14ac:dyDescent="0.3">
      <c r="D294" s="30" t="s">
        <v>4620</v>
      </c>
      <c r="E294" s="62" t="s">
        <v>4621</v>
      </c>
      <c r="F294" s="58" t="s">
        <v>163</v>
      </c>
      <c r="G294" s="63" t="s">
        <v>4622</v>
      </c>
      <c r="H294" s="52">
        <v>1025</v>
      </c>
      <c r="I294" s="60">
        <v>46300</v>
      </c>
      <c r="J294" s="35"/>
      <c r="K294" s="36" t="s">
        <v>7</v>
      </c>
    </row>
    <row r="295" spans="4:11" ht="42" customHeight="1" x14ac:dyDescent="0.3">
      <c r="D295" s="30" t="s">
        <v>4721</v>
      </c>
      <c r="E295" s="62" t="s">
        <v>4722</v>
      </c>
      <c r="F295" s="58" t="s">
        <v>163</v>
      </c>
      <c r="G295" s="63" t="s">
        <v>4720</v>
      </c>
      <c r="H295" s="52">
        <v>1029</v>
      </c>
      <c r="I295" s="60">
        <v>46302</v>
      </c>
      <c r="J295" s="35"/>
      <c r="K295" s="36" t="s">
        <v>7</v>
      </c>
    </row>
    <row r="296" spans="4:11" ht="42" customHeight="1" x14ac:dyDescent="0.3">
      <c r="D296" s="30" t="s">
        <v>4737</v>
      </c>
      <c r="E296" s="62" t="s">
        <v>4735</v>
      </c>
      <c r="F296" s="58" t="s">
        <v>163</v>
      </c>
      <c r="G296" s="63" t="s">
        <v>4736</v>
      </c>
      <c r="H296" s="52">
        <v>1036</v>
      </c>
      <c r="I296" s="60">
        <v>46302</v>
      </c>
      <c r="J296" s="35"/>
      <c r="K296" s="36" t="s">
        <v>7</v>
      </c>
    </row>
    <row r="297" spans="4:11" ht="42" customHeight="1" x14ac:dyDescent="0.3">
      <c r="D297" s="30" t="s">
        <v>4745</v>
      </c>
      <c r="E297" s="62" t="s">
        <v>4744</v>
      </c>
      <c r="F297" s="58" t="s">
        <v>163</v>
      </c>
      <c r="G297" s="63" t="s">
        <v>4743</v>
      </c>
      <c r="H297" s="52">
        <v>1029</v>
      </c>
      <c r="I297" s="60">
        <v>46305</v>
      </c>
      <c r="J297" s="35"/>
      <c r="K297" s="36" t="s">
        <v>7</v>
      </c>
    </row>
    <row r="298" spans="4:11" ht="42" customHeight="1" x14ac:dyDescent="0.3">
      <c r="D298" s="30" t="s">
        <v>4782</v>
      </c>
      <c r="E298" s="62" t="s">
        <v>4781</v>
      </c>
      <c r="F298" s="58" t="s">
        <v>163</v>
      </c>
      <c r="G298" s="63" t="s">
        <v>4780</v>
      </c>
      <c r="H298" s="52">
        <v>1021</v>
      </c>
      <c r="I298" s="60">
        <v>46306</v>
      </c>
      <c r="J298" s="35"/>
      <c r="K298" s="36" t="s">
        <v>7</v>
      </c>
    </row>
    <row r="299" spans="4:11" ht="42" customHeight="1" x14ac:dyDescent="0.3">
      <c r="D299" s="30" t="s">
        <v>4790</v>
      </c>
      <c r="E299" s="62" t="s">
        <v>4791</v>
      </c>
      <c r="F299" s="58" t="s">
        <v>163</v>
      </c>
      <c r="G299" s="63" t="s">
        <v>4789</v>
      </c>
      <c r="H299" s="52">
        <v>1021</v>
      </c>
      <c r="I299" s="60">
        <v>46306</v>
      </c>
      <c r="J299" s="35"/>
      <c r="K299" s="36" t="s">
        <v>7</v>
      </c>
    </row>
    <row r="300" spans="4:11" ht="42" customHeight="1" x14ac:dyDescent="0.3">
      <c r="D300" s="30" t="s">
        <v>4793</v>
      </c>
      <c r="E300" s="62" t="s">
        <v>4794</v>
      </c>
      <c r="F300" s="58" t="s">
        <v>163</v>
      </c>
      <c r="G300" s="63" t="s">
        <v>4792</v>
      </c>
      <c r="H300" s="52">
        <v>1025</v>
      </c>
      <c r="I300" s="60">
        <v>46306</v>
      </c>
      <c r="J300" s="35"/>
      <c r="K300" s="36" t="s">
        <v>7</v>
      </c>
    </row>
    <row r="301" spans="4:11" ht="42" customHeight="1" x14ac:dyDescent="0.3">
      <c r="D301" s="30" t="s">
        <v>4797</v>
      </c>
      <c r="E301" s="62" t="s">
        <v>4795</v>
      </c>
      <c r="F301" s="58" t="s">
        <v>163</v>
      </c>
      <c r="G301" s="63" t="s">
        <v>4796</v>
      </c>
      <c r="H301" s="69" t="s">
        <v>4619</v>
      </c>
      <c r="I301" s="60">
        <v>46306</v>
      </c>
      <c r="J301" s="35">
        <v>46306</v>
      </c>
      <c r="K301" s="36" t="s">
        <v>8</v>
      </c>
    </row>
    <row r="302" spans="4:11" ht="42" customHeight="1" x14ac:dyDescent="0.3">
      <c r="D302" s="30" t="s">
        <v>4808</v>
      </c>
      <c r="E302" s="62" t="s">
        <v>4809</v>
      </c>
      <c r="F302" s="58" t="s">
        <v>163</v>
      </c>
      <c r="G302" s="63" t="s">
        <v>4807</v>
      </c>
      <c r="H302" s="52">
        <v>1060</v>
      </c>
      <c r="I302" s="60">
        <v>46306</v>
      </c>
      <c r="J302" s="35"/>
      <c r="K302" s="36" t="s">
        <v>7</v>
      </c>
    </row>
    <row r="303" spans="4:11" ht="42" customHeight="1" x14ac:dyDescent="0.3">
      <c r="D303" s="30" t="s">
        <v>4811</v>
      </c>
      <c r="E303" s="62" t="s">
        <v>4812</v>
      </c>
      <c r="F303" s="58" t="s">
        <v>163</v>
      </c>
      <c r="G303" s="63" t="s">
        <v>4810</v>
      </c>
      <c r="H303" s="52">
        <v>1060</v>
      </c>
      <c r="I303" s="60">
        <v>46306</v>
      </c>
      <c r="J303" s="35"/>
      <c r="K303" s="36" t="s">
        <v>7</v>
      </c>
    </row>
    <row r="304" spans="4:11" ht="42" customHeight="1" x14ac:dyDescent="0.3">
      <c r="D304" s="30" t="s">
        <v>4814</v>
      </c>
      <c r="E304" s="62" t="s">
        <v>4815</v>
      </c>
      <c r="F304" s="58" t="s">
        <v>163</v>
      </c>
      <c r="G304" s="63" t="s">
        <v>4813</v>
      </c>
      <c r="H304" s="52">
        <v>1031</v>
      </c>
      <c r="I304" s="60">
        <v>46306</v>
      </c>
      <c r="J304" s="35"/>
      <c r="K304" s="36" t="s">
        <v>7</v>
      </c>
    </row>
    <row r="305" spans="4:11" ht="42" customHeight="1" x14ac:dyDescent="0.3">
      <c r="D305" s="30" t="s">
        <v>4827</v>
      </c>
      <c r="E305" s="62" t="s">
        <v>4825</v>
      </c>
      <c r="F305" s="58" t="s">
        <v>163</v>
      </c>
      <c r="G305" s="63" t="s">
        <v>4826</v>
      </c>
      <c r="H305" s="52">
        <v>1060</v>
      </c>
      <c r="I305" s="60">
        <v>46306</v>
      </c>
      <c r="J305" s="35"/>
      <c r="K305" s="36" t="s">
        <v>7</v>
      </c>
    </row>
    <row r="306" spans="4:11" ht="39.75" customHeight="1" x14ac:dyDescent="0.3">
      <c r="D306" s="48" t="s">
        <v>4823</v>
      </c>
      <c r="E306" s="49" t="s">
        <v>4824</v>
      </c>
      <c r="F306" s="50">
        <v>0</v>
      </c>
      <c r="G306" s="51" t="s">
        <v>4822</v>
      </c>
      <c r="H306" s="52" t="s">
        <v>193</v>
      </c>
      <c r="I306" s="60">
        <v>46306</v>
      </c>
      <c r="J306" s="35"/>
      <c r="K306" s="36" t="s">
        <v>7</v>
      </c>
    </row>
    <row r="307" spans="4:11" ht="42" customHeight="1" x14ac:dyDescent="0.3">
      <c r="D307" s="30" t="s">
        <v>4823</v>
      </c>
      <c r="E307" s="62" t="s">
        <v>4824</v>
      </c>
      <c r="F307" s="50">
        <v>0</v>
      </c>
      <c r="G307" s="63" t="s">
        <v>4822</v>
      </c>
      <c r="H307" s="52" t="s">
        <v>193</v>
      </c>
      <c r="I307" s="60">
        <v>46306</v>
      </c>
      <c r="J307" s="35"/>
      <c r="K307" s="36" t="s">
        <v>7</v>
      </c>
    </row>
    <row r="308" spans="4:11" ht="42" customHeight="1" x14ac:dyDescent="0.3">
      <c r="D308" s="30"/>
      <c r="E308" s="62"/>
      <c r="F308" s="58"/>
      <c r="G308" s="63"/>
      <c r="H308" s="52"/>
      <c r="I308" s="60"/>
      <c r="J308" s="35"/>
      <c r="K308" s="36"/>
    </row>
    <row r="309" spans="4:11" ht="42" customHeight="1" x14ac:dyDescent="0.3">
      <c r="D309" s="30"/>
      <c r="E309" s="62"/>
      <c r="F309" s="58"/>
      <c r="G309" s="63"/>
      <c r="H309" s="52"/>
      <c r="I309" s="60"/>
      <c r="J309" s="35"/>
      <c r="K309" s="36"/>
    </row>
    <row r="310" spans="4:11" ht="42" customHeight="1" x14ac:dyDescent="0.3">
      <c r="D310" s="30"/>
      <c r="E310" s="62"/>
      <c r="F310" s="58"/>
      <c r="G310" s="63"/>
      <c r="H310" s="52"/>
      <c r="I310" s="60"/>
      <c r="J310" s="35"/>
      <c r="K310" s="36"/>
    </row>
    <row r="311" spans="4:11" ht="42" customHeight="1" x14ac:dyDescent="0.3">
      <c r="D311" s="30"/>
      <c r="E311" s="62"/>
      <c r="F311" s="58"/>
      <c r="G311" s="63"/>
      <c r="H311" s="52"/>
      <c r="I311" s="60"/>
      <c r="J311" s="35"/>
      <c r="K311" s="36"/>
    </row>
    <row r="312" spans="4:11" ht="42" customHeight="1" x14ac:dyDescent="0.3">
      <c r="D312" s="30"/>
      <c r="E312" s="62"/>
      <c r="F312" s="58"/>
      <c r="G312" s="63"/>
      <c r="H312" s="52"/>
      <c r="I312" s="60"/>
      <c r="J312" s="35"/>
      <c r="K312" s="36"/>
    </row>
  </sheetData>
  <autoFilter ref="D4:K307" xr:uid="{00000000-0009-0000-0000-000005000000}"/>
  <mergeCells count="3">
    <mergeCell ref="G1:K1"/>
    <mergeCell ref="G2:K2"/>
    <mergeCell ref="J3:K3"/>
  </mergeCells>
  <conditionalFormatting sqref="D1:D3 D5:D305 D307:D1048576">
    <cfRule type="duplicateValues" dxfId="20" priority="10"/>
  </conditionalFormatting>
  <conditionalFormatting sqref="E1:E305 E307:E1048576">
    <cfRule type="duplicateValues" dxfId="19" priority="9"/>
  </conditionalFormatting>
  <conditionalFormatting sqref="K5:K305 K308:K312">
    <cfRule type="cellIs" dxfId="18" priority="11" operator="equal">
      <formula>"Pending"</formula>
    </cfRule>
    <cfRule type="cellIs" dxfId="17" priority="12" operator="equal">
      <formula>"Responded"</formula>
    </cfRule>
  </conditionalFormatting>
  <conditionalFormatting sqref="D306">
    <cfRule type="duplicateValues" dxfId="16" priority="4"/>
    <cfRule type="duplicateValues" dxfId="15" priority="5"/>
  </conditionalFormatting>
  <conditionalFormatting sqref="E306">
    <cfRule type="duplicateValues" dxfId="14" priority="1"/>
    <cfRule type="duplicateValues" dxfId="13" priority="2"/>
    <cfRule type="duplicateValues" dxfId="12" priority="3"/>
  </conditionalFormatting>
  <conditionalFormatting sqref="K306:K307">
    <cfRule type="cellIs" dxfId="11" priority="6" operator="equal">
      <formula>"Pending"</formula>
    </cfRule>
    <cfRule type="cellIs" dxfId="10" priority="7" operator="equal">
      <formula>"Responded"</formula>
    </cfRule>
  </conditionalFormatting>
  <dataValidations count="2">
    <dataValidation type="list" allowBlank="1" showInputMessage="1" showErrorMessage="1" sqref="K5:K305" xr:uid="{00000000-0002-0000-0500-000000000000}">
      <formula1>"Pending,Responded"</formula1>
      <formula2>0</formula2>
    </dataValidation>
    <dataValidation type="list" sqref="K306:K307" xr:uid="{00000000-0002-0000-0200-000000000000}">
      <formula1>"Pending,Responded"</formula1>
      <formula2>0</formula2>
    </dataValidation>
  </dataValidations>
  <pageMargins left="0.7" right="0.7" top="0.75" bottom="0.75" header="0.511811023622047" footer="0.511811023622047"/>
  <pageSetup paperSize="9" scale="21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FAADC"/>
  </sheetPr>
  <dimension ref="A1:XFD26"/>
  <sheetViews>
    <sheetView view="pageBreakPreview" zoomScale="60" zoomScaleNormal="55" workbookViewId="0">
      <pane ySplit="4" topLeftCell="A18" activePane="bottomLeft" state="frozen"/>
      <selection pane="bottomLeft" activeCell="D26" sqref="D26"/>
    </sheetView>
  </sheetViews>
  <sheetFormatPr defaultColWidth="9.109375" defaultRowHeight="21" customHeight="1" x14ac:dyDescent="0.3"/>
  <cols>
    <col min="1" max="1" width="77.77734375" style="13" customWidth="1"/>
    <col min="2" max="2" width="27.6640625" style="14" customWidth="1"/>
    <col min="3" max="3" width="9.77734375" style="40" customWidth="1"/>
    <col min="4" max="4" width="135.44140625" style="54" customWidth="1"/>
    <col min="5" max="5" width="16.44140625" style="16" customWidth="1"/>
    <col min="6" max="6" width="20.44140625" style="17" customWidth="1"/>
    <col min="7" max="7" width="18.5546875" style="17" customWidth="1"/>
    <col min="8" max="8" width="15.6640625" style="18" customWidth="1"/>
    <col min="9" max="16384" width="9.109375" style="13"/>
  </cols>
  <sheetData>
    <row r="1" spans="1:11 16382:16384" s="19" customFormat="1" ht="133.5" customHeight="1" x14ac:dyDescent="0.3">
      <c r="A1" s="123"/>
      <c r="B1" s="124"/>
      <c r="C1" s="42"/>
      <c r="D1" s="95"/>
      <c r="E1" s="95"/>
      <c r="F1" s="95"/>
      <c r="G1" s="95"/>
      <c r="H1" s="95"/>
    </row>
    <row r="2" spans="1:11 16382:16384" s="19" customFormat="1" ht="81.75" customHeight="1" x14ac:dyDescent="0.3">
      <c r="A2" s="125"/>
      <c r="B2" s="126"/>
      <c r="C2" s="40"/>
      <c r="D2" s="127" t="s">
        <v>4623</v>
      </c>
      <c r="E2" s="127"/>
      <c r="F2" s="127"/>
      <c r="G2" s="127"/>
      <c r="H2" s="127"/>
    </row>
    <row r="3" spans="1:11 16382:16384" s="19" customFormat="1" ht="30" customHeight="1" x14ac:dyDescent="0.3">
      <c r="A3" s="23"/>
      <c r="B3" s="24"/>
      <c r="C3" s="40"/>
      <c r="D3" s="55"/>
      <c r="E3" s="26"/>
      <c r="F3" s="27"/>
      <c r="G3" s="97"/>
      <c r="H3" s="97"/>
    </row>
    <row r="4" spans="1:11 16382:16384" s="84" customFormat="1" ht="69.75" customHeight="1" x14ac:dyDescent="0.3">
      <c r="A4" s="82" t="s">
        <v>18</v>
      </c>
      <c r="B4" s="82" t="s">
        <v>19</v>
      </c>
      <c r="C4" s="82" t="s">
        <v>20</v>
      </c>
      <c r="D4" s="82" t="s">
        <v>21</v>
      </c>
      <c r="E4" s="82" t="s">
        <v>22</v>
      </c>
      <c r="F4" s="82" t="s">
        <v>23</v>
      </c>
      <c r="G4" s="82" t="s">
        <v>24</v>
      </c>
      <c r="H4" s="82" t="s">
        <v>25</v>
      </c>
      <c r="I4" s="83"/>
      <c r="J4" s="83"/>
      <c r="K4" s="83"/>
    </row>
    <row r="5" spans="1:11 16382:16384" ht="34.5" customHeight="1" x14ac:dyDescent="0.3">
      <c r="A5" s="30" t="s">
        <v>4624</v>
      </c>
      <c r="B5" s="49" t="s">
        <v>4625</v>
      </c>
      <c r="C5" s="32">
        <v>0</v>
      </c>
      <c r="D5" s="63" t="s">
        <v>4626</v>
      </c>
      <c r="E5" s="34" t="s">
        <v>193</v>
      </c>
      <c r="F5" s="70">
        <v>46247</v>
      </c>
      <c r="G5" s="70">
        <v>46251</v>
      </c>
      <c r="H5" s="36" t="s">
        <v>8</v>
      </c>
      <c r="XFB5" s="37"/>
      <c r="XFC5" s="37"/>
      <c r="XFD5" s="37"/>
    </row>
    <row r="6" spans="1:11 16382:16384" ht="35.25" customHeight="1" x14ac:dyDescent="0.3">
      <c r="A6" s="30" t="s">
        <v>4627</v>
      </c>
      <c r="B6" s="49" t="s">
        <v>4628</v>
      </c>
      <c r="C6" s="32">
        <v>0</v>
      </c>
      <c r="D6" s="63" t="s">
        <v>4629</v>
      </c>
      <c r="E6" s="34" t="s">
        <v>193</v>
      </c>
      <c r="F6" s="70">
        <v>46247</v>
      </c>
      <c r="G6" s="70">
        <v>46251</v>
      </c>
      <c r="H6" s="36" t="s">
        <v>8</v>
      </c>
      <c r="XFB6" s="37"/>
      <c r="XFC6" s="37"/>
      <c r="XFD6" s="37"/>
    </row>
    <row r="7" spans="1:11 16382:16384" ht="35.25" customHeight="1" x14ac:dyDescent="0.3">
      <c r="A7" s="30" t="s">
        <v>4630</v>
      </c>
      <c r="B7" s="49" t="s">
        <v>4631</v>
      </c>
      <c r="C7" s="32">
        <v>0</v>
      </c>
      <c r="D7" s="63" t="s">
        <v>4632</v>
      </c>
      <c r="E7" s="34" t="s">
        <v>193</v>
      </c>
      <c r="F7" s="70">
        <v>46247</v>
      </c>
      <c r="G7" s="70">
        <v>46253</v>
      </c>
      <c r="H7" s="36" t="s">
        <v>8</v>
      </c>
      <c r="XFB7" s="37"/>
      <c r="XFC7" s="37"/>
      <c r="XFD7" s="37"/>
    </row>
    <row r="8" spans="1:11 16382:16384" ht="35.25" customHeight="1" x14ac:dyDescent="0.3">
      <c r="A8" s="30" t="s">
        <v>4633</v>
      </c>
      <c r="B8" s="49" t="s">
        <v>4634</v>
      </c>
      <c r="C8" s="32">
        <v>0</v>
      </c>
      <c r="D8" s="63" t="s">
        <v>4635</v>
      </c>
      <c r="E8" s="34" t="s">
        <v>36</v>
      </c>
      <c r="F8" s="70">
        <v>46247</v>
      </c>
      <c r="G8" s="70">
        <v>46253</v>
      </c>
      <c r="H8" s="36" t="s">
        <v>8</v>
      </c>
      <c r="XFB8" s="37"/>
      <c r="XFC8" s="37"/>
      <c r="XFD8" s="37"/>
    </row>
    <row r="9" spans="1:11 16382:16384" ht="35.25" customHeight="1" x14ac:dyDescent="0.3">
      <c r="A9" s="30" t="s">
        <v>4636</v>
      </c>
      <c r="B9" s="49" t="s">
        <v>4637</v>
      </c>
      <c r="C9" s="32">
        <v>0</v>
      </c>
      <c r="D9" s="63" t="s">
        <v>4638</v>
      </c>
      <c r="E9" s="34" t="s">
        <v>3260</v>
      </c>
      <c r="F9" s="70">
        <v>46251</v>
      </c>
      <c r="G9" s="70">
        <v>46257</v>
      </c>
      <c r="H9" s="36" t="s">
        <v>8</v>
      </c>
      <c r="XFB9" s="37"/>
      <c r="XFC9" s="37"/>
      <c r="XFD9" s="37"/>
    </row>
    <row r="10" spans="1:11 16382:16384" ht="35.25" customHeight="1" x14ac:dyDescent="0.3">
      <c r="A10" s="30" t="s">
        <v>4639</v>
      </c>
      <c r="B10" s="49" t="s">
        <v>4640</v>
      </c>
      <c r="C10" s="32">
        <v>0</v>
      </c>
      <c r="D10" s="63" t="s">
        <v>4641</v>
      </c>
      <c r="E10" s="34" t="s">
        <v>3260</v>
      </c>
      <c r="F10" s="70">
        <v>46251</v>
      </c>
      <c r="G10" s="70">
        <v>46257</v>
      </c>
      <c r="H10" s="36" t="s">
        <v>8</v>
      </c>
      <c r="XFB10" s="37"/>
      <c r="XFC10" s="37"/>
      <c r="XFD10" s="37"/>
    </row>
    <row r="11" spans="1:11 16382:16384" ht="35.25" customHeight="1" x14ac:dyDescent="0.3">
      <c r="A11" s="30" t="s">
        <v>4642</v>
      </c>
      <c r="B11" s="49" t="s">
        <v>4643</v>
      </c>
      <c r="C11" s="32">
        <v>0</v>
      </c>
      <c r="D11" s="63" t="s">
        <v>4644</v>
      </c>
      <c r="E11" s="34" t="s">
        <v>2678</v>
      </c>
      <c r="F11" s="70">
        <v>46251</v>
      </c>
      <c r="G11" s="70">
        <v>46258</v>
      </c>
      <c r="H11" s="36" t="s">
        <v>8</v>
      </c>
      <c r="XFB11" s="37"/>
      <c r="XFC11" s="37"/>
      <c r="XFD11" s="37"/>
    </row>
    <row r="12" spans="1:11 16382:16384" ht="35.25" customHeight="1" x14ac:dyDescent="0.3">
      <c r="A12" s="30" t="s">
        <v>4645</v>
      </c>
      <c r="B12" s="49" t="s">
        <v>4646</v>
      </c>
      <c r="C12" s="32">
        <v>0</v>
      </c>
      <c r="D12" s="63" t="s">
        <v>4647</v>
      </c>
      <c r="E12" s="34" t="s">
        <v>193</v>
      </c>
      <c r="F12" s="70">
        <v>46252</v>
      </c>
      <c r="G12" s="70">
        <v>46258</v>
      </c>
      <c r="H12" s="36" t="s">
        <v>8</v>
      </c>
      <c r="XFB12" s="37"/>
      <c r="XFC12" s="37"/>
      <c r="XFD12" s="37"/>
    </row>
    <row r="13" spans="1:11 16382:16384" ht="35.25" customHeight="1" x14ac:dyDescent="0.3">
      <c r="A13" s="30" t="s">
        <v>4648</v>
      </c>
      <c r="B13" s="49" t="s">
        <v>4649</v>
      </c>
      <c r="C13" s="32">
        <v>0</v>
      </c>
      <c r="D13" s="63" t="s">
        <v>4650</v>
      </c>
      <c r="E13" s="34" t="s">
        <v>3260</v>
      </c>
      <c r="F13" s="70">
        <v>46252</v>
      </c>
      <c r="G13" s="70">
        <v>46258</v>
      </c>
      <c r="H13" s="36" t="s">
        <v>8</v>
      </c>
      <c r="XFB13" s="37"/>
      <c r="XFC13" s="37"/>
      <c r="XFD13" s="37"/>
    </row>
    <row r="14" spans="1:11 16382:16384" ht="35.25" customHeight="1" x14ac:dyDescent="0.3">
      <c r="A14" s="30" t="s">
        <v>4651</v>
      </c>
      <c r="B14" s="49" t="s">
        <v>4652</v>
      </c>
      <c r="C14" s="32">
        <v>0</v>
      </c>
      <c r="D14" s="63" t="s">
        <v>4653</v>
      </c>
      <c r="E14" s="34" t="s">
        <v>3223</v>
      </c>
      <c r="F14" s="70">
        <v>46253</v>
      </c>
      <c r="G14" s="70">
        <v>46259</v>
      </c>
      <c r="H14" s="36" t="s">
        <v>8</v>
      </c>
      <c r="XFB14" s="37"/>
      <c r="XFC14" s="37"/>
      <c r="XFD14" s="37"/>
    </row>
    <row r="15" spans="1:11 16382:16384" ht="35.25" customHeight="1" x14ac:dyDescent="0.3">
      <c r="A15" s="30" t="s">
        <v>4654</v>
      </c>
      <c r="B15" s="49" t="s">
        <v>4655</v>
      </c>
      <c r="C15" s="32">
        <v>0</v>
      </c>
      <c r="D15" s="63" t="s">
        <v>4656</v>
      </c>
      <c r="E15" s="34" t="s">
        <v>193</v>
      </c>
      <c r="F15" s="70">
        <v>46254</v>
      </c>
      <c r="G15" s="70">
        <v>46260</v>
      </c>
      <c r="H15" s="36" t="s">
        <v>8</v>
      </c>
      <c r="XFB15" s="37"/>
      <c r="XFC15" s="37"/>
      <c r="XFD15" s="37"/>
    </row>
    <row r="16" spans="1:11 16382:16384" ht="35.25" customHeight="1" x14ac:dyDescent="0.3">
      <c r="A16" s="30" t="s">
        <v>4657</v>
      </c>
      <c r="B16" s="49" t="s">
        <v>4658</v>
      </c>
      <c r="C16" s="32">
        <v>0</v>
      </c>
      <c r="D16" s="63" t="s">
        <v>4659</v>
      </c>
      <c r="E16" s="34" t="s">
        <v>2799</v>
      </c>
      <c r="F16" s="70">
        <v>46265</v>
      </c>
      <c r="G16" s="70">
        <v>46266</v>
      </c>
      <c r="H16" s="36" t="s">
        <v>8</v>
      </c>
      <c r="XFB16" s="37"/>
      <c r="XFC16" s="37"/>
      <c r="XFD16" s="37"/>
    </row>
    <row r="17" spans="1:8 16382:16384" ht="35.25" customHeight="1" x14ac:dyDescent="0.3">
      <c r="A17" s="30" t="s">
        <v>4660</v>
      </c>
      <c r="B17" s="49" t="s">
        <v>4661</v>
      </c>
      <c r="C17" s="32">
        <v>0</v>
      </c>
      <c r="D17" s="63" t="s">
        <v>4662</v>
      </c>
      <c r="E17" s="34" t="s">
        <v>3290</v>
      </c>
      <c r="F17" s="70">
        <v>46273</v>
      </c>
      <c r="G17" s="70">
        <v>46280</v>
      </c>
      <c r="H17" s="36" t="s">
        <v>8</v>
      </c>
      <c r="XFB17" s="37"/>
      <c r="XFC17" s="37"/>
      <c r="XFD17" s="37"/>
    </row>
    <row r="18" spans="1:8 16382:16384" ht="35.25" customHeight="1" x14ac:dyDescent="0.3">
      <c r="A18" s="30" t="s">
        <v>4663</v>
      </c>
      <c r="B18" s="49" t="s">
        <v>4664</v>
      </c>
      <c r="C18" s="32">
        <v>0</v>
      </c>
      <c r="D18" s="63" t="s">
        <v>4665</v>
      </c>
      <c r="E18" s="34" t="s">
        <v>3290</v>
      </c>
      <c r="F18" s="70">
        <v>46273</v>
      </c>
      <c r="G18" s="70">
        <v>46280</v>
      </c>
      <c r="H18" s="36" t="s">
        <v>8</v>
      </c>
      <c r="XFB18" s="37"/>
      <c r="XFC18" s="37"/>
      <c r="XFD18" s="37"/>
    </row>
    <row r="19" spans="1:8 16382:16384" ht="35.25" customHeight="1" x14ac:dyDescent="0.3">
      <c r="A19" s="30" t="s">
        <v>4666</v>
      </c>
      <c r="B19" s="49" t="s">
        <v>4667</v>
      </c>
      <c r="C19" s="32">
        <v>0</v>
      </c>
      <c r="D19" s="63" t="s">
        <v>4668</v>
      </c>
      <c r="E19" s="34" t="s">
        <v>193</v>
      </c>
      <c r="F19" s="70">
        <v>46279</v>
      </c>
      <c r="G19" s="70">
        <v>46286</v>
      </c>
      <c r="H19" s="36" t="s">
        <v>8</v>
      </c>
      <c r="XFB19" s="37"/>
      <c r="XFC19" s="37"/>
      <c r="XFD19" s="37"/>
    </row>
    <row r="20" spans="1:8 16382:16384" ht="35.25" customHeight="1" x14ac:dyDescent="0.3">
      <c r="A20" s="30" t="s">
        <v>4669</v>
      </c>
      <c r="B20" s="49" t="s">
        <v>4670</v>
      </c>
      <c r="C20" s="32">
        <v>0</v>
      </c>
      <c r="D20" s="63" t="s">
        <v>4671</v>
      </c>
      <c r="E20" s="34">
        <v>1018</v>
      </c>
      <c r="F20" s="70">
        <v>46279</v>
      </c>
      <c r="G20" s="70">
        <v>46282</v>
      </c>
      <c r="H20" s="36" t="s">
        <v>8</v>
      </c>
      <c r="XFB20" s="37"/>
      <c r="XFC20" s="37"/>
      <c r="XFD20" s="37"/>
    </row>
    <row r="21" spans="1:8 16382:16384" ht="35.25" customHeight="1" x14ac:dyDescent="0.3">
      <c r="A21" s="30" t="s">
        <v>4672</v>
      </c>
      <c r="B21" s="49" t="s">
        <v>4673</v>
      </c>
      <c r="C21" s="32">
        <v>0</v>
      </c>
      <c r="D21" s="63" t="s">
        <v>4674</v>
      </c>
      <c r="E21" s="34">
        <v>1023</v>
      </c>
      <c r="F21" s="70">
        <v>46280</v>
      </c>
      <c r="G21" s="70">
        <v>46294</v>
      </c>
      <c r="H21" s="36" t="s">
        <v>8</v>
      </c>
      <c r="XFB21" s="37"/>
      <c r="XFC21" s="37"/>
      <c r="XFD21" s="37"/>
    </row>
    <row r="22" spans="1:8 16382:16384" ht="35.25" customHeight="1" x14ac:dyDescent="0.3">
      <c r="A22" s="30" t="s">
        <v>4675</v>
      </c>
      <c r="B22" s="49" t="s">
        <v>4676</v>
      </c>
      <c r="C22" s="32">
        <v>0</v>
      </c>
      <c r="D22" s="63" t="s">
        <v>4677</v>
      </c>
      <c r="E22" s="34" t="s">
        <v>193</v>
      </c>
      <c r="F22" s="70">
        <v>46286</v>
      </c>
      <c r="G22" s="70"/>
      <c r="H22" s="36" t="s">
        <v>7</v>
      </c>
      <c r="XFB22" s="37"/>
      <c r="XFC22" s="37"/>
      <c r="XFD22" s="37"/>
    </row>
    <row r="23" spans="1:8 16382:16384" ht="35.25" customHeight="1" x14ac:dyDescent="0.3">
      <c r="A23" s="30" t="s">
        <v>4678</v>
      </c>
      <c r="B23" s="49" t="s">
        <v>4679</v>
      </c>
      <c r="C23" s="32" t="s">
        <v>163</v>
      </c>
      <c r="D23" s="63" t="s">
        <v>4680</v>
      </c>
      <c r="E23" s="34">
        <v>1031</v>
      </c>
      <c r="F23" s="70">
        <v>46287</v>
      </c>
      <c r="G23" s="70">
        <v>46289</v>
      </c>
      <c r="H23" s="36" t="s">
        <v>8</v>
      </c>
      <c r="XFB23" s="37"/>
      <c r="XFC23" s="37"/>
      <c r="XFD23" s="37"/>
    </row>
    <row r="24" spans="1:8 16382:16384" ht="35.25" customHeight="1" x14ac:dyDescent="0.3">
      <c r="A24" s="30" t="s">
        <v>4681</v>
      </c>
      <c r="B24" s="49" t="s">
        <v>4682</v>
      </c>
      <c r="C24" s="32" t="s">
        <v>163</v>
      </c>
      <c r="D24" s="63" t="s">
        <v>4683</v>
      </c>
      <c r="E24" s="34">
        <v>1046</v>
      </c>
      <c r="F24" s="70">
        <v>46302</v>
      </c>
      <c r="G24" s="70"/>
      <c r="H24" s="36" t="s">
        <v>7</v>
      </c>
      <c r="XFB24" s="37"/>
      <c r="XFC24" s="37"/>
      <c r="XFD24" s="37"/>
    </row>
    <row r="25" spans="1:8 16382:16384" ht="35.25" customHeight="1" x14ac:dyDescent="0.3">
      <c r="A25" s="30" t="s">
        <v>4734</v>
      </c>
      <c r="B25" s="49" t="s">
        <v>4733</v>
      </c>
      <c r="C25" s="32" t="s">
        <v>163</v>
      </c>
      <c r="D25" s="63" t="s">
        <v>4732</v>
      </c>
      <c r="E25" s="34">
        <v>1046</v>
      </c>
      <c r="F25" s="70">
        <v>46302</v>
      </c>
      <c r="G25" s="70"/>
      <c r="H25" s="36" t="s">
        <v>7</v>
      </c>
      <c r="XFB25" s="37"/>
      <c r="XFC25" s="37"/>
      <c r="XFD25" s="37"/>
    </row>
    <row r="26" spans="1:8 16382:16384" ht="35.25" customHeight="1" x14ac:dyDescent="0.3">
      <c r="A26" s="30"/>
      <c r="B26" s="49"/>
      <c r="C26" s="32"/>
      <c r="D26" s="63"/>
      <c r="E26" s="34"/>
      <c r="F26" s="70"/>
      <c r="G26" s="70"/>
      <c r="H26" s="36"/>
      <c r="XFB26" s="37"/>
      <c r="XFC26" s="37"/>
      <c r="XFD26" s="37"/>
    </row>
  </sheetData>
  <autoFilter ref="A4:H24" xr:uid="{00000000-0009-0000-0000-000006000000}"/>
  <mergeCells count="4">
    <mergeCell ref="D1:H1"/>
    <mergeCell ref="D2:H2"/>
    <mergeCell ref="G3:H3"/>
    <mergeCell ref="A1:B2"/>
  </mergeCells>
  <conditionalFormatting sqref="A5:A26">
    <cfRule type="duplicateValues" dxfId="9" priority="13"/>
    <cfRule type="duplicateValues" dxfId="8" priority="14"/>
  </conditionalFormatting>
  <conditionalFormatting sqref="A27:A1048576 A1 A3:A4">
    <cfRule type="duplicateValues" dxfId="7" priority="11"/>
  </conditionalFormatting>
  <conditionalFormatting sqref="B5:B26">
    <cfRule type="duplicateValues" dxfId="6" priority="16"/>
  </conditionalFormatting>
  <conditionalFormatting sqref="B27:B1048576 B3:B4">
    <cfRule type="duplicateValues" dxfId="5" priority="8"/>
  </conditionalFormatting>
  <conditionalFormatting sqref="D5:D26">
    <cfRule type="duplicateValues" dxfId="4" priority="19"/>
  </conditionalFormatting>
  <conditionalFormatting sqref="D27:D1048576 D1:D4">
    <cfRule type="duplicateValues" dxfId="3" priority="9"/>
    <cfRule type="duplicateValues" dxfId="2" priority="10"/>
  </conditionalFormatting>
  <conditionalFormatting sqref="H5:H26">
    <cfRule type="cellIs" dxfId="1" priority="5" operator="equal">
      <formula>"Pending"</formula>
    </cfRule>
    <cfRule type="cellIs" dxfId="0" priority="6" operator="equal">
      <formula>"Responded"</formula>
    </cfRule>
  </conditionalFormatting>
  <dataValidations count="1">
    <dataValidation type="list" allowBlank="1" showInputMessage="1" showErrorMessage="1" sqref="H5:H25" xr:uid="{00000000-0002-0000-0600-000000000000}">
      <formula1>"Pending,Responded"</formula1>
      <formula2>0</formula2>
    </dataValidation>
  </dataValidations>
  <pageMargins left="0.7" right="0.7" top="0.75" bottom="0.75" header="0.511811023622047" footer="0.511811023622047"/>
  <pageSetup paperSize="9" scale="26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d7a996-4dca-498d-b2f5-99e3050e6495">
      <Terms xmlns="http://schemas.microsoft.com/office/infopath/2007/PartnerControls"/>
    </lcf76f155ced4ddcb4097134ff3c332f>
    <TaxCatchAll xmlns="5e47dd1e-c75c-4647-a38b-2c348db83d8f" xsi:nil="true"/>
    <_Flow_SignoffStatus xmlns="85d7a996-4dca-498d-b2f5-99e3050e6495" xsi:nil="true"/>
    <_dlc_DocId xmlns="5e47dd1e-c75c-4647-a38b-2c348db83d8f">D2EH7U7SCT2D-354287951-70776</_dlc_DocId>
    <_dlc_DocIdUrl xmlns="5e47dd1e-c75c-4647-a38b-2c348db83d8f">
      <Url>https://hillintl.sharepoint.com/sites/Extranet2/RasAlHekmaProject/_layouts/15/DocIdRedir.aspx?ID=D2EH7U7SCT2D-354287951-70776</Url>
      <Description>D2EH7U7SCT2D-354287951-70776</Description>
    </_dlc_DocIdUrl>
  </documentManagement>
</p:properties>
</file>

<file path=customXml/itemProps1.xml><?xml version="1.0" encoding="utf-8"?>
<ds:datastoreItem xmlns:ds="http://schemas.openxmlformats.org/officeDocument/2006/customXml" ds:itemID="{131C2CDE-1F14-4576-98B1-F8D145CAEE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F724C-DC75-4A91-981E-6F191A09900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B8918D6-74DC-49C6-A661-F10A10FFCAC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26438AE-A744-4B62-B027-8795F548A639}">
  <ds:schemaRefs>
    <ds:schemaRef ds:uri="http://schemas.microsoft.com/office/2006/metadata/properties"/>
    <ds:schemaRef ds:uri="http://purl.org/dc/terms/"/>
    <ds:schemaRef ds:uri="5e47dd1e-c75c-4647-a38b-2c348db83d8f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85d7a996-4dca-498d-b2f5-99e3050e6495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Dashboard</vt:lpstr>
      <vt:lpstr>GN</vt:lpstr>
      <vt:lpstr>ST</vt:lpstr>
      <vt:lpstr>AR</vt:lpstr>
      <vt:lpstr>EL</vt:lpstr>
      <vt:lpstr>ME</vt:lpstr>
      <vt:lpstr>Telecom</vt:lpstr>
      <vt:lpstr>AR!Print_Area</vt:lpstr>
      <vt:lpstr>Dashboard!Print_Area</vt:lpstr>
      <vt:lpstr>EL!Print_Area</vt:lpstr>
      <vt:lpstr>GN!Print_Area</vt:lpstr>
      <vt:lpstr>ME!Print_Area</vt:lpstr>
      <vt:lpstr>ST!Print_Area</vt:lpstr>
      <vt:lpstr>Telecom!Print_Area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Elnoemani, Hazem</dc:creator>
  <cp:keywords/>
  <dc:description/>
  <cp:lastModifiedBy>Elnoemani, Hazem</cp:lastModifiedBy>
  <cp:revision/>
  <dcterms:created xsi:type="dcterms:W3CDTF">2026-10-07T07:11:29Z</dcterms:created>
  <dcterms:modified xsi:type="dcterms:W3CDTF">2026-10-12T07:00:58Z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2026-10-07T05:43:58Z</dcterms:created>
  <dc:creator>Elnoemani, Hazem</dc:creator>
  <dc:description/>
  <dc:language>en-US</dc:language>
  <cp:lastModifiedBy>Elnoemani, Hazem</cp:lastModifiedBy>
  <dcterms:modified xsi:type="dcterms:W3CDTF">2026-10-07T07:10:53Z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MediaServiceImageTags">
    <vt:lpwstr/>
  </property>
  <property fmtid="{D5CDD505-2E9C-101B-9397-08002B2CF9AE}" pid="4" name="_dlc_DocIdItemGuid">
    <vt:lpwstr>239117c2-6c60-4516-9dcc-ac4f20b4fe6d</vt:lpwstr>
  </property>
</Properties>
</file>