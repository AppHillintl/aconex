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1212) Airport/00.03 RFI/"/>
    </mc:Choice>
  </mc:AlternateContent>
  <xr:revisionPtr revIDLastSave="1950" documentId="13_ncr:1_{1F727A55-F660-4C68-B914-7F42146AF33F}" xr6:coauthVersionLast="47" xr6:coauthVersionMax="47" xr10:uidLastSave="{E394C774-B141-4EC8-BB92-48941D542570}"/>
  <bookViews>
    <workbookView xWindow="-28920" yWindow="-45" windowWidth="29040" windowHeight="15720" xr2:uid="{00000000-000D-0000-FFFF-FFFF00000000}"/>
  </bookViews>
  <sheets>
    <sheet name="RFI Action Register" sheetId="1" r:id="rId1"/>
    <sheet name="Original Source" sheetId="2" r:id="rId2"/>
  </sheets>
  <definedNames>
    <definedName name="_xlnm.Print_Area" localSheetId="0">'RFI Action Register'!$A$1:$P$253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K61" i="1"/>
  <c r="H254" i="1"/>
  <c r="K254" i="1"/>
  <c r="H148" i="1"/>
  <c r="K148" i="1"/>
  <c r="H60" i="1"/>
  <c r="K60" i="1"/>
  <c r="H147" i="1"/>
  <c r="K147" i="1"/>
  <c r="H146" i="1"/>
  <c r="K146" i="1"/>
  <c r="H145" i="1"/>
  <c r="K145" i="1"/>
  <c r="H144" i="1"/>
  <c r="K144" i="1"/>
  <c r="H143" i="1"/>
  <c r="K143" i="1"/>
  <c r="H142" i="1"/>
  <c r="K142" i="1"/>
  <c r="H198" i="1"/>
  <c r="K198" i="1"/>
  <c r="H134" i="1"/>
  <c r="K134" i="1"/>
  <c r="H141" i="1"/>
  <c r="K141" i="1"/>
  <c r="H140" i="1"/>
  <c r="K140" i="1"/>
  <c r="H139" i="1"/>
  <c r="K139" i="1"/>
  <c r="K193" i="1"/>
  <c r="H193" i="1"/>
  <c r="H197" i="1"/>
  <c r="K197" i="1"/>
  <c r="H196" i="1"/>
  <c r="K196" i="1"/>
  <c r="H138" i="1"/>
  <c r="K138" i="1"/>
  <c r="K136" i="1"/>
  <c r="H57" i="1"/>
  <c r="K57" i="1"/>
  <c r="H137" i="1"/>
  <c r="K137" i="1"/>
  <c r="H130" i="1"/>
  <c r="K130" i="1"/>
  <c r="H195" i="1"/>
  <c r="K195" i="1"/>
  <c r="H136" i="1"/>
  <c r="H59" i="1"/>
  <c r="K59" i="1"/>
  <c r="H194" i="1"/>
  <c r="K194" i="1"/>
  <c r="H116" i="1"/>
  <c r="K116" i="1"/>
  <c r="H135" i="1"/>
  <c r="K135" i="1"/>
  <c r="H191" i="1"/>
  <c r="K191" i="1"/>
  <c r="H102" i="1"/>
  <c r="K102" i="1"/>
  <c r="H95" i="1"/>
  <c r="K95" i="1"/>
  <c r="H133" i="1"/>
  <c r="K133" i="1"/>
  <c r="H131" i="1"/>
  <c r="H132" i="1"/>
  <c r="K131" i="1"/>
  <c r="K132" i="1"/>
  <c r="H85" i="1"/>
  <c r="K85" i="1"/>
  <c r="H129" i="1"/>
  <c r="K129" i="1"/>
  <c r="H58" i="1"/>
  <c r="K58" i="1"/>
  <c r="H192" i="1"/>
  <c r="K192" i="1"/>
  <c r="H190" i="1"/>
  <c r="K190" i="1"/>
  <c r="H253" i="1"/>
  <c r="H251" i="1"/>
  <c r="K251" i="1"/>
  <c r="H252" i="1"/>
  <c r="K252" i="1"/>
  <c r="H56" i="1"/>
  <c r="K56" i="1"/>
  <c r="H115" i="1"/>
  <c r="K115" i="1"/>
  <c r="H55" i="1"/>
  <c r="K55" i="1"/>
  <c r="H128" i="1"/>
  <c r="K128" i="1"/>
  <c r="H250" i="1"/>
  <c r="K250" i="1"/>
  <c r="H127" i="1"/>
  <c r="K127" i="1"/>
  <c r="H125" i="1"/>
  <c r="K125" i="1"/>
  <c r="H84" i="1"/>
  <c r="H189" i="1"/>
  <c r="K189" i="1"/>
  <c r="H54" i="1"/>
  <c r="K54" i="1"/>
  <c r="H107" i="1"/>
  <c r="K107" i="1"/>
  <c r="H112" i="1"/>
  <c r="K112" i="1"/>
  <c r="I50" i="1"/>
  <c r="L51" i="1"/>
  <c r="H126" i="1"/>
  <c r="K126" i="1"/>
  <c r="H53" i="1"/>
  <c r="I53" i="1" s="1"/>
  <c r="K53" i="1"/>
  <c r="I52" i="1"/>
  <c r="H124" i="1"/>
  <c r="K124" i="1"/>
  <c r="H32" i="1"/>
  <c r="K32" i="1"/>
  <c r="K122" i="1"/>
  <c r="H122" i="1"/>
  <c r="K123" i="1"/>
  <c r="H123" i="1"/>
  <c r="K51" i="1"/>
  <c r="H51" i="1"/>
  <c r="K52" i="1"/>
  <c r="H52" i="1"/>
  <c r="K48" i="1"/>
  <c r="H48" i="1"/>
  <c r="K121" i="1"/>
  <c r="H121" i="1"/>
  <c r="K179" i="1"/>
  <c r="H179" i="1"/>
  <c r="K118" i="1"/>
  <c r="H118" i="1"/>
  <c r="K119" i="1"/>
  <c r="H119" i="1"/>
  <c r="K120" i="1"/>
  <c r="H120" i="1"/>
  <c r="H50" i="1"/>
  <c r="K50" i="1"/>
  <c r="H49" i="1"/>
  <c r="K49" i="1"/>
  <c r="H114" i="1"/>
  <c r="K114" i="1"/>
  <c r="H117" i="1"/>
  <c r="K117" i="1"/>
  <c r="H188" i="1"/>
  <c r="K188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6" i="1"/>
  <c r="K87" i="1"/>
  <c r="K88" i="1"/>
  <c r="K89" i="1"/>
  <c r="K90" i="1"/>
  <c r="K91" i="1"/>
  <c r="K92" i="1"/>
  <c r="K93" i="1"/>
  <c r="K94" i="1"/>
  <c r="K96" i="1"/>
  <c r="K97" i="1"/>
  <c r="K98" i="1"/>
  <c r="K99" i="1"/>
  <c r="K100" i="1"/>
  <c r="K101" i="1"/>
  <c r="K103" i="1"/>
  <c r="K104" i="1"/>
  <c r="K105" i="1"/>
  <c r="K106" i="1"/>
  <c r="K108" i="1"/>
  <c r="K109" i="1"/>
  <c r="K110" i="1"/>
  <c r="K111" i="1"/>
  <c r="K113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80" i="1"/>
  <c r="K181" i="1"/>
  <c r="K182" i="1"/>
  <c r="K183" i="1"/>
  <c r="K184" i="1"/>
  <c r="K185" i="1"/>
  <c r="K186" i="1"/>
  <c r="K187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H113" i="1"/>
  <c r="H111" i="1"/>
  <c r="H110" i="1"/>
  <c r="H47" i="1"/>
  <c r="H109" i="1"/>
  <c r="H45" i="1"/>
  <c r="H46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40" i="1"/>
  <c r="H41" i="1"/>
  <c r="H42" i="1"/>
  <c r="H43" i="1"/>
  <c r="H44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6" i="1"/>
  <c r="H87" i="1"/>
  <c r="H88" i="1"/>
  <c r="H89" i="1"/>
  <c r="H90" i="1"/>
  <c r="H91" i="1"/>
  <c r="H92" i="1"/>
  <c r="H93" i="1"/>
  <c r="H94" i="1"/>
  <c r="H96" i="1"/>
  <c r="H97" i="1"/>
  <c r="H98" i="1"/>
  <c r="H99" i="1"/>
  <c r="H100" i="1"/>
  <c r="H101" i="1"/>
  <c r="H103" i="1"/>
  <c r="H104" i="1"/>
  <c r="H105" i="1"/>
  <c r="H106" i="1"/>
  <c r="H10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80" i="1"/>
  <c r="H181" i="1"/>
  <c r="H182" i="1"/>
  <c r="H183" i="1"/>
  <c r="H184" i="1"/>
  <c r="H185" i="1"/>
  <c r="H186" i="1"/>
  <c r="H187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" i="1"/>
  <c r="E2" i="1"/>
  <c r="D2" i="1"/>
  <c r="B2" i="1"/>
  <c r="N2" i="1" l="1"/>
</calcChain>
</file>

<file path=xl/sharedStrings.xml><?xml version="1.0" encoding="utf-8"?>
<sst xmlns="http://schemas.openxmlformats.org/spreadsheetml/2006/main" count="2153" uniqueCount="571">
  <si>
    <t>RFI Action Register – Airport Project</t>
  </si>
  <si>
    <t>Total RFIs</t>
  </si>
  <si>
    <t>Open</t>
  </si>
  <si>
    <t>TBC Route</t>
  </si>
  <si>
    <t>Overdue</t>
  </si>
  <si>
    <t>Purpose: keep the log simple — who does what, by when, and through which Aconex record.</t>
  </si>
  <si>
    <t>drop down NACO / HILL</t>
  </si>
  <si>
    <t>RFI No</t>
  </si>
  <si>
    <t>REF</t>
  </si>
  <si>
    <t>Subject</t>
  </si>
  <si>
    <t>Discipline</t>
  </si>
  <si>
    <t>Action By</t>
  </si>
  <si>
    <t>Required Action / Next Action</t>
  </si>
  <si>
    <t>Creation Date</t>
  </si>
  <si>
    <t>Due Date</t>
  </si>
  <si>
    <t>Date reply</t>
  </si>
  <si>
    <t>Date Sent to NACO</t>
  </si>
  <si>
    <t>NACO Due Date</t>
  </si>
  <si>
    <t>NACO Date Reply</t>
  </si>
  <si>
    <t>Aconex Ref.</t>
  </si>
  <si>
    <t>Status</t>
  </si>
  <si>
    <t>Mail no</t>
  </si>
  <si>
    <t>Remarks</t>
  </si>
  <si>
    <t>RFI-REH-AR01-OC-MOD-AR-0001</t>
  </si>
  <si>
    <t>P0153-K00146-REH International Airport Project –  Missing Standing Seam layers Specifications</t>
  </si>
  <si>
    <t>AR</t>
  </si>
  <si>
    <t>Closed / no action</t>
  </si>
  <si>
    <t>Closed</t>
  </si>
  <si>
    <t>MOD-RTRFI-000250</t>
  </si>
  <si>
    <t>NACO input required</t>
  </si>
  <si>
    <t>NACO</t>
  </si>
  <si>
    <t>Waiting NACO responded</t>
  </si>
  <si>
    <t>RFI-REH-AR01-OC-MOD-AR-0002</t>
  </si>
  <si>
    <t>P0153-K00146-REH International Airport Project – SANITARY DETAIL in the ABLUTION</t>
  </si>
  <si>
    <t>Hill to Respond</t>
  </si>
  <si>
    <t>HILL</t>
  </si>
  <si>
    <t xml:space="preserve">NACO responded </t>
  </si>
  <si>
    <t>RFI-REH-AR01-OC-MOD-AR-0003</t>
  </si>
  <si>
    <t>P0153-K00146-REH International Airport Project – Lighting poles RAL color</t>
  </si>
  <si>
    <t>Waiting HILL responded</t>
  </si>
  <si>
    <t>RFI-REH-AR01-OC-MOD-AR-0004</t>
  </si>
  <si>
    <t>P0153-K00146-REH International Airport Project – Reduction for Doors dimension</t>
  </si>
  <si>
    <t>HillInt-RTRFI-000026</t>
  </si>
  <si>
    <t xml:space="preserve">Hill Responded </t>
  </si>
  <si>
    <t>RFI-REH-AR01-OC-MOD-AR-0005</t>
  </si>
  <si>
    <t>REH International Airport Project – Missing structure support</t>
  </si>
  <si>
    <t>HillInt-RTRFI-000020</t>
  </si>
  <si>
    <t>HillInt-RTRFI-000048</t>
  </si>
  <si>
    <t>RFI-REH-AR01-OC-MOD-AR-0006</t>
  </si>
  <si>
    <t>REH International Airport Project – ARFF Station, Block Work Sizes</t>
  </si>
  <si>
    <t>HillInt-RTRFI-000009</t>
  </si>
  <si>
    <t>RFI-REH-AR01-OC-MOD-AR-0007</t>
  </si>
  <si>
    <t>REH International Airport Project – TPO Roof Waterproofing</t>
  </si>
  <si>
    <t>HillInt-RTRFI-000023</t>
  </si>
  <si>
    <t>RFI-REH-AR01-OC-MOD-AR-0008</t>
  </si>
  <si>
    <t>REH International Airport Project – Gate house 3 – louvers</t>
  </si>
  <si>
    <t>HillInt-RTRFI-000008</t>
  </si>
  <si>
    <t>RFI-REH-AR01-OC-MOD-AR-0009</t>
  </si>
  <si>
    <t>REH International Airport Project – Screed Layer</t>
  </si>
  <si>
    <t>HillInt-RTRFI-000058</t>
  </si>
  <si>
    <t>HillInt-RTRFI-000439</t>
  </si>
  <si>
    <t>RFI-REH-AR01-OC-MOD-AR-0010</t>
  </si>
  <si>
    <t>REH International Airport Project – Rockwool façade insulation clarification</t>
  </si>
  <si>
    <t>HillInt-RTRFI-000057</t>
  </si>
  <si>
    <t>RFI-REH-AR01-OC-MOD-AR-0011</t>
  </si>
  <si>
    <t>REH International Airport Project – screed – general inquiry</t>
  </si>
  <si>
    <t>HillInt-RTRFI-000046</t>
  </si>
  <si>
    <t>RFI-REH-AR01-OC-MOD-AR-0012</t>
  </si>
  <si>
    <t>REH International Airport Project – External Static Pressure calculations for Gate 01 &amp; 03 &amp; 04 &amp; Substation01 and 02 buildings</t>
  </si>
  <si>
    <t>HillInt-RTRFI-000044</t>
  </si>
  <si>
    <t>RFI-REH-AR01-OC-MOD-AR-0013</t>
  </si>
  <si>
    <t>REH International Airport Project – lav. tap conflict with the window</t>
  </si>
  <si>
    <t>HillInt-RTRFI-000043</t>
  </si>
  <si>
    <t>RFI-REH-AR01-OC-MOD-AR-0014</t>
  </si>
  <si>
    <t>REH International Airport Project – ARFF - Water Sprinkler System in ATM MER room MODIFICATION</t>
  </si>
  <si>
    <t>HillInt-RTRFI-000045</t>
  </si>
  <si>
    <t>RFI-REH-AR01-OC-MOD-AR-0015</t>
  </si>
  <si>
    <t>REH International Airport Project – Roller Shutter Doors Clarifications</t>
  </si>
  <si>
    <t>HillInt-RTRFI-000085</t>
  </si>
  <si>
    <t>RFI-REH-AR01-OC-MOD-AR-0016</t>
  </si>
  <si>
    <t>00</t>
  </si>
  <si>
    <t>RFI-REH-AR01-OC-MOD-AR-0016-00 - REH International Airport Project – Fire Hose Cabinet</t>
  </si>
  <si>
    <t>HillInt-RTRFI-000331</t>
  </si>
  <si>
    <t>RFI-REH-AR01-OC-MOD-AR-0017</t>
  </si>
  <si>
    <t>RFI-REH-AR01-OC-MOD-AR-0017-00 - REH International Airport Project – Discrepancy in heights of parapet walls at VVIP First floor</t>
  </si>
  <si>
    <t>HillInt-RTRFI-000358</t>
  </si>
  <si>
    <t>RFI-REH-AR01-OC-MOD-AR-0018</t>
  </si>
  <si>
    <t>REH International Airport Project – VVIP TERMINAL Finishing</t>
  </si>
  <si>
    <t>RFI-REH-AR01-OC-MOD-AR-0019</t>
  </si>
  <si>
    <t>RFI-REH-AR01-OC-MOD-AR-0019-00 - REH International Airport Project - ARFFS Finishing</t>
  </si>
  <si>
    <t>HillInt-RTRFI-000363</t>
  </si>
  <si>
    <t>RFI-REH-AR01-OC-MOD-AR-0020</t>
  </si>
  <si>
    <t>REH International Airport Project - Roofing and Coping and Façade System</t>
  </si>
  <si>
    <t>HillInt-RTRFI-000660</t>
  </si>
  <si>
    <t>To be categorized and assigned</t>
  </si>
  <si>
    <t>RFI-REH-AR01-OC-MOD-AR-0021</t>
  </si>
  <si>
    <t>REH International Airport Project - VVIP Stone Cladding Below Signage</t>
  </si>
  <si>
    <t>Waiting Hill responded</t>
  </si>
  <si>
    <t>RFI-REH-AR01-OC-MOD-AR-0022</t>
  </si>
  <si>
    <t>REH International Airport Project - Aluminum Curtain Wall</t>
  </si>
  <si>
    <t>NACO responded</t>
  </si>
  <si>
    <t>RFI-REH-AR01-OC-MOD-AR-0023</t>
  </si>
  <si>
    <t>REH International Airport Project – Laminate HPL</t>
  </si>
  <si>
    <t>RFI-REH-AR01-OC-MOD-AR-0024</t>
  </si>
  <si>
    <t>RFI-REH-AR01-OC-MOD-AR-0024-00 - REH International Airport Project – Clash between the ceiling level and the louver</t>
  </si>
  <si>
    <t>Hill</t>
  </si>
  <si>
    <t>Review and assign next action</t>
  </si>
  <si>
    <t>HillInt-RTRFI-000420</t>
  </si>
  <si>
    <t>RFI-REH-AR01-OC-MOD-AR-0025</t>
  </si>
  <si>
    <t>RFI-REH-AR01-OC-MOD-AR-0025-00 - REH International Airport Project – missed door (FSD01-1) for VVIP TERMINAL package-260505</t>
  </si>
  <si>
    <t>HillInt-RTRFI-000425</t>
  </si>
  <si>
    <t>RFI-REH-AR01-OC-MOD-AR-0026</t>
  </si>
  <si>
    <t>RFI-REH-AR01-OC-MOD-AR-0026-00 - REH International Airport Project – Finish and Foundation Coordination – VVIP Terminal - Basement Entrance</t>
  </si>
  <si>
    <t>RFI-REH-AR01-OC-MOD-AR-0027</t>
  </si>
  <si>
    <t>REH International Airport Project – Technical Coordination: Pavements, Waterproofing, and Slopes</t>
  </si>
  <si>
    <t>RFI-REH-AR01-OC-MOD-AR-0028</t>
  </si>
  <si>
    <t>RFI-REH-AR01-OC-MOD-AR-0028-00 - REH International Airport Project – Clash between ARCH-ID &amp; DOORS packages (STD01-1.pf)</t>
  </si>
  <si>
    <t xml:space="preserve"> NACO responded</t>
  </si>
  <si>
    <t>RFI-REH-AR01-OC-MOD-AR-0029</t>
  </si>
  <si>
    <t>REH International Airport Project – GUTTER NEW DIMENSIONS</t>
  </si>
  <si>
    <t>RFI-REH-AR01-OC-MOD-AR-0030</t>
  </si>
  <si>
    <t xml:space="preserve"> REH International Airport Project – Queries regarding Landscape Design</t>
  </si>
  <si>
    <t>RFI-REH-AR01-OC-MOD-AR-0031</t>
  </si>
  <si>
    <t>REH International Airport Project – Roofing Type for ARFF station &amp; Gatehouses</t>
  </si>
  <si>
    <t>RFI-REH-AR01-OC-MOD-AR-0032</t>
  </si>
  <si>
    <t>REH International Airport Project – Request for Approval to Replace Tilt-Up Door with Sectional Door</t>
  </si>
  <si>
    <t>RFI-REH-AR01-OC-MOD-AR-0033</t>
  </si>
  <si>
    <t>REH International Airport Project – Replace the honeycomb stone cladding for doors to painting</t>
  </si>
  <si>
    <t>RFI-REH-AR01-OC-MOD-AR-0034</t>
  </si>
  <si>
    <t>RFI-REH-AR01-OC-MOD-AR-0034-00 - REH International Airport Project - Clarification of Wall Type &amp; Flooring and Material Specification at Patio Area. IN (ARFFS)</t>
  </si>
  <si>
    <t>RFI-REH-AR01-OC-MOD-AR-0035</t>
  </si>
  <si>
    <t>RFI-REH-AR01-OC-MOD-AR-0035-00 - REH International Airport Project - Missing Ceiling Details and Specification Verification at External Area on axis (VP-X) / between (VP16) (VP17) in VVIP TERMINAL BUILDING</t>
  </si>
  <si>
    <t>RFI-REH-AR01-OC-MOD-AR-0036</t>
  </si>
  <si>
    <t>RFI-REH-AR01-OC-MOD-AR-0036-00 - REH International Airport Project - Lighting units around the VVIP building</t>
  </si>
  <si>
    <t>RFI-REH-AR01-OC-MOD-AR-0037</t>
  </si>
  <si>
    <t>RFI-REH-AR01-OC-MOD-AR-0037-00 - REH International Airport Project - Corner Washbasin for the ADA toilet at the ARFFS building and Washbasins for Gate House 3 and Chiller Plant</t>
  </si>
  <si>
    <t>RFI-REH-AR01-OC-MOD-AR-0038</t>
  </si>
  <si>
    <t>RFI-REH-AR01-OC-MOD-AR-0038-00 - REH International Airport Project - Discrepancy Between Design Drawing and Authority Requirement for Escape Stair Width- ARRFS</t>
  </si>
  <si>
    <t>RFI-REH-AR01-OC-MOD-AR-0038-01 - REH International Airport Project - Discrepancy Between Design Drawing and Authority Requirement for Escape Stair Width- ARRFS</t>
  </si>
  <si>
    <t>HillInt-RTRFI-000827</t>
  </si>
  <si>
    <t>RFI-REH-AR01-OC-MOD-AR-0039</t>
  </si>
  <si>
    <t>RFI-REH-AR01-OC-MOD-AR-0039-00 - REH International Airport Project - Discrepancy Between Shower Door Handle provided by Aedes and handle specified in HW schedules</t>
  </si>
  <si>
    <t>RFI-REH-AR01-OC-MOD-AR-0040</t>
  </si>
  <si>
    <t>RFI-REH-AR01-OC-MOD-AR-0040-00 - REH International Airport Project - Proposal to Revise Accessible Roof Build-Up for Protection of TPO Waterproofing</t>
  </si>
  <si>
    <t>RFI-REH-AR01-OC-MOD-AR-0041</t>
  </si>
  <si>
    <t>RFI-REH-AR01-OC-MOD-AR-0041-00 - REH International Airport Project - VVIP Terminal – DOORS IN ESCAPE ROUTE</t>
  </si>
  <si>
    <t>RFI-REH-AR01-OC-MOD-AR-0042</t>
  </si>
  <si>
    <t>RFI-REH-AR01-OC-MOD-AR-0042-00 - REH International Airport Project - VVIP Terminal – TIMBER DOORS – Perforated laser patterns</t>
  </si>
  <si>
    <t>RFI-REH-AR01-OC-MOD-AR-0043</t>
  </si>
  <si>
    <t xml:space="preserve">	RFI-REH-AR01-OC-MOD-AR-0043-00 - REH International Airport Project - VVIP Terminal - Compact wall-mounted unit with a Z-fold paper towel</t>
  </si>
  <si>
    <t>RFI-REH-AR01-OC-MOD-AR-0044</t>
  </si>
  <si>
    <t>RFI-REH-AR01-OC-MOD-AR-0044-00 - REH International Airport Project - Stainless-Steel Door Hardware</t>
  </si>
  <si>
    <t>RFI-REH-AR01-OC-MOD-AR-0045</t>
  </si>
  <si>
    <t>RFI-REH-AR01-OC-MOD-AR-0045-00 - REH International Airport Project – Missing Wall Finishes</t>
  </si>
  <si>
    <t>RFI-REH-AR01-OC-MOD-AR-0046</t>
  </si>
  <si>
    <t>Curtains, Ceiling and Wall Finishes</t>
  </si>
  <si>
    <t>RFI-REH-AR01-OC-MOD-AR-0047</t>
  </si>
  <si>
    <t>VVIP Terminal Ground Floor Expansion Joint</t>
  </si>
  <si>
    <t>HillInt-RTRFI-001235</t>
  </si>
  <si>
    <t>RFI-REH-AR01-OC-MOD-AR-0048</t>
  </si>
  <si>
    <t>Landscape Planter Boxes</t>
  </si>
  <si>
    <t xml:space="preserve"> RFI-REH-AR01-OC-MOD-AR-0049</t>
  </si>
  <si>
    <t xml:space="preserve"> VVIP TERMINAL (Main building) – ISSUING INTERIOR DESIGN - (Table description LO-04 / LO-04A)</t>
  </si>
  <si>
    <t>RFI-REH-AR01-OC-MOD-EL-0001</t>
  </si>
  <si>
    <t>P0153-K00146-REH International Airport Project - AGL manhole base and level</t>
  </si>
  <si>
    <t>EL</t>
  </si>
  <si>
    <t>RFI-REH-AR01-OC-MOD-EL-0002</t>
  </si>
  <si>
    <t>P0153-K00146-REH International Airport Project - M.V Switchgear Clarifications</t>
  </si>
  <si>
    <t>RFI-REH-AR01-OC-MOD-EL-0003</t>
  </si>
  <si>
    <t>P0153-K00146-REH International Airport Project - Insulation class for Standby generators</t>
  </si>
  <si>
    <t>RFI-REH-AR01-OC-MOD-EL-0004</t>
  </si>
  <si>
    <t>P0153-K00146-REH International Airport Project - Dry type transformers</t>
  </si>
  <si>
    <t>RFI-REH-AR01-OC-MOD-EL-0005</t>
  </si>
  <si>
    <t>P0153-K00146-REH International Airport Project - MV Network clarifications</t>
  </si>
  <si>
    <t>REH International Airport Project - MV Network clarifications</t>
  </si>
  <si>
    <t>RFI-REH-AR01-OC-MOD-EL-0006</t>
  </si>
  <si>
    <t>P0153-K00146-REH International Airport Project - M.V Cables</t>
  </si>
  <si>
    <t>RFI-REH-AR01-OC-MOD-EL-0007</t>
  </si>
  <si>
    <t>P0153-K00146-REH International Airport Project - ATS Ratings Availability</t>
  </si>
  <si>
    <t>RFI-REH-AR01-OC-MOD-EL-0008</t>
  </si>
  <si>
    <t>REH International Airport Project - ATS Ratings Availability</t>
  </si>
  <si>
    <t>RFI-REH-AR01-OC-MOD-EL-0009</t>
  </si>
  <si>
    <t>REH International Airport Project - Main Distribution Panel Final Design</t>
  </si>
  <si>
    <t>RFI-REH-AR01-OC-MOD-EL-0010</t>
  </si>
  <si>
    <t>REH International Airport Project - Lighting Fixture Clarifications</t>
  </si>
  <si>
    <t>RFI-REH-AR01-OC-MOD-EL-0011</t>
  </si>
  <si>
    <t>REH International Airport Project - ( 20 - 22 ) Workshop Follow up (Elec Items)</t>
  </si>
  <si>
    <t xml:space="preserve">RFI-REH-AR01-OC-MOD-EL-0011-01 - REH International Airport Project – Missing Electrical Information's </t>
  </si>
  <si>
    <t>RFI-REH-AR01-OC-MOD-EL-0012</t>
  </si>
  <si>
    <t>REH International Airport Project - Bus way - New added item</t>
  </si>
  <si>
    <t>RFI-REH-AR01-OC-MOD-EL-0013</t>
  </si>
  <si>
    <t>REH International Airport Project - poles lighting fixtures</t>
  </si>
  <si>
    <t>RFI-REH-AR01-OC-MOD-EL-0014</t>
  </si>
  <si>
    <t>REH International Airport Project –Lighting control system</t>
  </si>
  <si>
    <t>RFI-REH-AR01-OC-MOD-EL-0014-01 - REH International Airport Project – Lighting Control System</t>
  </si>
  <si>
    <t>RFI-REH-AR01-OC-MOD-EL-0015</t>
  </si>
  <si>
    <t>REH International Airport Project –Chiller plant electrical clarifications</t>
  </si>
  <si>
    <t>RFI-REH-AR01-OC-MOD-EL-0016</t>
  </si>
  <si>
    <t>RFI-REH-AR01-OC-MOD-EL-0016-00 - REH International Airport Project - Cable trays and Cable Trunks – Cables Arrangement</t>
  </si>
  <si>
    <t>26-4-2026</t>
  </si>
  <si>
    <t>RFI-REH-AR01-OC-MOD-EL-0017</t>
  </si>
  <si>
    <t>RFI-REH-AR01-OC-MOD-EL-0017-00 - REH International Airport Project - UPS centralized monitoring system</t>
  </si>
  <si>
    <t>21-4-2026</t>
  </si>
  <si>
    <t>RFI-REH-AR01-OC-MOD-EL-0018</t>
  </si>
  <si>
    <t>RFI-REH-AR01-OC-MOD-EL-0018-00 - REH International Airport Project - Electric Conduits – GI Conduits categorization</t>
  </si>
  <si>
    <t>20-4-2026</t>
  </si>
  <si>
    <t>RFI-REH-AR01-OC-MOD-EL-0019</t>
  </si>
  <si>
    <t>RFI-REH-AR01-OC-MOD-EL-0019+A61+C61:M92+A61+C61:M92+A61+C61:M92+C61:N92+A61+C61:M92</t>
  </si>
  <si>
    <t>RFI-REH-AR01-OC-MOD-EL-0019-01 - REH International Airport Project - Missing Information and design discrepancies in Main Intake Substation</t>
  </si>
  <si>
    <t>RFI-REH-AR01-OC-MOD-EL-0020</t>
  </si>
  <si>
    <t>RFI-REH-AR01-OC-MOD-EL-0020-00 - REH International Airport Project - Generator Room Ventilation Openings at Main Intake Substation &amp; Canopy cancellation in all indoor substations</t>
  </si>
  <si>
    <t>HillInt-RTRFI-000311</t>
  </si>
  <si>
    <t>RFI-REH-AR01-OC-MOD-EL-0021</t>
  </si>
  <si>
    <t>RFI-REH-AR01-OC-MOD-EL-0021-00 - REH International Airport Project - Optical Fiber backbone Network</t>
  </si>
  <si>
    <t>22-4-2026</t>
  </si>
  <si>
    <t>RFI-REH-AR01-OC-MOD-EL-0022</t>
  </si>
  <si>
    <t>RFI-REH-AR01-OC-MOD-EL-0022-00 - REH International Airport Project – UPS ratings</t>
  </si>
  <si>
    <t>HillInt-RTRFI-000332</t>
  </si>
  <si>
    <t>RFI-REH-AR01-OC-MOD-EL-0023</t>
  </si>
  <si>
    <t>RFI-REH-AR01-OC-MOD-EL-0023-00 - REH International Airport Project – MV Cable Routing</t>
  </si>
  <si>
    <t>HillInt-RTRFI-000276</t>
  </si>
  <si>
    <t>RFI-REH-AR01-OC-MOD-EL-0024</t>
  </si>
  <si>
    <t>RFI-REH-AR01-OC-MOD-EL-0024-00 - REH International Airport Project – REH International Airport Project – camera poles clarifications</t>
  </si>
  <si>
    <t>RFI-REH-AR01-OC-MOD-EL-0025</t>
  </si>
  <si>
    <t>RFI-REH-AR01-OC-MOD-EL-0025-00 - REH International Airport Project – ATS 400A integration with DB-UPS panels</t>
  </si>
  <si>
    <t>RFI-REH-AR01-OC-MOD-EL-0026</t>
  </si>
  <si>
    <t>REH International Airport Project – Overall Telecommunication Network</t>
  </si>
  <si>
    <t>HillInt-RTRFI-000385</t>
  </si>
  <si>
    <t>RFI-REH-AR01-OC-MOD-EL-0027</t>
  </si>
  <si>
    <t>Missing Conduit Path of Telecommunication Network at Airside</t>
  </si>
  <si>
    <t>HillInt-RTRFI-000393</t>
  </si>
  <si>
    <t>RFI-REH-AR01-OC-MOD-EL-0028</t>
  </si>
  <si>
    <t>RFI-REH-AR01-OC-MOD-EL-0028-00 - REH International Airport Project – Electrical &amp; ICT Rooms Issues at ARFF Building</t>
  </si>
  <si>
    <t>HillInt-RTRFI-000392</t>
  </si>
  <si>
    <t>Electrical Room Issues at ARFF Building</t>
  </si>
  <si>
    <t>RFI-REH-AR01-OC-MOD-EL-0029</t>
  </si>
  <si>
    <t>RFI-REH-AR01-OC-MOD-EL-0029-00 - REH International Airport Project – Missing BOH &amp; VVIP Roof Lighting fixtures cut sheets</t>
  </si>
  <si>
    <t>RFI-REH-AR01-OC-MOD-EL-0030</t>
  </si>
  <si>
    <t>RFI-REH-AR01-OC-MOD-EL-0030-00 - REH International Airport Project – Outdoor ATS Units Locations</t>
  </si>
  <si>
    <t>HillInt-RTRFI-000422</t>
  </si>
  <si>
    <t>RFI-REH-AR01-OC-MOD-EL-0031</t>
  </si>
  <si>
    <t>RFI-REH-AR01-OC-MOD-EL-0031-00 - REH International Airport Project – Clarification on Protection Device Ratings and Cable Sizing Discrepancies</t>
  </si>
  <si>
    <t>El</t>
  </si>
  <si>
    <t>RFI-REH-AR01-OC-MOD-EL-0032</t>
  </si>
  <si>
    <t>RFI-REH-AR01-OC-MOD-EL-0032-00 - REH International Airport Project – Proposed Use of Direct Buried Conduits Instead of Cable Tray/Cladding Arrangement</t>
  </si>
  <si>
    <t>RFI-REH-AR01-OC-MOD-EL-0033</t>
  </si>
  <si>
    <t>REH International Airport Project – Missing Service Sockets at Main Intake Substation</t>
  </si>
  <si>
    <t>Closed by mail 
by metting NACO</t>
  </si>
  <si>
    <t>RFI-REH-AR01-OC-MOD-EL-0034</t>
  </si>
  <si>
    <t>Missing Electrical Information's in Airside Substation 1</t>
  </si>
  <si>
    <t>Missing Electrical Information's in Airside
Substation 1&amp;2</t>
  </si>
  <si>
    <t>RFI-REH-AR01-OC-MOD-EL-0035</t>
  </si>
  <si>
    <t>RFI-REH-AR01-OC-MOD-EL-0035-00 - REH International Airport Project – Missing panel schedules in VVIP TERMINAL</t>
  </si>
  <si>
    <t>RFI-REH-AR01-OC-MOD-EL-0036</t>
  </si>
  <si>
    <t>RFI-REH-AR01-OC-MOD-EL-0036-00 - REH International Airport Project - Separate Earthing Systems for LV and MV Network as per BEDC Report</t>
  </si>
  <si>
    <t>RFI-REH-AR01-OC-MOD-EL-0037</t>
  </si>
  <si>
    <t xml:space="preserve">	RFI-REH-AR01-OC-MOD-EL-0037-00 - REH International Airport Project - DB-P.K Panel in VVIP TERMINAL</t>
  </si>
  <si>
    <t>RFI-REH-AR01-OC-MOD-EL-0038</t>
  </si>
  <si>
    <t>RFI-REH-AR01-OC-MOD-EL-0038-00 - REH International Airport Project - Location of ACC cabinets and required connections to TI and VDGS poles</t>
  </si>
  <si>
    <t>RFI-REH-AR01-OC-MOD-EL-0038-01 - REH International Airport Project - Location of ACC cabinets and required connections to TI and VDGS poles</t>
  </si>
  <si>
    <t>RFI-REH-AR01-OC-MOD-EL-0039</t>
  </si>
  <si>
    <t>RFI-REH-AR01-OC-MOD-EL-0039-00 - REH International Airport Project - Lightning Protection Copper Tape Routing Below Canopy / Shed</t>
  </si>
  <si>
    <t>RFI-REH-AR01-OC-MOD-EL-0040</t>
  </si>
  <si>
    <t>RFI-REH-AR01-OC-MOD-EL-0040-00 - REH International Airport Project - Clarification on Single-Phase UPS</t>
  </si>
  <si>
    <t>RFI-REH-AR01-OC-MOD-EL-0041</t>
  </si>
  <si>
    <t xml:space="preserve">	RFI-REH-AR01-OC-MOD-EL-0041-00 - REH International Airport Project - Clarification of Power Supply Source for Secondary Chilled Water Pumps</t>
  </si>
  <si>
    <t>RFI-REH-AR01-OC-MOD-EL-0042</t>
  </si>
  <si>
    <t>REH International Airport Project - Required Clarifications for LS1</t>
  </si>
  <si>
    <t xml:space="preserve">	RFI-REH-AR01-OC-MOD-EL-0042-01 - REH International Airport Project - Required Clarifications for LS1</t>
  </si>
  <si>
    <t>RFI-REH-AR01-OC-MOD-EL-0043</t>
  </si>
  <si>
    <t>REH International Airport Project - Lighting Control Clarifications</t>
  </si>
  <si>
    <t>RFI-REH-AR01-OC-MOD-EL-0044</t>
  </si>
  <si>
    <t xml:space="preserve"> REH International Airport Project - Clarification Required for LVDB-LS-PS3 Power Source and Connected Load</t>
  </si>
  <si>
    <t>Clarification Required for LVDB-LS-PS3 Power Source and Connected Load</t>
  </si>
  <si>
    <t>Clarification Required for 10 kVA UPS Associated with LVDBLS-
PS2 &amp; LVDB-LS-PS3</t>
  </si>
  <si>
    <t>RFI-REH-AR01-OC-MOD-EL-0045</t>
  </si>
  <si>
    <t>REH International Airport Project - Clarification of LV Cable Insulation Type for Apron Area</t>
  </si>
  <si>
    <t>RFI-REH-AR01-OC-MOD-EL-0046</t>
  </si>
  <si>
    <t xml:space="preserve">	RFI-REH-AR01-OC-MOD-EL-0046-00 - REH International Airport Project - FOH Wiring Devices</t>
  </si>
  <si>
    <t>RFI-REH-AR01-OC-MOD-EL-0047</t>
  </si>
  <si>
    <t>RFI-REH-AR01-OC-MOD-EL-0047-00 - REH International Airport Project - Lightning Cable size Conflict at VVIP Terminal, Gate 3 and 4</t>
  </si>
  <si>
    <t>RFI-REH-AR01-OC-MOD-EL-0048</t>
  </si>
  <si>
    <t xml:space="preserve">	RFI-REH-AR01-OC-MOD-EL-0048-00 - REH International Airport Project - Clarification of Power Cable Construction Requirements</t>
  </si>
  <si>
    <t>RFI-REH-AR01-OC-MOD-EL-0049</t>
  </si>
  <si>
    <t>RFI-REH-AR01-OC-MOD-EL-0049-00 - REH International Airport Project - Missing Main Intake Substation Updated Drawings</t>
  </si>
  <si>
    <t>RFI-REH-AR01-OC-MOD-EL-0050</t>
  </si>
  <si>
    <t>RFI-REH-AR01-OC-MOD-EL-0050-00 - REH International Airport Project - Chiller Planet MCC (Sec. Pumps)</t>
  </si>
  <si>
    <t>RFI-REH-AR01-OC-MOD-EL-0051</t>
  </si>
  <si>
    <t>RFI-REH-AR01-OC-MOD-EL-0051-00 - REH International Airport Project - Fire Pump Connection in PUMP STATION</t>
  </si>
  <si>
    <t>REH International Airport Project - Fire Pump Connection in PUMP STATION</t>
  </si>
  <si>
    <t>RFI-REH-AR01-OC-MOD-EL-0051-02 - REH International Airport Project - Fire Pump Connection in PUMP STATION</t>
  </si>
  <si>
    <t>RFI-REH-AR01-OC-MOD-EL-0052</t>
  </si>
  <si>
    <t>REH International Airport Project - Clarification Required for AGL Panels Supply at Substations 1 &amp; 2</t>
  </si>
  <si>
    <t>RFI-REH-AR01-OC-MOD-EL-0053</t>
  </si>
  <si>
    <t>REH International Airport Project - CCR ROOM &amp; ICT ROOM ACCESS CONTROL SYSTEM</t>
  </si>
  <si>
    <t>RFI-REH-AR01-OC-MOD-EL-0054</t>
  </si>
  <si>
    <t>RFI-REH-AR01-OC-MOD-EL-0054-00 - REH International Airport Project - PENSTOCK &amp; Spindle Valve Electrical Requirements</t>
  </si>
  <si>
    <t>RFI-REH-AR01-OC-MOD-EL-0055</t>
  </si>
  <si>
    <t>Landscape &amp; Facade Lighting Scope Clarification – VVIP TERMINAL</t>
  </si>
  <si>
    <t>Landscape &amp; Facade Lighting Scope Clarification - VVIP TERMINAL</t>
  </si>
  <si>
    <t>RFI-REH-AR01-OC-MOD-EL-0056</t>
  </si>
  <si>
    <t>PRELIMINARY CONCEPT FOR LANDSCAPE LIGHTING SHOPDRAWING</t>
  </si>
  <si>
    <t>RFI-REH-AR01-OC-MOD-EL-0057</t>
  </si>
  <si>
    <t xml:space="preserve"> Clarification Required MEF ACCESS CONTROL SYSTEM</t>
  </si>
  <si>
    <t>RFI-REH-AR01-OC-MOD-EL-0058</t>
  </si>
  <si>
    <t xml:space="preserve"> Discrepancies in lighting Design between Electrical and
architectural design drawings</t>
  </si>
  <si>
    <t>Discrepancies in lighting Design between Electrical and architectural design drawings</t>
  </si>
  <si>
    <t>RFI-REH-AR01-OC-MOD-EL-0059</t>
  </si>
  <si>
    <t>Clarification on Air Terminals Arrangement – Gate 1 &amp;
Gate 2 Lightning System</t>
  </si>
  <si>
    <t>RFI-REH-AR01-OC-MOD-EL-0060</t>
  </si>
  <si>
    <t>Clarification about Lift Stations Interface with BMS</t>
  </si>
  <si>
    <t>RFI-REH-AR01-OC-MOD-EL-0061</t>
  </si>
  <si>
    <t>Clarification About Master Clock System -VVIP Building</t>
  </si>
  <si>
    <t>RFI-REH-AR01-OC-MOD-EL-0062</t>
  </si>
  <si>
    <t>Clarification about Fire Alarm, Gas Supersession and BMS</t>
  </si>
  <si>
    <t>RFI-REH-AR01-OC-MOD-EL-0063</t>
  </si>
  <si>
    <t>Modification of Street Lighting Poles Due to Road Layout Modification</t>
  </si>
  <si>
    <t>RFI-REH-AR01-OC-MOD-EL-0064</t>
  </si>
  <si>
    <t>Clarification on PE Cable Insulation</t>
  </si>
  <si>
    <t>RFI-REH-AR01-OC-MOD-EL-0065</t>
  </si>
  <si>
    <t>Conflict between Approved Manufacturing shop drawings and BEDC Approval</t>
  </si>
  <si>
    <t>RFI-REH-AR01-OC-MOD-EL-0066</t>
  </si>
  <si>
    <t>Clarification on Electrical SLD - ATS Panels</t>
  </si>
  <si>
    <t>RFI-REH-AR01-OC-MOD-EL-0067</t>
  </si>
  <si>
    <t>BMS Network Connection to LS1</t>
  </si>
  <si>
    <t>RFI-REH-AR01-OC-MOD-EL-0068</t>
  </si>
  <si>
    <t xml:space="preserve"> Electrical Room Issues at Gatehouse VVIP Person (GH3)</t>
  </si>
  <si>
    <t>RFI-REH-AR01-OC-MOD-EL-0069</t>
  </si>
  <si>
    <t>Clarification about fire alarm above-ceiling detectors</t>
  </si>
  <si>
    <t>RFI-REH-AR01-OC-MOD-EL-0070</t>
  </si>
  <si>
    <t>Electrical Supply for Kitchen, Laundry and Pantry Loads</t>
  </si>
  <si>
    <t>RFI-REH-AR01-OC-MOD-EL-0071</t>
  </si>
  <si>
    <t>Clarification of FCP Locations and usage at ARFF</t>
  </si>
  <si>
    <t>RFI-REH-AR01-OC-MOD-ME-0001</t>
  </si>
  <si>
    <t>P0153-K00146-REH International Airport Project - Basement Floor Fire Hydrant</t>
  </si>
  <si>
    <t>ME</t>
  </si>
  <si>
    <t>RFI-REH-AR01-OC-MOD-ME-0002</t>
  </si>
  <si>
    <t>P0153-K00146-REH International Airport Project - Replacement of Fire Fighting Pipes</t>
  </si>
  <si>
    <t>RFI-REH-AR01-OC-MOD-ME-0003</t>
  </si>
  <si>
    <t>P0153-K00146-REH International Airport Project -  Replacement of Drainage Pipes Sizes</t>
  </si>
  <si>
    <t>RFI-REH-AR01-OC-MOD-ME-0004</t>
  </si>
  <si>
    <t>P0153-K00146-REH International Airport Project -  20% FCU units Increased capacity</t>
  </si>
  <si>
    <t>RFI-REH-AR01-OC-MOD-ME-0005</t>
  </si>
  <si>
    <t>P0153-K00146-REH International Airport Project -  Hydraulic re-calculation of primary chilled water pumps</t>
  </si>
  <si>
    <t>RFI-REH-AR01-OC-MOD-ME-0006</t>
  </si>
  <si>
    <t>P0153-K00146-REH International Airport Project -  changing storm connection pipe material</t>
  </si>
  <si>
    <t>RFI-REH-AR01-OC-MOD-ME-0007</t>
  </si>
  <si>
    <t>P0153-K00146-REH International Airport Project -  Conflict in BoQ quantities</t>
  </si>
  <si>
    <t>RFI-REH-AR01-OC-MOD-ME-0008</t>
  </si>
  <si>
    <t>P0153-K00146-REH International Airport Project -  Cavity for drainage pipe</t>
  </si>
  <si>
    <t>RFI-REH-AR01-OC-MOD-ME-0009</t>
  </si>
  <si>
    <t>P0153-K00146-REH International Airport Project -  Adding 150mm cavity wall</t>
  </si>
  <si>
    <t>RFI-REH-AR01-OC-MOD-ME-0010</t>
  </si>
  <si>
    <t>RFI-REH-AR01-OC-MOD-ME-0011</t>
  </si>
  <si>
    <t>REH International Airport Project -  Storm Drainage Clashing with Basement Walls</t>
  </si>
  <si>
    <t>RFI-REH-AR01-OC-MOD-ME-0012</t>
  </si>
  <si>
    <t>REH International Airport Project -  Hydraulic calculations for Chilled hot water Secondary and primary pumps – HVAC.</t>
  </si>
  <si>
    <t>RFI-REH-AR01-OC-MOD-ME-0013</t>
  </si>
  <si>
    <t>RFI-REH-AR01-OC-MOD-ME-0013-00 - REH International Airport Project – Airside Storm Ditch Conflict</t>
  </si>
  <si>
    <t>RFI-REH-AR01-OC-MOD-ME-0014</t>
  </si>
  <si>
    <t>RFI-REH-AR01-OC-MOD-ME-0014-00 - REH International Airport Project – Ambient Air Temperatures</t>
  </si>
  <si>
    <t>RFI-REH-AR01-OC-MOD-ME-0015</t>
  </si>
  <si>
    <t>RFI-REH-AR01-OC-MOD-ME-0015-00 - REH International Airport Project – Fire Pump</t>
  </si>
  <si>
    <t>RFI-REH-AR01-OC-MOD-ME-0016</t>
  </si>
  <si>
    <t>REH International Airport Project - VVIP – Additional lavatories drainage pipes at basement</t>
  </si>
  <si>
    <t>RFI-REH-AR01-OC-MOD-ME-0017</t>
  </si>
  <si>
    <t>REH International Airport Project – proposal of some unconnected storm pipes- VVIP building</t>
  </si>
  <si>
    <t>RFI-REH-AR01-OC-MOD-ME-0018</t>
  </si>
  <si>
    <t>REH International Airport Project – VVIP Terminal – Buffer Tank at Ground Floor</t>
  </si>
  <si>
    <t>HillInt-RTRFI-000330</t>
  </si>
  <si>
    <t>RFI-REH-AR01-OC-MOD-ME-0019</t>
  </si>
  <si>
    <t>REH International Airport Project – ESP- VVIP building</t>
  </si>
  <si>
    <t>RFI-REH-AR01-OC-MOD-ME-0020</t>
  </si>
  <si>
    <t>REH International Airport Project – ESP- Chiller plant</t>
  </si>
  <si>
    <t>RFI-REH-AR01-OC-MOD-ME-0021</t>
  </si>
  <si>
    <t>REH International Airport Project – ESP- Main Entry Facility</t>
  </si>
  <si>
    <t>RFI-REH-AR01-OC-MOD-ME-0022</t>
  </si>
  <si>
    <t>REH International Airport Project – ESP- Pump station</t>
  </si>
  <si>
    <t>RFI-REH-AR01-OC-MOD-ME-0023</t>
  </si>
  <si>
    <t>REH International Airport Project – ESP- Main Intake Substation Fans, AHUs and RTU units</t>
  </si>
  <si>
    <t>RFI-REH-AR01-OC-MOD-ME-0024</t>
  </si>
  <si>
    <t>REH International Airport Project – ESP- ARFFS Building for CRAC, Fans and DOAS Units</t>
  </si>
  <si>
    <t>RFI-REH-AR01-OC-MOD-ME-0025</t>
  </si>
  <si>
    <t>REH International Airport Project – STORM WATER DRAINAGE PIPE NETWORK MATERIAL REPLACEMENT (using pipe HDPE PN10 instead of PN16)</t>
  </si>
  <si>
    <t>HillInt-RTRFI-000329</t>
  </si>
  <si>
    <t>RFI-REH-AR01-OC-MOD-ME-0026</t>
  </si>
  <si>
    <t>REH International Airport Project - VVIP - Emergency Siphonic System Issue</t>
  </si>
  <si>
    <t>HillInt-RTRFI-000341</t>
  </si>
  <si>
    <t>RFI-REH-AR01-OC-MOD-ME-0027</t>
  </si>
  <si>
    <t>REH International Airport Project - Lift station data and storm water Ti-in issues</t>
  </si>
  <si>
    <t>RFI-REH-AR01-OC-MOD-ME-0028</t>
  </si>
  <si>
    <t>REH International Airport Project - SEWAGE NETWORK STILLING BASIN</t>
  </si>
  <si>
    <t>RFI-REH-AR01-OC-MOD-ME-0029</t>
  </si>
  <si>
    <t>REH International Airport Project - Mechanical clarification and issues inside Pump Station building</t>
  </si>
  <si>
    <t>RFI-REH-AR01-OC-MOD-ME-0030</t>
  </si>
  <si>
    <t>REH International Airport Project - Hydraulic calculations of Distribution chilled Cold and hot water pumps</t>
  </si>
  <si>
    <t>01</t>
  </si>
  <si>
    <t>RFI-REH-AR01-OC-MOD-ME-0030-01 - REH International Airport Project - Updated Hydraulic calculations for distribution chilled cold and hot water pumps</t>
  </si>
  <si>
    <t>RFI-REH-AR01-OC-MOD-ME-0031</t>
  </si>
  <si>
    <t>REH International Airport Project - VVIP AC AIR TERMINAL CLASHES ISSUE - ROOMS G1.18 &amp; G1.25</t>
  </si>
  <si>
    <t>RFI-REH-AR01-OC-MOD-ME-0032</t>
  </si>
  <si>
    <t>RFI-REH-AR01-OC-MOD-ME-0032-00 - REH International Airport Project - VVIP Storm network connection with the infra network</t>
  </si>
  <si>
    <t>RFI-REH-AR01-OC-MOD-ME-0033</t>
  </si>
  <si>
    <t>RFI-REH-AR01-OC-MOD-ME-0033-00 - REH International Airport Project - Airside Storm Network Queries</t>
  </si>
  <si>
    <t>HillInt-RTRFI-000494</t>
  </si>
  <si>
    <t>RFI-REH-AR01-OC-MOD-ME-0034</t>
  </si>
  <si>
    <t>RFI-REH-AR01-OC-MOD-ME-0034-00 - REH International Airport Project - Connection between Gutter and Manhole</t>
  </si>
  <si>
    <t xml:space="preserve"> send to naco </t>
  </si>
  <si>
    <t>RFI-REH-AR01-OC-MOD-ME-0035</t>
  </si>
  <si>
    <t>RFI-REH-AR01-OC-MOD-ME-0035-00 - REH International Airport Project - Changing storm drainage connection pipe material</t>
  </si>
  <si>
    <t>HillInt-RTRFI-000531</t>
  </si>
  <si>
    <t>RFI-REH-AR01-OC-MOD-ME-0036</t>
  </si>
  <si>
    <t>RFI-REH-AR01-OC-MOD-ME-0036-00 - REH International Airport Project - Replacement of Stainless Steel Pipes with Galvanized Steel Pipes</t>
  </si>
  <si>
    <t>HillInt-RTRFI-000540</t>
  </si>
  <si>
    <t>RFI-REH-AR01-OC-MOD-ME-0037</t>
  </si>
  <si>
    <t xml:space="preserve">	RFI-REH-AR01-OC-MOD-ME-0037-00 - REH International Airport Project - Hydraulic calculation of secondary chilled cold-water pumps</t>
  </si>
  <si>
    <t>RFI-REH-AR01-OC-MOD-ME-0038</t>
  </si>
  <si>
    <t>RFI-REH-AR01-OC-MOD-ME-0038-00 - REH International Airport Project - Clarification on BMS Requirement for Sitewide Reservoir and Pump Station</t>
  </si>
  <si>
    <t>RFI-REH-AR01-OC-MOD-ME-0039</t>
  </si>
  <si>
    <t>RFI-REH-AR01-OC-MOD-ME-0039-00 - REH International Airport Project - Inquiring About Wingwalls Function</t>
  </si>
  <si>
    <t>RFI-REH-AR01-OC-MOD-ME-0040</t>
  </si>
  <si>
    <t xml:space="preserve"> Stormwater Drainage Discharge for SUB-01 &amp; SUB-02</t>
  </si>
  <si>
    <t>RFI-REH-AR01-OC-MOD-ME-0041</t>
  </si>
  <si>
    <t>Inquiring about manholes cover and step ladder</t>
  </si>
  <si>
    <t>RFI-REH-AR01-OC-MOD-ME-0042</t>
  </si>
  <si>
    <t>updated External Static Pressure Calculations for CRAC Units in VVIP Building</t>
  </si>
  <si>
    <t>RFI-REH-AR01-OC-MOD-ME-0043</t>
  </si>
  <si>
    <t>contradictions between the sand trap louvers in Arch.Drawings and the Mechanical drawings</t>
  </si>
  <si>
    <t>RFI-REH-AR01-OC-MOD-ME-0044</t>
  </si>
  <si>
    <t>Main Intake Substation, the louvers schedules aremissing in Mechanical design drawings.</t>
  </si>
  <si>
    <t>RFI-REH-AR01-OC-MOD-ME-0045</t>
  </si>
  <si>
    <t>Mismatch between the capacities of the indoor and outdoor DX units in Main Intake Substation &amp; Main entry facility and Chiller plant buildings</t>
  </si>
  <si>
    <t>HillInt-GNC-003713</t>
  </si>
  <si>
    <t>RFI-REH-AR01-OC-MOD-ME-0046</t>
  </si>
  <si>
    <t>Split air conditioner units at all buildings</t>
  </si>
  <si>
    <t>RFI-REH-AR01-OC-MOD-ME-0047</t>
  </si>
  <si>
    <t>Automatic fire protection system Missing in the generator rooms at Main Intake Substation, Substation 01 and Substation 02 buildings</t>
  </si>
  <si>
    <t>RFI-REH-AR01-OC-MOD-ME-0048</t>
  </si>
  <si>
    <t>Scour Valve Drainage</t>
  </si>
  <si>
    <t>RFI-REH-AR01-OC-MOD-CI-0001</t>
  </si>
  <si>
    <t>Gypsum Content in the Proposed fill material</t>
  </si>
  <si>
    <t>Structural</t>
  </si>
  <si>
    <t>P0153-K00146-REH International Airport Project - Gypsum Content in the Proposed fill material</t>
  </si>
  <si>
    <t>RFI-REH-AR01-OC-MOD-CI-0002</t>
  </si>
  <si>
    <t>P0153-K00146-REH International Airport Project - Asphalt Surface Preliminary Material Acceptance</t>
  </si>
  <si>
    <t>Cancelled</t>
  </si>
  <si>
    <t>RFI-REH-AR01-OC-MOD-CI-0003</t>
  </si>
  <si>
    <t>P0153-K00146-REH International Airport Project – Local Bituminous Base Material Test Results</t>
  </si>
  <si>
    <t>RFI-REH-AR01-OC-MOD-CI-0004</t>
  </si>
  <si>
    <t>P0153-K00146-REH International Airport Project – Substitution of Waterproofing Material</t>
  </si>
  <si>
    <t>RFI-REH-AR01-OC-MOD-CI-0005</t>
  </si>
  <si>
    <t>P0153-K00146-REH International Airport Project – Proposal to Unify PMA Performance Grade for Asphalt Base and Surface Courses</t>
  </si>
  <si>
    <t>RFI-REH-AR01-OC-MOD-CI-0006</t>
  </si>
  <si>
    <t>P0153-K00146-REH International Airport Project – Precast Concrete Pipes for Future Utilities Runway Crossings</t>
  </si>
  <si>
    <t>RFI-REH-AR01-OC-MOD-CI-0007</t>
  </si>
  <si>
    <t>P0153-K00146-REH International Airport Project – Civil Works– AGL Duct Banks</t>
  </si>
  <si>
    <t>RFI-REH-AR01-OC-MOD-CI-0008</t>
  </si>
  <si>
    <t>P0153-K00146-REH International Airport Project – Cable Conduit Installation within Concrete Pavement for 8” AGL Fixtures</t>
  </si>
  <si>
    <t>RFI-REH-AR01-OC-MOD-CI-0009</t>
  </si>
  <si>
    <t>P0153-K00146-REH International Airport Project – Backstay at Chain Link fencing</t>
  </si>
  <si>
    <t>RFI-REH-AR01-OC-MOD-CI-0010</t>
  </si>
  <si>
    <t>P0153-K00146-REH International Airport Project – Excavation and Fill for Buildings Specification test frequencies</t>
  </si>
  <si>
    <t>RFI-REH-AR01-OC-MOD-CI-0011</t>
  </si>
  <si>
    <t>P0153-K00146-REH International Airport Project – Airside Substation Buildings floor finish level</t>
  </si>
  <si>
    <t>RFI-REH-AR01-OC-MOD-CI-0012</t>
  </si>
  <si>
    <t>P0153-K00146-REH International Airport Project – Proposal of Waterproofing Material</t>
  </si>
  <si>
    <t>RFI-REH-AR01-OC-MOD-CI-0013</t>
  </si>
  <si>
    <t>P0153-K00146-REH International Airport Project –  Airside/Landside Gatehouse01&amp;02 profile substitution</t>
  </si>
  <si>
    <t>RFI-REH-AR01-OC-MOD-CI-0014</t>
  </si>
  <si>
    <t>P0153-K00146-REH International Airport Project –  Gatehouses and ARFF painting system</t>
  </si>
  <si>
    <t>P0153-K00146-REH International Airport Project – RAL NO. FOR STEEL STRUCTURES</t>
  </si>
  <si>
    <t>RFI-REH-AR01-OC-MOD-CI-0015</t>
  </si>
  <si>
    <t>P0153-K00146-REH International Airport Project –  Gatehouse - PIPE 139.7 X 5mm profile substitution</t>
  </si>
  <si>
    <t>RFI-REH-AR01-OC-MOD-CI-0016</t>
  </si>
  <si>
    <t>P0153-K00146-REH International Airport Project –  GATHOUSE - VVIP STAFF AND GOODS (G4) profile substitution</t>
  </si>
  <si>
    <t>RFI-REH-AR01-OC-MOD-CI-0017</t>
  </si>
  <si>
    <t>P0153-K00146-REH International Airport Project –  Confining Walls for Backfilling</t>
  </si>
  <si>
    <t>RFI-REH-AR01-OC-MOD-CI-0018</t>
  </si>
  <si>
    <t>P0153-K00146-REH International Airport Project –  FS1 Slab Water Proofing</t>
  </si>
  <si>
    <t>RFI-REH-AR01-OC-MOD-CI-0019</t>
  </si>
  <si>
    <t>P0153-K00146-REH International Airport Project –  Missing RFT details for concrete beam</t>
  </si>
  <si>
    <t>RFI-REH-AR01-OC-MOD-CI-0020</t>
  </si>
  <si>
    <t>P0153-K00146-REH International Airport Project –  Alternative Proposals for Ground Floor Suspended Slab</t>
  </si>
  <si>
    <t>RFI-REH-AR01-OC-MOD-CI-0021</t>
  </si>
  <si>
    <t>P0153-K00146-REH International Airport Project –  Alternative Proposals for Apron Storm Drainage</t>
  </si>
  <si>
    <t>RFI-REH-AR01-OC-MOD-CI-0022</t>
  </si>
  <si>
    <t>P0153-K00146-REH International Airport Project –  Missing Vertical Stirrups in Corbel Reinforcement</t>
  </si>
  <si>
    <t>RFI-REH-AR01-OC-MOD-CI-0023</t>
  </si>
  <si>
    <t>P0153-K00146-REH International Airport Project –  VVIP-terminal Steel Structure Fire Protection Requirements</t>
  </si>
  <si>
    <t>REH International Airport Project – Fireproofing Clarification (Gatehouses &amp; ARFF)</t>
  </si>
  <si>
    <t>RFI-REH-AR01-OC-MOD-CI-0024</t>
  </si>
  <si>
    <t>P0153-K00146-REH International Airport Project –  Query to extend the Raft underneath the cable trench and proposal for isolate the Ground slab from the Cable trench</t>
  </si>
  <si>
    <t>RFI-REH-AR01-OC-MOD-CI-0025</t>
  </si>
  <si>
    <t>P0153-K00146-REH International Airport Project –  Ablution Area Grating Drop Not Reflected in Structural DWG</t>
  </si>
  <si>
    <t>RFI-REH-AR01-OC-MOD-CI-0026</t>
  </si>
  <si>
    <t>P0153-K00146-REH International Airport Project –  Landside Bill of Quantities comments</t>
  </si>
  <si>
    <t>RFI-REH-AR01-OC-MOD-CI-0027</t>
  </si>
  <si>
    <t>P0153-K00146-REH International Airport Project –  finishes for roof support</t>
  </si>
  <si>
    <t>RFI-REH-AR01-OC-MOD-CI-0028</t>
  </si>
  <si>
    <t>P0153-K00146-REH International Airport Project –  VVIP TERMINAL GATEHOUSE - VVIP PERSON (G3) anchors shifting</t>
  </si>
  <si>
    <t>RFI-REH-AR01-OC-MOD-CI-0029</t>
  </si>
  <si>
    <t>P0153-K00146-REH International Airport Project –  Missing Details of Apron Storm Drainage</t>
  </si>
  <si>
    <t>RFI-REH-AR01-OC-MOD-CI-0030</t>
  </si>
  <si>
    <t>P0153-K00146-REH International Airport Project –  Pavement Marking Draft Specifications Comments</t>
  </si>
  <si>
    <t>RFI-REH-AR01-OC-MOD-CI-0031</t>
  </si>
  <si>
    <t>REH International Airport Project – Main Intake Substation – Multiple Queries</t>
  </si>
  <si>
    <t>RFI-REH-AR01-OC-MOD-CI-0032</t>
  </si>
  <si>
    <t>REH International Airport Project – Site Drainage Works – Conflicts in Details</t>
  </si>
  <si>
    <t>RFI-REH-AR01-OC-MOD-CI-0033</t>
  </si>
  <si>
    <t>REH International Airport Project – Climate Conditions in Joint Sealant Specifications</t>
  </si>
  <si>
    <t>RFI-REH-AR01-OC-MOD-CI-0034</t>
  </si>
  <si>
    <t>RFI-REH-AR01-OC-MOD-CI-0034-00 - REH International Airport Project – Chiller Plant - Staircase Structural Clarifications</t>
  </si>
  <si>
    <t>RFI-REH-AR01-OC-MOD-CI-0035</t>
  </si>
  <si>
    <t>RFI-REH-AR01-OC-MOD-CI-0035-00 - REH International Airport Project – Storm Concrete Ditch Missing Information</t>
  </si>
  <si>
    <t>RFI-REH-AR01-OC-MOD-CI-0036</t>
  </si>
  <si>
    <t>REH International Airport Project - gatehouse 03&amp;04- proposed connection for G03&amp;G04 NACO update</t>
  </si>
  <si>
    <t>HillInt-RTRFI-000209</t>
  </si>
  <si>
    <t>RFI-REH-AR01-OC-MOD-CI-0037</t>
  </si>
  <si>
    <t>REH International Airport Project – Missing Details for Wing Walls</t>
  </si>
  <si>
    <t>HillInt-RTRFI-000272</t>
  </si>
  <si>
    <t>RFI-REH-AR01-OC-MOD-CI-0038</t>
  </si>
  <si>
    <t>REH International Airport Project – AGL at Runway Over-Run Parts</t>
  </si>
  <si>
    <t>HillInt-RTRFI-000315</t>
  </si>
  <si>
    <t>RFI-REH-AR01-OC-MOD-CI-0039</t>
  </si>
  <si>
    <t>REH International Airport Project – Discrepancy in Wing Wall Details</t>
  </si>
  <si>
    <t>HillInt-RTRFI-000345</t>
  </si>
  <si>
    <t>RFI-REH-AR01-OC-MOD-CI-0040</t>
  </si>
  <si>
    <t>REH International Airport Project – Perimeter Wall Fence</t>
  </si>
  <si>
    <t>HillInt-RTRFI-000340</t>
  </si>
  <si>
    <t>RFI-REH-AR01-OC-MOD-CI-0040-01</t>
  </si>
  <si>
    <t>RFI-REH-AR01-OC-MOD-CI-0041</t>
  </si>
  <si>
    <t>REH International Airport Project – VVIP Terminal Building Expansion Joint Location</t>
  </si>
  <si>
    <t>RFI-REH-AR01-OC-MOD-CI-0042</t>
  </si>
  <si>
    <t>REH International Airport Project – Material Specifications Clarification</t>
  </si>
  <si>
    <t>RFI-REH-AR01-OC-MOD-CI-0043</t>
  </si>
  <si>
    <t>RFI-REH-AR01-OC-MOD-CI-0043-00 - REH International Airport Project – Queries regarding Civil Works for Site Utilities</t>
  </si>
  <si>
    <t>HillInt-RTRFI-000437</t>
  </si>
  <si>
    <t>RFI-REH-AR01-OC-MOD-CI-0044</t>
  </si>
  <si>
    <t>RFI-REH-AR01-OC-MOD-CI-0044-00 - REH International Airport Project – Missing Stair in STR Drawing</t>
  </si>
  <si>
    <t>RFI-REH-AR01-OC-MOD-CI-0045</t>
  </si>
  <si>
    <t>RFI-REH-AR01-OC-MOD-CI-0045-00 - REH International Airport Project – Site modifications</t>
  </si>
  <si>
    <t>HillInt-RTRFI-000451</t>
  </si>
  <si>
    <t>RFI-REH-AR01-OC-MOD-CI-0046</t>
  </si>
  <si>
    <t>RFI-REH-AR01-OC-MOD-CI-0046-00 - REH International Airport Project – Clarification Required for Wing Wall for Ditches Airside</t>
  </si>
  <si>
    <t>RFI-REH-AR01-OC-MOD-CI-0047</t>
  </si>
  <si>
    <t>Missing Reinforcement Details for Various Elements</t>
  </si>
  <si>
    <t>RFI-REH-AR01-OC-MOD-CI-0048</t>
  </si>
  <si>
    <t xml:space="preserve"> Clash Between VVIP Wing Wall 01 Foundation and Landscape Retaining Wall</t>
  </si>
  <si>
    <t>RFI-REH-AR01-OC-MOD-CI-0049</t>
  </si>
  <si>
    <t>RFI-REH-AR01-OC-MOD-CI-0049-00 - REH International Airport Project – Replacing Reinforcement Diameter for Various Elements</t>
  </si>
  <si>
    <t>RFI-REH-AR01-OC-MOD-CI-0050</t>
  </si>
  <si>
    <t>Storm Water Drainage Outfall Structure Detail for (CD-MH-312, CD-MH-313 &amp; CD-MH-353)</t>
  </si>
  <si>
    <t>Request For Information Log  Airport Project</t>
  </si>
  <si>
    <t>Response </t>
  </si>
  <si>
    <t>HILL To NACO</t>
  </si>
  <si>
    <t>Hill to OC</t>
  </si>
  <si>
    <t>Response by</t>
  </si>
  <si>
    <t>All</t>
  </si>
  <si>
    <t>Mail No</t>
  </si>
  <si>
    <t>Rev.</t>
  </si>
  <si>
    <t>Received Date</t>
  </si>
  <si>
    <t>Priority</t>
  </si>
  <si>
    <t>Issue Date</t>
  </si>
  <si>
    <t>Statuse</t>
  </si>
  <si>
    <t>CCCEGY-RFI-000001</t>
  </si>
  <si>
    <t>CCCEGY-RFI-000002</t>
  </si>
  <si>
    <t>RFI-REH-AR01-OC-MOD-EL-0019-00 - REH International Airport Project - Missing Information and design discrepancies in Main Intake Substation</t>
  </si>
  <si>
    <t>OPEN</t>
  </si>
  <si>
    <t>HillInt-RTRFI-000313</t>
  </si>
  <si>
    <t>RFI-REH-AR01-OC-MOD-AR-0024-00</t>
  </si>
  <si>
    <t>Eng.Menna 
Eng.a.salama
Eng. Ramy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</si>
</sst>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1">
    <font>
      <sz val="11"/>
      <name val="Carlito"/>
    </font>
    <font>
      <b/>
      <sz val="15"/>
      <color rgb="FFFFFFFF"/>
      <name val="Carlito"/>
    </font>
    <font>
      <b/>
      <sz val="11"/>
      <color rgb="FF1F2937"/>
      <name val="Carlito"/>
    </font>
    <font>
      <i/>
      <sz val="10"/>
      <color rgb="FF374151"/>
      <name val="Carlito"/>
    </font>
    <font>
      <b/>
      <sz val="11"/>
      <color rgb="FFFFFFFF"/>
      <name val="Carlito"/>
    </font>
    <font>
      <sz val="10"/>
      <color rgb="FF111827"/>
      <name val="Carlito"/>
    </font>
    <font>
      <sz val="8"/>
      <name val="Carlito"/>
    </font>
    <font>
      <sz val="12"/>
      <color theme="1"/>
      <name val="Calibri"/>
      <family val="2"/>
      <scheme val="minor"/>
    </font>
    <font>
      <sz val="11"/>
      <color rgb="FF333333"/>
      <name val="Helvetica"/>
      <charset val="1"/>
    </font>
    <font>
      <sz val="12"/>
      <name val="Aptos"/>
      <family val="2"/>
      <charset val="1"/>
    </font>
    <font>
      <sz val="11"/>
      <color rgb="FF242424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243B5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4" fillId="6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5" fontId="7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vertical="top" wrapText="1"/>
    </xf>
    <xf numFmtId="15" fontId="7" fillId="0" borderId="5" xfId="0" applyNumberFormat="1" applyFont="1" applyBorder="1" applyAlignment="1">
      <alignment horizontal="center" vertical="center" wrapText="1"/>
    </xf>
    <xf numFmtId="15" fontId="7" fillId="0" borderId="6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center" vertical="center" wrapText="1"/>
    </xf>
    <xf numFmtId="15" fontId="7" fillId="0" borderId="9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top" wrapText="1"/>
    </xf>
    <xf numFmtId="0" fontId="7" fillId="0" borderId="9" xfId="0" applyFont="1" applyBorder="1" applyAlignment="1">
      <alignment horizontal="center" vertical="center" wrapText="1"/>
    </xf>
    <xf numFmtId="0" fontId="0" fillId="7" borderId="0" xfId="0" applyFill="1"/>
    <xf numFmtId="15" fontId="7" fillId="0" borderId="10" xfId="0" applyNumberFormat="1" applyFont="1" applyBorder="1" applyAlignment="1">
      <alignment horizontal="center" vertical="center" wrapText="1"/>
    </xf>
    <xf numFmtId="14" fontId="7" fillId="0" borderId="6" xfId="0" applyNumberFormat="1" applyFont="1" applyBorder="1" applyAlignment="1">
      <alignment horizontal="center" vertical="center" wrapText="1"/>
    </xf>
    <xf numFmtId="15" fontId="7" fillId="0" borderId="4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8" borderId="3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15" fontId="7" fillId="9" borderId="9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5" fontId="7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</cellXfs>
  <cellStyles count="1">
    <cellStyle name="Normal" xfId="0" builtinId="0"/>
  </cellStyles>
  <dxfs count="2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666666"/>
      </font>
      <fill>
        <patternFill patternType="solid">
          <bgColor rgb="FFE7E6E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FIActionRegister" displayName="RFIActionRegister" ref="A5:P254">
  <autoFilter ref="A5:P254" xr:uid="{00000000-000C-0000-FFFF-FFFF00000000}">
    <filterColumn colId="13">
      <filters>
        <filter val="Open"/>
      </filters>
    </filterColumn>
  </autoFilter>
  <tableColumns count="16">
    <tableColumn id="1" xr3:uid="{00000000-0010-0000-0000-000001000000}" name="RFI No" dataDxfId="15"/>
    <tableColumn id="11" xr3:uid="{08A91F4B-44E6-4EE4-A5B4-0FAFAE2D484A}" name="REF" dataDxfId="14"/>
    <tableColumn id="2" xr3:uid="{00000000-0010-0000-0000-000002000000}" name="Subject" dataDxfId="13"/>
    <tableColumn id="3" xr3:uid="{00000000-0010-0000-0000-000003000000}" name="Discipline" dataDxfId="12"/>
    <tableColumn id="5" xr3:uid="{00000000-0010-0000-0000-000005000000}" name="Action By" dataDxfId="11"/>
    <tableColumn id="6" xr3:uid="{00000000-0010-0000-0000-000006000000}" name="Required Action / Next Action" dataDxfId="10"/>
    <tableColumn id="12" xr3:uid="{DD4D5A7E-85FA-4A7C-8ED6-9447DBD389DA}" name="Creation Date" dataDxfId="9"/>
    <tableColumn id="7" xr3:uid="{00000000-0010-0000-0000-000007000000}" name="Due Date" dataDxfId="8">
      <calculatedColumnFormula>RFIActionRegister[[#This Row],[Creation Date]]+3</calculatedColumnFormula>
    </tableColumn>
    <tableColumn id="16" xr3:uid="{4D81FF43-1BC6-4E20-8502-3A76B5E6625C}" name="Date reply" dataDxfId="7"/>
    <tableColumn id="15" xr3:uid="{501ACD20-6A97-4042-96EC-0236B8330B00}" name="Date Sent to NACO" dataDxfId="6"/>
    <tableColumn id="13" xr3:uid="{68528FF8-C842-4A4A-B9D6-10B2E363DCFB}" name="NACO Due Date" dataDxfId="5">
      <calculatedColumnFormula>IF(RFIActionRegister[[#This Row],[Date Sent to NACO]]="","",RFIActionRegister[[#This Row],[Date Sent to NACO]]+1)</calculatedColumnFormula>
    </tableColumn>
    <tableColumn id="17" xr3:uid="{9796CD86-D4B4-4B21-AE8D-248E1A897A91}" name="NACO Date Reply" dataDxfId="4"/>
    <tableColumn id="8" xr3:uid="{00000000-0010-0000-0000-000008000000}" name="Aconex Ref." dataDxfId="3"/>
    <tableColumn id="9" xr3:uid="{00000000-0010-0000-0000-000009000000}" name="Status" dataDxfId="2"/>
    <tableColumn id="14" xr3:uid="{B05F2FBC-8F1F-4D60-B232-2E138C27FD55}" name="Mail no" dataDxfId="1"/>
    <tableColumn id="10" xr3:uid="{00000000-0010-0000-0000-00000A000000}" name="Re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7"/>
  <sheetViews>
    <sheetView tabSelected="1" view="pageBreakPreview" zoomScale="70" zoomScaleNormal="70" zoomScaleSheetLayoutView="70" workbookViewId="0">
      <pane ySplit="5" topLeftCell="D60" activePane="bottomLeft" state="frozen"/>
      <selection pane="bottomLeft" activeCell="F262" sqref="F262"/>
    </sheetView>
  </sheetViews>
  <sheetFormatPr defaultRowHeight="14.25" customHeight="1"/>
  <cols>
    <col min="1" max="1" width="35.75" style="8" customWidth="1"/>
    <col min="2" max="2" width="7.625" style="8" customWidth="1"/>
    <col min="3" max="3" width="70" style="11" customWidth="1"/>
    <col min="4" max="4" width="16.875" style="8" bestFit="1" customWidth="1"/>
    <col min="5" max="5" width="18" customWidth="1"/>
    <col min="6" max="6" width="23.75" style="43" customWidth="1"/>
    <col min="7" max="7" width="21" style="8" bestFit="1" customWidth="1"/>
    <col min="8" max="12" width="13" customWidth="1"/>
    <col min="13" max="13" width="17.875" customWidth="1"/>
    <col min="14" max="14" width="14" style="8" customWidth="1"/>
    <col min="15" max="15" width="18.125" style="8" customWidth="1"/>
    <col min="16" max="16" width="28.75" customWidth="1"/>
  </cols>
  <sheetData>
    <row r="1" spans="1:28" ht="22.3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</row>
    <row r="2" spans="1:28" ht="19.149999999999999" customHeight="1">
      <c r="A2" s="39" t="s">
        <v>1</v>
      </c>
      <c r="B2" s="13">
        <f>COUNTA(A6:A1099)</f>
        <v>249</v>
      </c>
      <c r="C2" s="1" t="s">
        <v>2</v>
      </c>
      <c r="D2" s="12">
        <f>COUNTIF(N6:N1099,"Open")</f>
        <v>3</v>
      </c>
      <c r="E2" s="12">
        <f>COUNTIF(N6:N1099,"Closed")</f>
        <v>245</v>
      </c>
      <c r="F2" s="1" t="s">
        <v>3</v>
      </c>
      <c r="G2" s="1"/>
      <c r="H2" s="12" t="e">
        <f>COUNTIF(#REF!,"TBC")</f>
        <v>#REF!</v>
      </c>
      <c r="I2" s="12"/>
      <c r="J2" s="12"/>
      <c r="K2" s="12"/>
      <c r="L2" s="12"/>
      <c r="M2" s="1" t="s">
        <v>4</v>
      </c>
      <c r="N2" s="12">
        <f ca="1">COUNTIFS(H6:H1099,"&lt;"&amp;TODAY(),N6:N1099,"&lt;&gt;Closed",N6:N1099,"&lt;&gt;Cancelled")</f>
        <v>3</v>
      </c>
      <c r="O2" s="12"/>
    </row>
    <row r="3" spans="1:28" ht="17.649999999999999" customHeight="1">
      <c r="A3" s="55" t="s">
        <v>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28" ht="14.25" customHeight="1">
      <c r="F4" s="43" t="s">
        <v>6</v>
      </c>
    </row>
    <row r="5" spans="1:28" ht="24" customHeight="1">
      <c r="A5" s="40" t="s">
        <v>7</v>
      </c>
      <c r="B5" s="2" t="s">
        <v>8</v>
      </c>
      <c r="C5" s="9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</row>
    <row r="6" spans="1:28" ht="27.2" hidden="1" customHeight="1">
      <c r="A6" s="17" t="s">
        <v>23</v>
      </c>
      <c r="B6" s="18">
        <v>0</v>
      </c>
      <c r="C6" s="19" t="s">
        <v>24</v>
      </c>
      <c r="D6" s="17" t="s">
        <v>25</v>
      </c>
      <c r="E6" s="21"/>
      <c r="F6" s="41" t="s">
        <v>26</v>
      </c>
      <c r="G6" s="16">
        <v>46015</v>
      </c>
      <c r="H6" s="16">
        <f>RFIActionRegister[[#This Row],[Creation Date]]+3</f>
        <v>46018</v>
      </c>
      <c r="I6" s="16">
        <v>46088</v>
      </c>
      <c r="J6" s="16"/>
      <c r="K6" s="16" t="str">
        <f>IF(RFIActionRegister[[#This Row],[Date Sent to NACO]]="","",RFIActionRegister[[#This Row],[Date Sent to NACO]]+1)</f>
        <v/>
      </c>
      <c r="L6" s="16"/>
      <c r="M6" s="18">
        <v>0</v>
      </c>
      <c r="N6" s="17" t="s">
        <v>27</v>
      </c>
      <c r="O6" s="14" t="s">
        <v>28</v>
      </c>
      <c r="P6" s="20"/>
      <c r="Z6" s="48" t="s">
        <v>29</v>
      </c>
      <c r="AA6" t="s">
        <v>30</v>
      </c>
      <c r="AB6" t="s">
        <v>31</v>
      </c>
    </row>
    <row r="7" spans="1:28" ht="27.2" hidden="1" customHeight="1">
      <c r="A7" s="17" t="s">
        <v>32</v>
      </c>
      <c r="B7" s="18">
        <v>0</v>
      </c>
      <c r="C7" s="19" t="s">
        <v>33</v>
      </c>
      <c r="D7" s="17" t="s">
        <v>25</v>
      </c>
      <c r="E7" s="22"/>
      <c r="F7" s="41" t="s">
        <v>26</v>
      </c>
      <c r="G7" s="16">
        <v>46024</v>
      </c>
      <c r="H7" s="16">
        <f>RFIActionRegister[[#This Row],[Creation Date]]+3</f>
        <v>46027</v>
      </c>
      <c r="I7" s="16">
        <v>46042</v>
      </c>
      <c r="J7" s="16"/>
      <c r="K7" s="16" t="str">
        <f>IF(RFIActionRegister[[#This Row],[Date Sent to NACO]]="","",RFIActionRegister[[#This Row],[Date Sent to NACO]]+1)</f>
        <v/>
      </c>
      <c r="L7" s="16"/>
      <c r="M7" s="18">
        <v>0</v>
      </c>
      <c r="N7" s="17" t="s">
        <v>27</v>
      </c>
      <c r="O7" s="15"/>
      <c r="P7" s="20"/>
      <c r="Z7" s="48" t="s">
        <v>34</v>
      </c>
      <c r="AA7" s="49" t="s">
        <v>35</v>
      </c>
      <c r="AB7" t="s">
        <v>36</v>
      </c>
    </row>
    <row r="8" spans="1:28" ht="27.2" hidden="1" customHeight="1">
      <c r="A8" s="17" t="s">
        <v>37</v>
      </c>
      <c r="B8" s="18">
        <v>0</v>
      </c>
      <c r="C8" s="19" t="s">
        <v>38</v>
      </c>
      <c r="D8" s="17" t="s">
        <v>25</v>
      </c>
      <c r="E8" s="22"/>
      <c r="F8" s="41" t="s">
        <v>26</v>
      </c>
      <c r="G8" s="16">
        <v>46051</v>
      </c>
      <c r="H8" s="16">
        <f>RFIActionRegister[[#This Row],[Creation Date]]+3</f>
        <v>46054</v>
      </c>
      <c r="I8" s="16">
        <v>46063</v>
      </c>
      <c r="J8" s="16"/>
      <c r="K8" s="16" t="str">
        <f>IF(RFIActionRegister[[#This Row],[Date Sent to NACO]]="","",RFIActionRegister[[#This Row],[Date Sent to NACO]]+1)</f>
        <v/>
      </c>
      <c r="L8" s="16"/>
      <c r="M8" s="18">
        <v>0</v>
      </c>
      <c r="N8" s="17" t="s">
        <v>27</v>
      </c>
      <c r="O8" s="15" t="s">
        <v>28</v>
      </c>
      <c r="P8" s="20"/>
      <c r="AB8" t="s">
        <v>39</v>
      </c>
    </row>
    <row r="9" spans="1:28" ht="27.2" hidden="1" customHeight="1">
      <c r="A9" s="17" t="s">
        <v>40</v>
      </c>
      <c r="B9" s="18">
        <v>0</v>
      </c>
      <c r="C9" s="19" t="s">
        <v>41</v>
      </c>
      <c r="D9" s="17" t="s">
        <v>25</v>
      </c>
      <c r="E9" s="22"/>
      <c r="F9" s="41" t="s">
        <v>26</v>
      </c>
      <c r="G9" s="16">
        <v>46054</v>
      </c>
      <c r="H9" s="16">
        <f>RFIActionRegister[[#This Row],[Creation Date]]+3</f>
        <v>46057</v>
      </c>
      <c r="I9" s="16">
        <v>46088</v>
      </c>
      <c r="J9" s="16"/>
      <c r="K9" s="16" t="str">
        <f>IF(RFIActionRegister[[#This Row],[Date Sent to NACO]]="","",RFIActionRegister[[#This Row],[Date Sent to NACO]]+1)</f>
        <v/>
      </c>
      <c r="L9" s="16"/>
      <c r="M9" s="18">
        <v>0</v>
      </c>
      <c r="N9" s="17" t="s">
        <v>27</v>
      </c>
      <c r="O9" s="15" t="s">
        <v>42</v>
      </c>
      <c r="P9" s="20"/>
      <c r="AB9" t="s">
        <v>43</v>
      </c>
    </row>
    <row r="10" spans="1:28" ht="27.2" hidden="1" customHeight="1">
      <c r="A10" s="17" t="s">
        <v>44</v>
      </c>
      <c r="B10" s="18">
        <v>0</v>
      </c>
      <c r="C10" s="19" t="s">
        <v>45</v>
      </c>
      <c r="D10" s="17" t="s">
        <v>25</v>
      </c>
      <c r="E10" s="22"/>
      <c r="F10" s="41" t="s">
        <v>26</v>
      </c>
      <c r="G10" s="16">
        <v>46064</v>
      </c>
      <c r="H10" s="16">
        <f>RFIActionRegister[[#This Row],[Creation Date]]+3</f>
        <v>46067</v>
      </c>
      <c r="I10" s="16">
        <v>46082</v>
      </c>
      <c r="J10" s="16"/>
      <c r="K10" s="16" t="str">
        <f>IF(RFIActionRegister[[#This Row],[Date Sent to NACO]]="","",RFIActionRegister[[#This Row],[Date Sent to NACO]]+1)</f>
        <v/>
      </c>
      <c r="L10" s="16"/>
      <c r="M10" s="18">
        <v>0</v>
      </c>
      <c r="N10" s="17" t="s">
        <v>27</v>
      </c>
      <c r="O10" s="15" t="s">
        <v>46</v>
      </c>
      <c r="P10" s="20"/>
    </row>
    <row r="11" spans="1:28" ht="27.2" hidden="1" customHeight="1">
      <c r="A11" s="17" t="s">
        <v>44</v>
      </c>
      <c r="B11" s="18">
        <v>1</v>
      </c>
      <c r="C11" s="19" t="s">
        <v>45</v>
      </c>
      <c r="D11" s="17" t="s">
        <v>25</v>
      </c>
      <c r="E11" s="22"/>
      <c r="F11" s="41" t="s">
        <v>26</v>
      </c>
      <c r="G11" s="16">
        <v>46086</v>
      </c>
      <c r="H11" s="16">
        <f>RFIActionRegister[[#This Row],[Creation Date]]+3</f>
        <v>46089</v>
      </c>
      <c r="I11" s="16">
        <v>46098</v>
      </c>
      <c r="J11" s="16"/>
      <c r="K11" s="16" t="str">
        <f>IF(RFIActionRegister[[#This Row],[Date Sent to NACO]]="","",RFIActionRegister[[#This Row],[Date Sent to NACO]]+1)</f>
        <v/>
      </c>
      <c r="L11" s="16"/>
      <c r="M11" s="18">
        <v>1</v>
      </c>
      <c r="N11" s="17" t="s">
        <v>27</v>
      </c>
      <c r="O11" s="15" t="s">
        <v>47</v>
      </c>
      <c r="P11" s="20"/>
    </row>
    <row r="12" spans="1:28" ht="27.2" hidden="1" customHeight="1">
      <c r="A12" s="17" t="s">
        <v>48</v>
      </c>
      <c r="B12" s="18">
        <v>0</v>
      </c>
      <c r="C12" s="19" t="s">
        <v>49</v>
      </c>
      <c r="D12" s="17" t="s">
        <v>25</v>
      </c>
      <c r="E12" s="22"/>
      <c r="F12" s="41" t="s">
        <v>26</v>
      </c>
      <c r="G12" s="16">
        <v>46064</v>
      </c>
      <c r="H12" s="16">
        <f>RFIActionRegister[[#This Row],[Creation Date]]+3</f>
        <v>46067</v>
      </c>
      <c r="I12" s="16">
        <v>46078</v>
      </c>
      <c r="J12" s="16"/>
      <c r="K12" s="16" t="str">
        <f>IF(RFIActionRegister[[#This Row],[Date Sent to NACO]]="","",RFIActionRegister[[#This Row],[Date Sent to NACO]]+1)</f>
        <v/>
      </c>
      <c r="L12" s="16"/>
      <c r="M12" s="18">
        <v>0</v>
      </c>
      <c r="N12" s="17" t="s">
        <v>27</v>
      </c>
      <c r="O12" s="15" t="s">
        <v>50</v>
      </c>
      <c r="P12" s="20"/>
    </row>
    <row r="13" spans="1:28" ht="27.2" hidden="1" customHeight="1">
      <c r="A13" s="17" t="s">
        <v>51</v>
      </c>
      <c r="B13" s="18">
        <v>0</v>
      </c>
      <c r="C13" s="19" t="s">
        <v>52</v>
      </c>
      <c r="D13" s="17" t="s">
        <v>25</v>
      </c>
      <c r="E13" s="22"/>
      <c r="F13" s="41" t="s">
        <v>26</v>
      </c>
      <c r="G13" s="16">
        <v>46067</v>
      </c>
      <c r="H13" s="16">
        <f>RFIActionRegister[[#This Row],[Creation Date]]+3</f>
        <v>46070</v>
      </c>
      <c r="I13" s="16">
        <v>46082</v>
      </c>
      <c r="J13" s="16"/>
      <c r="K13" s="16" t="str">
        <f>IF(RFIActionRegister[[#This Row],[Date Sent to NACO]]="","",RFIActionRegister[[#This Row],[Date Sent to NACO]]+1)</f>
        <v/>
      </c>
      <c r="L13" s="16"/>
      <c r="M13" s="18">
        <v>0</v>
      </c>
      <c r="N13" s="17" t="s">
        <v>27</v>
      </c>
      <c r="O13" s="15" t="s">
        <v>53</v>
      </c>
      <c r="P13" s="20"/>
    </row>
    <row r="14" spans="1:28" ht="27.2" hidden="1" customHeight="1">
      <c r="A14" s="17" t="s">
        <v>54</v>
      </c>
      <c r="B14" s="18">
        <v>0</v>
      </c>
      <c r="C14" s="19" t="s">
        <v>55</v>
      </c>
      <c r="D14" s="17" t="s">
        <v>25</v>
      </c>
      <c r="E14" s="22"/>
      <c r="F14" s="41" t="s">
        <v>26</v>
      </c>
      <c r="G14" s="16">
        <v>46068</v>
      </c>
      <c r="H14" s="16">
        <f>RFIActionRegister[[#This Row],[Creation Date]]+3</f>
        <v>46071</v>
      </c>
      <c r="I14" s="16">
        <v>46078</v>
      </c>
      <c r="J14" s="16"/>
      <c r="K14" s="16" t="str">
        <f>IF(RFIActionRegister[[#This Row],[Date Sent to NACO]]="","",RFIActionRegister[[#This Row],[Date Sent to NACO]]+1)</f>
        <v/>
      </c>
      <c r="L14" s="16"/>
      <c r="M14" s="18">
        <v>0</v>
      </c>
      <c r="N14" s="17" t="s">
        <v>27</v>
      </c>
      <c r="O14" s="15" t="s">
        <v>56</v>
      </c>
      <c r="P14" s="20"/>
    </row>
    <row r="15" spans="1:28" ht="27.2" hidden="1" customHeight="1">
      <c r="A15" s="17" t="s">
        <v>57</v>
      </c>
      <c r="B15" s="18">
        <v>0</v>
      </c>
      <c r="C15" s="19" t="s">
        <v>58</v>
      </c>
      <c r="D15" s="17" t="s">
        <v>25</v>
      </c>
      <c r="E15" s="22"/>
      <c r="F15" s="41" t="s">
        <v>26</v>
      </c>
      <c r="G15" s="16">
        <v>46085</v>
      </c>
      <c r="H15" s="16">
        <f>RFIActionRegister[[#This Row],[Creation Date]]+3</f>
        <v>46088</v>
      </c>
      <c r="I15" s="16">
        <v>46107</v>
      </c>
      <c r="J15" s="16"/>
      <c r="K15" s="16" t="str">
        <f>IF(RFIActionRegister[[#This Row],[Date Sent to NACO]]="","",RFIActionRegister[[#This Row],[Date Sent to NACO]]+1)</f>
        <v/>
      </c>
      <c r="L15" s="16"/>
      <c r="M15" s="18">
        <v>0</v>
      </c>
      <c r="N15" s="17" t="s">
        <v>27</v>
      </c>
      <c r="O15" s="15" t="s">
        <v>59</v>
      </c>
      <c r="P15" s="20"/>
    </row>
    <row r="16" spans="1:28" ht="27.2" hidden="1" customHeight="1">
      <c r="A16" s="17" t="s">
        <v>57</v>
      </c>
      <c r="B16" s="18">
        <v>1</v>
      </c>
      <c r="C16" s="19" t="s">
        <v>58</v>
      </c>
      <c r="D16" s="17" t="s">
        <v>25</v>
      </c>
      <c r="E16" s="22"/>
      <c r="F16" s="41" t="s">
        <v>26</v>
      </c>
      <c r="G16" s="16">
        <v>46159</v>
      </c>
      <c r="H16" s="16">
        <f>RFIActionRegister[[#This Row],[Creation Date]]+3</f>
        <v>46162</v>
      </c>
      <c r="I16" s="16">
        <v>46163</v>
      </c>
      <c r="J16" s="16"/>
      <c r="K16" s="16" t="str">
        <f>IF(RFIActionRegister[[#This Row],[Date Sent to NACO]]="","",RFIActionRegister[[#This Row],[Date Sent to NACO]]+1)</f>
        <v/>
      </c>
      <c r="L16" s="16"/>
      <c r="M16" s="18">
        <v>1</v>
      </c>
      <c r="N16" s="17" t="s">
        <v>27</v>
      </c>
      <c r="O16" s="15" t="s">
        <v>60</v>
      </c>
      <c r="P16" s="20"/>
    </row>
    <row r="17" spans="1:16" ht="27.2" hidden="1" customHeight="1">
      <c r="A17" s="17" t="s">
        <v>61</v>
      </c>
      <c r="B17" s="18">
        <v>0</v>
      </c>
      <c r="C17" s="19" t="s">
        <v>62</v>
      </c>
      <c r="D17" s="17" t="s">
        <v>25</v>
      </c>
      <c r="E17" s="22"/>
      <c r="F17" s="41" t="s">
        <v>26</v>
      </c>
      <c r="G17" s="16">
        <v>46089</v>
      </c>
      <c r="H17" s="16">
        <f>RFIActionRegister[[#This Row],[Creation Date]]+3</f>
        <v>46092</v>
      </c>
      <c r="I17" s="16">
        <v>46107</v>
      </c>
      <c r="J17" s="16"/>
      <c r="K17" s="16" t="str">
        <f>IF(RFIActionRegister[[#This Row],[Date Sent to NACO]]="","",RFIActionRegister[[#This Row],[Date Sent to NACO]]+1)</f>
        <v/>
      </c>
      <c r="L17" s="16"/>
      <c r="M17" s="18">
        <v>0</v>
      </c>
      <c r="N17" s="17" t="s">
        <v>27</v>
      </c>
      <c r="O17" s="15" t="s">
        <v>63</v>
      </c>
      <c r="P17" s="20"/>
    </row>
    <row r="18" spans="1:16" ht="27.2" hidden="1" customHeight="1">
      <c r="A18" s="17" t="s">
        <v>64</v>
      </c>
      <c r="B18" s="18">
        <v>0</v>
      </c>
      <c r="C18" s="19" t="s">
        <v>65</v>
      </c>
      <c r="D18" s="17" t="s">
        <v>25</v>
      </c>
      <c r="E18" s="22"/>
      <c r="F18" s="41" t="s">
        <v>26</v>
      </c>
      <c r="G18" s="16">
        <v>46096</v>
      </c>
      <c r="H18" s="16">
        <f>RFIActionRegister[[#This Row],[Creation Date]]+3</f>
        <v>46099</v>
      </c>
      <c r="I18" s="16">
        <v>46098</v>
      </c>
      <c r="J18" s="16"/>
      <c r="K18" s="16" t="str">
        <f>IF(RFIActionRegister[[#This Row],[Date Sent to NACO]]="","",RFIActionRegister[[#This Row],[Date Sent to NACO]]+1)</f>
        <v/>
      </c>
      <c r="L18" s="16"/>
      <c r="M18" s="18">
        <v>0</v>
      </c>
      <c r="N18" s="17" t="s">
        <v>27</v>
      </c>
      <c r="O18" s="15" t="s">
        <v>66</v>
      </c>
      <c r="P18" s="20"/>
    </row>
    <row r="19" spans="1:16" ht="27.2" hidden="1" customHeight="1">
      <c r="A19" s="17" t="s">
        <v>67</v>
      </c>
      <c r="B19" s="18">
        <v>0</v>
      </c>
      <c r="C19" s="19" t="s">
        <v>68</v>
      </c>
      <c r="D19" s="17" t="s">
        <v>25</v>
      </c>
      <c r="E19" s="22"/>
      <c r="F19" s="41" t="s">
        <v>26</v>
      </c>
      <c r="G19" s="16">
        <v>46096</v>
      </c>
      <c r="H19" s="16">
        <f>RFIActionRegister[[#This Row],[Creation Date]]+3</f>
        <v>46099</v>
      </c>
      <c r="I19" s="16">
        <v>46098</v>
      </c>
      <c r="J19" s="16"/>
      <c r="K19" s="16" t="str">
        <f>IF(RFIActionRegister[[#This Row],[Date Sent to NACO]]="","",RFIActionRegister[[#This Row],[Date Sent to NACO]]+1)</f>
        <v/>
      </c>
      <c r="L19" s="16"/>
      <c r="M19" s="18">
        <v>0</v>
      </c>
      <c r="N19" s="17" t="s">
        <v>27</v>
      </c>
      <c r="O19" s="15" t="s">
        <v>69</v>
      </c>
      <c r="P19" s="20"/>
    </row>
    <row r="20" spans="1:16" ht="27.2" hidden="1" customHeight="1">
      <c r="A20" s="17" t="s">
        <v>70</v>
      </c>
      <c r="B20" s="18">
        <v>0</v>
      </c>
      <c r="C20" s="19" t="s">
        <v>71</v>
      </c>
      <c r="D20" s="17" t="s">
        <v>25</v>
      </c>
      <c r="E20" s="22"/>
      <c r="F20" s="41" t="s">
        <v>26</v>
      </c>
      <c r="G20" s="16">
        <v>46096</v>
      </c>
      <c r="H20" s="16">
        <f>RFIActionRegister[[#This Row],[Creation Date]]+3</f>
        <v>46099</v>
      </c>
      <c r="I20" s="16">
        <v>46098</v>
      </c>
      <c r="J20" s="16"/>
      <c r="K20" s="16" t="str">
        <f>IF(RFIActionRegister[[#This Row],[Date Sent to NACO]]="","",RFIActionRegister[[#This Row],[Date Sent to NACO]]+1)</f>
        <v/>
      </c>
      <c r="L20" s="16"/>
      <c r="M20" s="18">
        <v>0</v>
      </c>
      <c r="N20" s="17" t="s">
        <v>27</v>
      </c>
      <c r="O20" s="15" t="s">
        <v>72</v>
      </c>
      <c r="P20" s="20"/>
    </row>
    <row r="21" spans="1:16" ht="27.2" hidden="1" customHeight="1">
      <c r="A21" s="17" t="s">
        <v>73</v>
      </c>
      <c r="B21" s="18">
        <v>0</v>
      </c>
      <c r="C21" s="19" t="s">
        <v>74</v>
      </c>
      <c r="D21" s="17" t="s">
        <v>25</v>
      </c>
      <c r="E21" s="22"/>
      <c r="F21" s="41" t="s">
        <v>26</v>
      </c>
      <c r="G21" s="16">
        <v>46096</v>
      </c>
      <c r="H21" s="16">
        <f>RFIActionRegister[[#This Row],[Creation Date]]+3</f>
        <v>46099</v>
      </c>
      <c r="I21" s="16">
        <v>46098</v>
      </c>
      <c r="J21" s="16"/>
      <c r="K21" s="16" t="str">
        <f>IF(RFIActionRegister[[#This Row],[Date Sent to NACO]]="","",RFIActionRegister[[#This Row],[Date Sent to NACO]]+1)</f>
        <v/>
      </c>
      <c r="L21" s="16"/>
      <c r="M21" s="18">
        <v>0</v>
      </c>
      <c r="N21" s="17" t="s">
        <v>27</v>
      </c>
      <c r="O21" s="15" t="s">
        <v>75</v>
      </c>
      <c r="P21" s="20"/>
    </row>
    <row r="22" spans="1:16" ht="27.2" hidden="1" customHeight="1">
      <c r="A22" s="17" t="s">
        <v>76</v>
      </c>
      <c r="B22" s="18">
        <v>0</v>
      </c>
      <c r="C22" s="19" t="s">
        <v>77</v>
      </c>
      <c r="D22" s="17" t="s">
        <v>25</v>
      </c>
      <c r="E22" s="22"/>
      <c r="F22" s="41" t="s">
        <v>26</v>
      </c>
      <c r="G22" s="16">
        <v>46107</v>
      </c>
      <c r="H22" s="16">
        <f>RFIActionRegister[[#This Row],[Creation Date]]+3</f>
        <v>46110</v>
      </c>
      <c r="I22" s="16">
        <v>46117</v>
      </c>
      <c r="J22" s="16"/>
      <c r="K22" s="16" t="str">
        <f>IF(RFIActionRegister[[#This Row],[Date Sent to NACO]]="","",RFIActionRegister[[#This Row],[Date Sent to NACO]]+1)</f>
        <v/>
      </c>
      <c r="L22" s="16"/>
      <c r="M22" s="18">
        <v>0</v>
      </c>
      <c r="N22" s="17" t="s">
        <v>27</v>
      </c>
      <c r="O22" s="15" t="s">
        <v>78</v>
      </c>
      <c r="P22" s="20"/>
    </row>
    <row r="23" spans="1:16" ht="27.2" hidden="1" customHeight="1">
      <c r="A23" s="17" t="s">
        <v>79</v>
      </c>
      <c r="B23" s="18" t="s">
        <v>80</v>
      </c>
      <c r="C23" s="19" t="s">
        <v>81</v>
      </c>
      <c r="D23" s="17" t="s">
        <v>25</v>
      </c>
      <c r="E23" s="22"/>
      <c r="F23" s="41" t="s">
        <v>26</v>
      </c>
      <c r="G23" s="16">
        <v>46134</v>
      </c>
      <c r="H23" s="16">
        <f>RFIActionRegister[[#This Row],[Creation Date]]+3</f>
        <v>46137</v>
      </c>
      <c r="I23" s="16">
        <v>46142</v>
      </c>
      <c r="J23" s="16"/>
      <c r="K23" s="16" t="str">
        <f>IF(RFIActionRegister[[#This Row],[Date Sent to NACO]]="","",RFIActionRegister[[#This Row],[Date Sent to NACO]]+1)</f>
        <v/>
      </c>
      <c r="L23" s="16"/>
      <c r="M23" s="18" t="s">
        <v>80</v>
      </c>
      <c r="N23" s="17" t="s">
        <v>27</v>
      </c>
      <c r="O23" s="15" t="s">
        <v>82</v>
      </c>
      <c r="P23" s="20"/>
    </row>
    <row r="24" spans="1:16" ht="27.2" hidden="1" customHeight="1">
      <c r="A24" s="17" t="s">
        <v>83</v>
      </c>
      <c r="B24" s="18">
        <v>0</v>
      </c>
      <c r="C24" s="19" t="s">
        <v>84</v>
      </c>
      <c r="D24" s="17" t="s">
        <v>25</v>
      </c>
      <c r="E24" s="22"/>
      <c r="F24" s="41" t="s">
        <v>26</v>
      </c>
      <c r="G24" s="16">
        <v>46138</v>
      </c>
      <c r="H24" s="16">
        <f>RFIActionRegister[[#This Row],[Creation Date]]+3</f>
        <v>46141</v>
      </c>
      <c r="I24" s="16">
        <v>46148</v>
      </c>
      <c r="J24" s="16"/>
      <c r="K24" s="16" t="str">
        <f>IF(RFIActionRegister[[#This Row],[Date Sent to NACO]]="","",RFIActionRegister[[#This Row],[Date Sent to NACO]]+1)</f>
        <v/>
      </c>
      <c r="L24" s="16"/>
      <c r="M24" s="18">
        <v>0</v>
      </c>
      <c r="N24" s="17" t="s">
        <v>27</v>
      </c>
      <c r="O24" s="15" t="s">
        <v>85</v>
      </c>
      <c r="P24" s="20"/>
    </row>
    <row r="25" spans="1:16" ht="27.2" hidden="1" customHeight="1">
      <c r="A25" s="17" t="s">
        <v>86</v>
      </c>
      <c r="B25" s="18">
        <v>0</v>
      </c>
      <c r="C25" s="19" t="s">
        <v>87</v>
      </c>
      <c r="D25" s="17" t="s">
        <v>25</v>
      </c>
      <c r="E25" s="22" t="s">
        <v>30</v>
      </c>
      <c r="F25" s="41" t="s">
        <v>36</v>
      </c>
      <c r="G25" s="16">
        <v>46140</v>
      </c>
      <c r="H25" s="16">
        <f>RFIActionRegister[[#This Row],[Creation Date]]+3</f>
        <v>46143</v>
      </c>
      <c r="I25" s="16"/>
      <c r="J25" s="16"/>
      <c r="K25" s="16" t="str">
        <f>IF(RFIActionRegister[[#This Row],[Date Sent to NACO]]="","",RFIActionRegister[[#This Row],[Date Sent to NACO]]+1)</f>
        <v/>
      </c>
      <c r="L25" s="16"/>
      <c r="M25" s="18">
        <v>0</v>
      </c>
      <c r="N25" s="17" t="s">
        <v>27</v>
      </c>
      <c r="O25" s="15"/>
      <c r="P25" s="20"/>
    </row>
    <row r="26" spans="1:16" ht="27.2" hidden="1" customHeight="1">
      <c r="A26" s="17" t="s">
        <v>88</v>
      </c>
      <c r="B26" s="18">
        <v>0</v>
      </c>
      <c r="C26" s="19" t="s">
        <v>89</v>
      </c>
      <c r="D26" s="17" t="s">
        <v>25</v>
      </c>
      <c r="E26" s="22"/>
      <c r="F26" s="41" t="s">
        <v>26</v>
      </c>
      <c r="G26" s="16">
        <v>46140</v>
      </c>
      <c r="H26" s="16">
        <f>RFIActionRegister[[#This Row],[Creation Date]]+3</f>
        <v>46143</v>
      </c>
      <c r="I26" s="16">
        <v>46152</v>
      </c>
      <c r="J26" s="16"/>
      <c r="K26" s="16" t="str">
        <f>IF(RFIActionRegister[[#This Row],[Date Sent to NACO]]="","",RFIActionRegister[[#This Row],[Date Sent to NACO]]+1)</f>
        <v/>
      </c>
      <c r="L26" s="16"/>
      <c r="M26" s="18">
        <v>0</v>
      </c>
      <c r="N26" s="17" t="s">
        <v>27</v>
      </c>
      <c r="O26" s="15" t="s">
        <v>90</v>
      </c>
      <c r="P26" s="20"/>
    </row>
    <row r="27" spans="1:16" ht="27.2" hidden="1" customHeight="1">
      <c r="A27" s="17" t="s">
        <v>91</v>
      </c>
      <c r="B27" s="18">
        <v>0</v>
      </c>
      <c r="C27" s="19" t="s">
        <v>92</v>
      </c>
      <c r="D27" s="17" t="s">
        <v>25</v>
      </c>
      <c r="E27" s="22" t="s">
        <v>30</v>
      </c>
      <c r="F27" s="41" t="s">
        <v>36</v>
      </c>
      <c r="G27" s="16">
        <v>46141</v>
      </c>
      <c r="H27" s="16">
        <f>RFIActionRegister[[#This Row],[Creation Date]]+3</f>
        <v>46144</v>
      </c>
      <c r="I27" s="16">
        <v>46203</v>
      </c>
      <c r="J27" s="16">
        <v>46163</v>
      </c>
      <c r="K27" s="16">
        <f>IF(RFIActionRegister[[#This Row],[Date Sent to NACO]]="","",RFIActionRegister[[#This Row],[Date Sent to NACO]]+1)</f>
        <v>46164</v>
      </c>
      <c r="L27" s="16">
        <v>46202</v>
      </c>
      <c r="M27" s="18"/>
      <c r="N27" s="17" t="s">
        <v>27</v>
      </c>
      <c r="O27" s="15" t="s">
        <v>93</v>
      </c>
      <c r="P27" s="20" t="s">
        <v>94</v>
      </c>
    </row>
    <row r="28" spans="1:16" ht="27.2" hidden="1" customHeight="1">
      <c r="A28" s="17" t="s">
        <v>95</v>
      </c>
      <c r="B28" s="18">
        <v>0</v>
      </c>
      <c r="C28" s="19" t="s">
        <v>96</v>
      </c>
      <c r="D28" s="17" t="s">
        <v>25</v>
      </c>
      <c r="E28" s="22"/>
      <c r="F28" s="41" t="s">
        <v>36</v>
      </c>
      <c r="G28" s="16">
        <v>46144</v>
      </c>
      <c r="H28" s="16">
        <f>RFIActionRegister[[#This Row],[Creation Date]]+3</f>
        <v>46147</v>
      </c>
      <c r="I28" s="16"/>
      <c r="J28" s="16"/>
      <c r="K28" s="16" t="str">
        <f>IF(RFIActionRegister[[#This Row],[Date Sent to NACO]]="","",RFIActionRegister[[#This Row],[Date Sent to NACO]]+1)</f>
        <v/>
      </c>
      <c r="L28" s="16"/>
      <c r="M28" s="18">
        <v>0</v>
      </c>
      <c r="N28" s="17" t="s">
        <v>27</v>
      </c>
      <c r="O28" s="15"/>
      <c r="P28" s="20" t="s">
        <v>97</v>
      </c>
    </row>
    <row r="29" spans="1:16" ht="27.2" hidden="1" customHeight="1">
      <c r="A29" s="17" t="s">
        <v>98</v>
      </c>
      <c r="B29" s="18">
        <v>0</v>
      </c>
      <c r="C29" s="19" t="s">
        <v>99</v>
      </c>
      <c r="D29" s="17" t="s">
        <v>25</v>
      </c>
      <c r="E29" s="22"/>
      <c r="F29" s="41" t="s">
        <v>100</v>
      </c>
      <c r="G29" s="16">
        <v>46147</v>
      </c>
      <c r="H29" s="16">
        <f>RFIActionRegister[[#This Row],[Creation Date]]+3</f>
        <v>46150</v>
      </c>
      <c r="I29" s="16"/>
      <c r="J29" s="16"/>
      <c r="K29" s="16" t="str">
        <f>IF(RFIActionRegister[[#This Row],[Date Sent to NACO]]="","",RFIActionRegister[[#This Row],[Date Sent to NACO]]+1)</f>
        <v/>
      </c>
      <c r="L29" s="16"/>
      <c r="M29" s="18">
        <v>0</v>
      </c>
      <c r="N29" s="17" t="s">
        <v>27</v>
      </c>
      <c r="O29" s="15"/>
      <c r="P29" s="20" t="s">
        <v>97</v>
      </c>
    </row>
    <row r="30" spans="1:16" ht="27.2" hidden="1" customHeight="1">
      <c r="A30" s="17" t="s">
        <v>101</v>
      </c>
      <c r="B30" s="18">
        <v>0</v>
      </c>
      <c r="C30" s="19" t="s">
        <v>102</v>
      </c>
      <c r="D30" s="17" t="s">
        <v>25</v>
      </c>
      <c r="E30" s="22"/>
      <c r="F30" s="41" t="s">
        <v>100</v>
      </c>
      <c r="G30" s="16">
        <v>46152</v>
      </c>
      <c r="H30" s="16">
        <f>RFIActionRegister[[#This Row],[Creation Date]]+3</f>
        <v>46155</v>
      </c>
      <c r="I30" s="16"/>
      <c r="J30" s="16"/>
      <c r="K30" s="16" t="str">
        <f>IF(RFIActionRegister[[#This Row],[Date Sent to NACO]]="","",RFIActionRegister[[#This Row],[Date Sent to NACO]]+1)</f>
        <v/>
      </c>
      <c r="L30" s="16"/>
      <c r="M30" s="18">
        <v>0</v>
      </c>
      <c r="N30" s="17" t="s">
        <v>27</v>
      </c>
      <c r="O30" s="15"/>
      <c r="P30" s="20" t="s">
        <v>97</v>
      </c>
    </row>
    <row r="31" spans="1:16" ht="27.2" hidden="1" customHeight="1">
      <c r="A31" s="17" t="s">
        <v>101</v>
      </c>
      <c r="B31" s="18">
        <v>1</v>
      </c>
      <c r="C31" s="19" t="s">
        <v>102</v>
      </c>
      <c r="D31" s="17" t="s">
        <v>25</v>
      </c>
      <c r="E31" s="22" t="s">
        <v>30</v>
      </c>
      <c r="F31" s="41" t="s">
        <v>100</v>
      </c>
      <c r="G31" s="16">
        <v>46186</v>
      </c>
      <c r="H31" s="16">
        <f>RFIActionRegister[[#This Row],[Creation Date]]+3</f>
        <v>46189</v>
      </c>
      <c r="I31" s="16"/>
      <c r="J31" s="16"/>
      <c r="K31" s="16" t="str">
        <f>IF(RFIActionRegister[[#This Row],[Date Sent to NACO]]="","",RFIActionRegister[[#This Row],[Date Sent to NACO]]+1)</f>
        <v/>
      </c>
      <c r="L31" s="16"/>
      <c r="M31" s="18"/>
      <c r="N31" s="17" t="s">
        <v>27</v>
      </c>
      <c r="O31" s="24"/>
      <c r="P31" s="20"/>
    </row>
    <row r="32" spans="1:16" ht="27.2" hidden="1" customHeight="1">
      <c r="A32" s="17" t="s">
        <v>101</v>
      </c>
      <c r="B32" s="18">
        <v>2</v>
      </c>
      <c r="C32" s="19" t="s">
        <v>102</v>
      </c>
      <c r="D32" s="17" t="s">
        <v>25</v>
      </c>
      <c r="E32" s="22" t="s">
        <v>30</v>
      </c>
      <c r="F32" s="41" t="s">
        <v>100</v>
      </c>
      <c r="G32" s="16">
        <v>46215</v>
      </c>
      <c r="H32" s="16">
        <f>RFIActionRegister[[#This Row],[Creation Date]]+3</f>
        <v>46218</v>
      </c>
      <c r="I32" s="16">
        <v>46217</v>
      </c>
      <c r="J32" s="29">
        <v>46215</v>
      </c>
      <c r="K32" s="29">
        <f>IF(RFIActionRegister[[#This Row],[Date Sent to NACO]]="","",RFIActionRegister[[#This Row],[Date Sent to NACO]]+1)</f>
        <v>46216</v>
      </c>
      <c r="L32" s="29">
        <v>46217</v>
      </c>
      <c r="M32" s="18"/>
      <c r="N32" s="17" t="s">
        <v>27</v>
      </c>
      <c r="O32" s="24"/>
      <c r="P32" s="20"/>
    </row>
    <row r="33" spans="1:16" ht="27.2" hidden="1" customHeight="1">
      <c r="A33" s="17" t="s">
        <v>103</v>
      </c>
      <c r="B33" s="18">
        <v>0</v>
      </c>
      <c r="C33" s="19" t="s">
        <v>104</v>
      </c>
      <c r="D33" s="17" t="s">
        <v>25</v>
      </c>
      <c r="E33" s="23" t="s">
        <v>105</v>
      </c>
      <c r="F33" s="41" t="s">
        <v>106</v>
      </c>
      <c r="G33" s="16">
        <v>46159</v>
      </c>
      <c r="H33" s="16">
        <f>RFIActionRegister[[#This Row],[Creation Date]]+3</f>
        <v>46162</v>
      </c>
      <c r="I33" s="37">
        <v>46160</v>
      </c>
      <c r="J33" s="37"/>
      <c r="K33" s="37" t="str">
        <f>IF(RFIActionRegister[[#This Row],[Date Sent to NACO]]="","",RFIActionRegister[[#This Row],[Date Sent to NACO]]+1)</f>
        <v/>
      </c>
      <c r="L33" s="37"/>
      <c r="M33" s="18">
        <v>0</v>
      </c>
      <c r="N33" s="17" t="s">
        <v>27</v>
      </c>
      <c r="O33" s="15" t="s">
        <v>107</v>
      </c>
      <c r="P33" s="20" t="s">
        <v>94</v>
      </c>
    </row>
    <row r="34" spans="1:16" ht="27.2" hidden="1" customHeight="1">
      <c r="A34" s="17" t="s">
        <v>108</v>
      </c>
      <c r="B34" s="18">
        <v>0</v>
      </c>
      <c r="C34" s="19" t="s">
        <v>109</v>
      </c>
      <c r="D34" s="17" t="s">
        <v>25</v>
      </c>
      <c r="E34" s="23" t="s">
        <v>30</v>
      </c>
      <c r="F34" s="41"/>
      <c r="G34" s="16">
        <v>46160</v>
      </c>
      <c r="H34" s="16">
        <f>RFIActionRegister[[#This Row],[Creation Date]]+3</f>
        <v>46163</v>
      </c>
      <c r="I34" s="38">
        <v>46161</v>
      </c>
      <c r="J34" s="38"/>
      <c r="K34" s="38" t="str">
        <f>IF(RFIActionRegister[[#This Row],[Date Sent to NACO]]="","",RFIActionRegister[[#This Row],[Date Sent to NACO]]+1)</f>
        <v/>
      </c>
      <c r="L34" s="38"/>
      <c r="M34" s="18">
        <v>0</v>
      </c>
      <c r="N34" s="17" t="s">
        <v>27</v>
      </c>
      <c r="O34" s="15" t="s">
        <v>110</v>
      </c>
      <c r="P34" s="20"/>
    </row>
    <row r="35" spans="1:16" ht="27.2" hidden="1" customHeight="1">
      <c r="A35" s="17" t="s">
        <v>111</v>
      </c>
      <c r="B35" s="18">
        <v>0</v>
      </c>
      <c r="C35" s="19" t="s">
        <v>112</v>
      </c>
      <c r="D35" s="17" t="s">
        <v>25</v>
      </c>
      <c r="E35" s="22" t="s">
        <v>30</v>
      </c>
      <c r="F35" s="41" t="s">
        <v>100</v>
      </c>
      <c r="G35" s="16">
        <v>46163</v>
      </c>
      <c r="H35" s="16">
        <f>RFIActionRegister[[#This Row],[Creation Date]]+3</f>
        <v>46166</v>
      </c>
      <c r="I35" s="16"/>
      <c r="J35" s="16"/>
      <c r="K35" s="16" t="str">
        <f>IF(RFIActionRegister[[#This Row],[Date Sent to NACO]]="","",RFIActionRegister[[#This Row],[Date Sent to NACO]]+1)</f>
        <v/>
      </c>
      <c r="L35" s="16"/>
      <c r="M35" s="18">
        <v>0</v>
      </c>
      <c r="N35" s="17" t="s">
        <v>27</v>
      </c>
      <c r="O35" s="15"/>
      <c r="P35" s="20"/>
    </row>
    <row r="36" spans="1:16" ht="27.2" hidden="1" customHeight="1">
      <c r="A36" s="17" t="s">
        <v>113</v>
      </c>
      <c r="B36" s="18">
        <v>0</v>
      </c>
      <c r="C36" s="19" t="s">
        <v>114</v>
      </c>
      <c r="D36" s="17" t="s">
        <v>25</v>
      </c>
      <c r="E36" s="23" t="s">
        <v>105</v>
      </c>
      <c r="F36" s="41"/>
      <c r="G36" s="16">
        <v>46166</v>
      </c>
      <c r="H36" s="16">
        <f>RFIActionRegister[[#This Row],[Creation Date]]+3</f>
        <v>46169</v>
      </c>
      <c r="I36" s="16">
        <v>46176</v>
      </c>
      <c r="J36" s="16"/>
      <c r="K36" s="16" t="str">
        <f>IF(RFIActionRegister[[#This Row],[Date Sent to NACO]]="","",RFIActionRegister[[#This Row],[Date Sent to NACO]]+1)</f>
        <v/>
      </c>
      <c r="L36" s="16"/>
      <c r="M36" s="18">
        <v>0</v>
      </c>
      <c r="N36" s="17" t="s">
        <v>27</v>
      </c>
      <c r="O36" s="15"/>
      <c r="P36" s="20"/>
    </row>
    <row r="37" spans="1:16" ht="27.2" hidden="1" customHeight="1">
      <c r="A37" s="17" t="s">
        <v>115</v>
      </c>
      <c r="B37" s="18">
        <v>0</v>
      </c>
      <c r="C37" s="19" t="s">
        <v>116</v>
      </c>
      <c r="D37" s="17" t="s">
        <v>25</v>
      </c>
      <c r="E37" s="23" t="s">
        <v>30</v>
      </c>
      <c r="F37" s="41" t="s">
        <v>117</v>
      </c>
      <c r="G37" s="16">
        <v>46167</v>
      </c>
      <c r="H37" s="16">
        <f>RFIActionRegister[[#This Row],[Creation Date]]+3</f>
        <v>46170</v>
      </c>
      <c r="I37" s="16"/>
      <c r="J37" s="16"/>
      <c r="K37" s="16" t="str">
        <f>IF(RFIActionRegister[[#This Row],[Date Sent to NACO]]="","",RFIActionRegister[[#This Row],[Date Sent to NACO]]+1)</f>
        <v/>
      </c>
      <c r="L37" s="16"/>
      <c r="M37" s="18">
        <v>0</v>
      </c>
      <c r="N37" s="17" t="s">
        <v>27</v>
      </c>
      <c r="O37" s="15"/>
      <c r="P37" s="20"/>
    </row>
    <row r="38" spans="1:16" ht="27.2" hidden="1" customHeight="1">
      <c r="A38" s="17" t="s">
        <v>118</v>
      </c>
      <c r="B38" s="18">
        <v>0</v>
      </c>
      <c r="C38" s="19" t="s">
        <v>119</v>
      </c>
      <c r="D38" s="17" t="s">
        <v>25</v>
      </c>
      <c r="E38" s="23" t="s">
        <v>30</v>
      </c>
      <c r="F38" s="41" t="s">
        <v>117</v>
      </c>
      <c r="G38" s="16">
        <v>46174</v>
      </c>
      <c r="H38" s="16">
        <f>RFIActionRegister[[#This Row],[Creation Date]]+3</f>
        <v>46177</v>
      </c>
      <c r="I38" s="16"/>
      <c r="J38" s="16"/>
      <c r="K38" s="16" t="str">
        <f>IF(RFIActionRegister[[#This Row],[Date Sent to NACO]]="","",RFIActionRegister[[#This Row],[Date Sent to NACO]]+1)</f>
        <v/>
      </c>
      <c r="L38" s="16"/>
      <c r="M38" s="18">
        <v>0</v>
      </c>
      <c r="N38" s="17" t="s">
        <v>27</v>
      </c>
      <c r="O38" s="15"/>
      <c r="P38" s="20"/>
    </row>
    <row r="39" spans="1:16" ht="27.2" hidden="1" customHeight="1">
      <c r="A39" s="17" t="s">
        <v>120</v>
      </c>
      <c r="B39" s="18">
        <v>0</v>
      </c>
      <c r="C39" s="19" t="s">
        <v>121</v>
      </c>
      <c r="D39" s="17" t="s">
        <v>25</v>
      </c>
      <c r="E39" s="23" t="s">
        <v>30</v>
      </c>
      <c r="F39" s="41" t="s">
        <v>36</v>
      </c>
      <c r="G39" s="16">
        <v>46174</v>
      </c>
      <c r="H39" s="16">
        <f>RFIActionRegister[[#This Row],[Creation Date]]+3</f>
        <v>46177</v>
      </c>
      <c r="I39" s="16">
        <v>46204</v>
      </c>
      <c r="J39" s="16">
        <v>46174</v>
      </c>
      <c r="K39" s="16">
        <f>IF(RFIActionRegister[[#This Row],[Date Sent to NACO]]="","",RFIActionRegister[[#This Row],[Date Sent to NACO]]+1)</f>
        <v>46175</v>
      </c>
      <c r="L39" s="16"/>
      <c r="M39" s="18"/>
      <c r="N39" s="17" t="s">
        <v>27</v>
      </c>
      <c r="O39" s="15"/>
      <c r="P39" s="20"/>
    </row>
    <row r="40" spans="1:16" ht="27.2" hidden="1" customHeight="1">
      <c r="A40" s="17" t="s">
        <v>122</v>
      </c>
      <c r="B40" s="18">
        <v>0</v>
      </c>
      <c r="C40" s="19" t="s">
        <v>123</v>
      </c>
      <c r="D40" s="17" t="s">
        <v>25</v>
      </c>
      <c r="E40" s="23" t="s">
        <v>105</v>
      </c>
      <c r="F40" s="41"/>
      <c r="G40" s="16">
        <v>46175</v>
      </c>
      <c r="H40" s="16">
        <f>RFIActionRegister[[#This Row],[Creation Date]]+3</f>
        <v>46178</v>
      </c>
      <c r="I40" s="16">
        <v>46175</v>
      </c>
      <c r="J40" s="16"/>
      <c r="K40" s="16" t="str">
        <f>IF(RFIActionRegister[[#This Row],[Date Sent to NACO]]="","",RFIActionRegister[[#This Row],[Date Sent to NACO]]+1)</f>
        <v/>
      </c>
      <c r="L40" s="16"/>
      <c r="M40" s="18">
        <v>0</v>
      </c>
      <c r="N40" s="17" t="s">
        <v>27</v>
      </c>
      <c r="O40" s="24"/>
      <c r="P40" s="20"/>
    </row>
    <row r="41" spans="1:16" ht="27.2" hidden="1" customHeight="1">
      <c r="A41" s="17" t="s">
        <v>124</v>
      </c>
      <c r="B41" s="18">
        <v>0</v>
      </c>
      <c r="C41" s="19" t="s">
        <v>125</v>
      </c>
      <c r="D41" s="17" t="s">
        <v>25</v>
      </c>
      <c r="E41" s="23" t="s">
        <v>30</v>
      </c>
      <c r="F41" s="41" t="s">
        <v>36</v>
      </c>
      <c r="G41" s="16">
        <v>46180</v>
      </c>
      <c r="H41" s="16">
        <f>RFIActionRegister[[#This Row],[Creation Date]]+3</f>
        <v>46183</v>
      </c>
      <c r="I41" s="16">
        <v>46196</v>
      </c>
      <c r="J41" s="16"/>
      <c r="K41" s="16" t="str">
        <f>IF(RFIActionRegister[[#This Row],[Date Sent to NACO]]="","",RFIActionRegister[[#This Row],[Date Sent to NACO]]+1)</f>
        <v/>
      </c>
      <c r="L41" s="16"/>
      <c r="M41" s="18"/>
      <c r="N41" s="17" t="s">
        <v>27</v>
      </c>
      <c r="O41" s="24"/>
      <c r="P41" s="20"/>
    </row>
    <row r="42" spans="1:16" ht="27.2" hidden="1" customHeight="1">
      <c r="A42" s="17" t="s">
        <v>126</v>
      </c>
      <c r="B42" s="18">
        <v>0</v>
      </c>
      <c r="C42" s="19" t="s">
        <v>127</v>
      </c>
      <c r="D42" s="17" t="s">
        <v>25</v>
      </c>
      <c r="E42" s="23" t="s">
        <v>105</v>
      </c>
      <c r="F42" s="41" t="s">
        <v>43</v>
      </c>
      <c r="G42" s="16">
        <v>46191</v>
      </c>
      <c r="H42" s="16">
        <f>RFIActionRegister[[#This Row],[Creation Date]]+3</f>
        <v>46194</v>
      </c>
      <c r="I42" s="16">
        <v>46196</v>
      </c>
      <c r="J42" s="16"/>
      <c r="K42" s="16" t="str">
        <f>IF(RFIActionRegister[[#This Row],[Date Sent to NACO]]="","",RFIActionRegister[[#This Row],[Date Sent to NACO]]+1)</f>
        <v/>
      </c>
      <c r="L42" s="16"/>
      <c r="M42" s="18"/>
      <c r="N42" s="17" t="s">
        <v>27</v>
      </c>
      <c r="O42" s="24"/>
      <c r="P42" s="20"/>
    </row>
    <row r="43" spans="1:16" ht="27.2" hidden="1" customHeight="1">
      <c r="A43" s="17" t="s">
        <v>128</v>
      </c>
      <c r="B43" s="18">
        <v>0</v>
      </c>
      <c r="C43" s="19" t="s">
        <v>129</v>
      </c>
      <c r="D43" s="17" t="s">
        <v>25</v>
      </c>
      <c r="E43" s="23" t="s">
        <v>30</v>
      </c>
      <c r="F43" s="41" t="s">
        <v>36</v>
      </c>
      <c r="G43" s="16">
        <v>46190</v>
      </c>
      <c r="H43" s="16">
        <f>RFIActionRegister[[#This Row],[Creation Date]]+3</f>
        <v>46193</v>
      </c>
      <c r="I43" s="16"/>
      <c r="J43" s="16">
        <v>46196</v>
      </c>
      <c r="K43" s="16">
        <f>IF(RFIActionRegister[[#This Row],[Date Sent to NACO]]="","",RFIActionRegister[[#This Row],[Date Sent to NACO]]+1)</f>
        <v>46197</v>
      </c>
      <c r="L43" s="16"/>
      <c r="M43" s="18"/>
      <c r="N43" s="17" t="s">
        <v>27</v>
      </c>
      <c r="O43" s="24"/>
      <c r="P43" s="20"/>
    </row>
    <row r="44" spans="1:16" ht="27.2" hidden="1" customHeight="1">
      <c r="A44" s="17" t="s">
        <v>130</v>
      </c>
      <c r="B44" s="18">
        <v>0</v>
      </c>
      <c r="C44" s="19" t="s">
        <v>131</v>
      </c>
      <c r="D44" s="17" t="s">
        <v>25</v>
      </c>
      <c r="E44" s="23" t="s">
        <v>30</v>
      </c>
      <c r="F44" s="41" t="s">
        <v>36</v>
      </c>
      <c r="G44" s="16">
        <v>46196</v>
      </c>
      <c r="H44" s="16">
        <f>RFIActionRegister[[#This Row],[Creation Date]]+3</f>
        <v>46199</v>
      </c>
      <c r="I44" s="16"/>
      <c r="J44" s="16">
        <v>46198</v>
      </c>
      <c r="K44" s="16">
        <f>IF(RFIActionRegister[[#This Row],[Date Sent to NACO]]="","",RFIActionRegister[[#This Row],[Date Sent to NACO]]+1)</f>
        <v>46199</v>
      </c>
      <c r="L44" s="16"/>
      <c r="M44" s="18"/>
      <c r="N44" s="17" t="s">
        <v>27</v>
      </c>
      <c r="O44" s="24"/>
      <c r="P44" s="20"/>
    </row>
    <row r="45" spans="1:16" ht="27.2" hidden="1" customHeight="1">
      <c r="A45" s="17" t="s">
        <v>132</v>
      </c>
      <c r="B45" s="18">
        <v>0</v>
      </c>
      <c r="C45" s="19" t="s">
        <v>133</v>
      </c>
      <c r="D45" s="17" t="s">
        <v>25</v>
      </c>
      <c r="E45" s="23" t="s">
        <v>30</v>
      </c>
      <c r="F45" s="41" t="s">
        <v>36</v>
      </c>
      <c r="G45" s="16">
        <v>46197</v>
      </c>
      <c r="H45" s="16">
        <f>RFIActionRegister[[#This Row],[Creation Date]]+3</f>
        <v>46200</v>
      </c>
      <c r="I45" s="16"/>
      <c r="J45" s="16">
        <v>46202</v>
      </c>
      <c r="K45" s="16">
        <f>IF(RFIActionRegister[[#This Row],[Date Sent to NACO]]="","",RFIActionRegister[[#This Row],[Date Sent to NACO]]+1)</f>
        <v>46203</v>
      </c>
      <c r="L45" s="16">
        <v>46210</v>
      </c>
      <c r="M45" s="18"/>
      <c r="N45" s="17" t="s">
        <v>27</v>
      </c>
      <c r="O45" s="24"/>
      <c r="P45" s="20"/>
    </row>
    <row r="46" spans="1:16" ht="27.2" hidden="1" customHeight="1">
      <c r="A46" s="17" t="s">
        <v>134</v>
      </c>
      <c r="B46" s="18">
        <v>0</v>
      </c>
      <c r="C46" s="19" t="s">
        <v>135</v>
      </c>
      <c r="D46" s="17" t="s">
        <v>25</v>
      </c>
      <c r="E46" s="23" t="s">
        <v>30</v>
      </c>
      <c r="F46" s="41" t="s">
        <v>36</v>
      </c>
      <c r="G46" s="16">
        <v>46197</v>
      </c>
      <c r="H46" s="16">
        <f>RFIActionRegister[[#This Row],[Creation Date]]+3</f>
        <v>46200</v>
      </c>
      <c r="I46" s="16">
        <v>46212</v>
      </c>
      <c r="J46" s="16">
        <v>46208</v>
      </c>
      <c r="K46" s="16">
        <f>IF(RFIActionRegister[[#This Row],[Date Sent to NACO]]="","",RFIActionRegister[[#This Row],[Date Sent to NACO]]+1)</f>
        <v>46209</v>
      </c>
      <c r="L46" s="16">
        <v>46211</v>
      </c>
      <c r="M46" s="18"/>
      <c r="N46" s="17" t="s">
        <v>27</v>
      </c>
      <c r="O46" s="24"/>
      <c r="P46" s="20"/>
    </row>
    <row r="47" spans="1:16" ht="27.2" hidden="1" customHeight="1">
      <c r="A47" s="17" t="s">
        <v>136</v>
      </c>
      <c r="B47" s="18">
        <v>0</v>
      </c>
      <c r="C47" s="19" t="s">
        <v>137</v>
      </c>
      <c r="D47" s="17" t="s">
        <v>25</v>
      </c>
      <c r="E47" s="23" t="s">
        <v>30</v>
      </c>
      <c r="F47" s="41" t="s">
        <v>26</v>
      </c>
      <c r="G47" s="16">
        <v>46198</v>
      </c>
      <c r="H47" s="16">
        <f>RFIActionRegister[[#This Row],[Creation Date]]+3</f>
        <v>46201</v>
      </c>
      <c r="I47" s="16"/>
      <c r="J47" s="16">
        <v>46208</v>
      </c>
      <c r="K47" s="16">
        <f>IF(RFIActionRegister[[#This Row],[Date Sent to NACO]]="","",RFIActionRegister[[#This Row],[Date Sent to NACO]]+1)</f>
        <v>46209</v>
      </c>
      <c r="L47" s="16">
        <v>46209</v>
      </c>
      <c r="M47" s="18"/>
      <c r="N47" s="17" t="s">
        <v>27</v>
      </c>
      <c r="O47" s="24"/>
      <c r="P47" s="20"/>
    </row>
    <row r="48" spans="1:16" ht="27.2" hidden="1" customHeight="1">
      <c r="A48" s="17" t="s">
        <v>136</v>
      </c>
      <c r="B48" s="18">
        <v>1</v>
      </c>
      <c r="C48" s="19" t="s">
        <v>138</v>
      </c>
      <c r="D48" s="17" t="s">
        <v>25</v>
      </c>
      <c r="E48" s="23" t="s">
        <v>30</v>
      </c>
      <c r="F48" s="41" t="s">
        <v>36</v>
      </c>
      <c r="G48" s="16">
        <v>46212</v>
      </c>
      <c r="H48" s="16">
        <f>RFIActionRegister[[#This Row],[Creation Date]]+3</f>
        <v>46215</v>
      </c>
      <c r="I48" s="16">
        <v>46222</v>
      </c>
      <c r="J48" s="29">
        <v>46216</v>
      </c>
      <c r="K48" s="29">
        <f>IF(RFIActionRegister[[#This Row],[Date Sent to NACO]]="","",RFIActionRegister[[#This Row],[Date Sent to NACO]]+1)</f>
        <v>46217</v>
      </c>
      <c r="L48" s="29">
        <v>46222</v>
      </c>
      <c r="M48" s="18" t="s">
        <v>139</v>
      </c>
      <c r="N48" s="17" t="s">
        <v>27</v>
      </c>
      <c r="O48" s="24"/>
      <c r="P48" s="20"/>
    </row>
    <row r="49" spans="1:16" ht="27.2" hidden="1" customHeight="1">
      <c r="A49" s="17" t="s">
        <v>140</v>
      </c>
      <c r="B49" s="18">
        <v>0</v>
      </c>
      <c r="C49" s="19" t="s">
        <v>141</v>
      </c>
      <c r="D49" s="17" t="s">
        <v>25</v>
      </c>
      <c r="E49" s="23" t="s">
        <v>30</v>
      </c>
      <c r="F49" s="41" t="s">
        <v>36</v>
      </c>
      <c r="G49" s="16">
        <v>46204</v>
      </c>
      <c r="H49" s="16">
        <f>RFIActionRegister[[#This Row],[Creation Date]]+3</f>
        <v>46207</v>
      </c>
      <c r="I49" s="16"/>
      <c r="J49" s="29">
        <v>46208</v>
      </c>
      <c r="K49" s="29">
        <f>IF(RFIActionRegister[[#This Row],[Date Sent to NACO]]="","",RFIActionRegister[[#This Row],[Date Sent to NACO]]+1)</f>
        <v>46209</v>
      </c>
      <c r="L49" s="29">
        <v>46211</v>
      </c>
      <c r="M49" s="18"/>
      <c r="N49" s="17" t="s">
        <v>27</v>
      </c>
      <c r="O49" s="24"/>
      <c r="P49" s="20"/>
    </row>
    <row r="50" spans="1:16" ht="27.2" hidden="1" customHeight="1">
      <c r="A50" s="17" t="s">
        <v>142</v>
      </c>
      <c r="B50" s="18">
        <v>0</v>
      </c>
      <c r="C50" s="19" t="s">
        <v>143</v>
      </c>
      <c r="D50" s="17" t="s">
        <v>25</v>
      </c>
      <c r="E50" s="23" t="s">
        <v>30</v>
      </c>
      <c r="F50" s="41" t="s">
        <v>36</v>
      </c>
      <c r="G50" s="16">
        <v>46208</v>
      </c>
      <c r="H50" s="16">
        <f>RFIActionRegister[[#This Row],[Creation Date]]+3</f>
        <v>46211</v>
      </c>
      <c r="I50" s="16">
        <f>RFIActionRegister[[#This Row],[Creation Date]]+3</f>
        <v>46211</v>
      </c>
      <c r="J50" s="29">
        <v>46213</v>
      </c>
      <c r="K50" s="29">
        <f>IF(RFIActionRegister[[#This Row],[Date Sent to NACO]]="","",RFIActionRegister[[#This Row],[Date Sent to NACO]]+1)</f>
        <v>46214</v>
      </c>
      <c r="L50" s="29">
        <v>46212</v>
      </c>
      <c r="M50" s="18"/>
      <c r="N50" s="17" t="s">
        <v>27</v>
      </c>
      <c r="O50" s="24"/>
      <c r="P50" s="20"/>
    </row>
    <row r="51" spans="1:16" ht="27.2" hidden="1" customHeight="1">
      <c r="A51" s="17" t="s">
        <v>144</v>
      </c>
      <c r="B51" s="18">
        <v>0</v>
      </c>
      <c r="C51" s="19" t="s">
        <v>145</v>
      </c>
      <c r="D51" s="17" t="s">
        <v>25</v>
      </c>
      <c r="E51" s="23" t="s">
        <v>30</v>
      </c>
      <c r="F51" s="41" t="s">
        <v>36</v>
      </c>
      <c r="G51" s="16">
        <v>46213</v>
      </c>
      <c r="H51" s="16">
        <f>RFIActionRegister[[#This Row],[Creation Date]]+3</f>
        <v>46216</v>
      </c>
      <c r="I51" s="16"/>
      <c r="J51" s="29">
        <v>46216</v>
      </c>
      <c r="K51" s="29">
        <f>IF(RFIActionRegister[[#This Row],[Date Sent to NACO]]="","",RFIActionRegister[[#This Row],[Date Sent to NACO]]+1)</f>
        <v>46217</v>
      </c>
      <c r="L51" s="29">
        <f>IF(RFIActionRegister[[#This Row],[Date Sent to NACO]]="","",RFIActionRegister[[#This Row],[Date Sent to NACO]]+1)</f>
        <v>46217</v>
      </c>
      <c r="M51" s="38">
        <v>46217</v>
      </c>
      <c r="N51" s="17" t="s">
        <v>27</v>
      </c>
      <c r="O51" s="24"/>
      <c r="P51" s="20"/>
    </row>
    <row r="52" spans="1:16" ht="27" hidden="1" customHeight="1">
      <c r="A52" s="17" t="s">
        <v>146</v>
      </c>
      <c r="B52" s="18">
        <v>0</v>
      </c>
      <c r="C52" s="19" t="s">
        <v>147</v>
      </c>
      <c r="D52" s="17" t="s">
        <v>25</v>
      </c>
      <c r="E52" s="23" t="s">
        <v>105</v>
      </c>
      <c r="F52" s="41" t="s">
        <v>43</v>
      </c>
      <c r="G52" s="16">
        <v>46213</v>
      </c>
      <c r="H52" s="16">
        <f>RFIActionRegister[[#This Row],[Creation Date]]+3</f>
        <v>46216</v>
      </c>
      <c r="I52" s="16">
        <f>RFIActionRegister[[#This Row],[Creation Date]]+3</f>
        <v>46216</v>
      </c>
      <c r="J52" s="29"/>
      <c r="K52" s="29" t="str">
        <f>IF(RFIActionRegister[[#This Row],[Date Sent to NACO]]="","",RFIActionRegister[[#This Row],[Date Sent to NACO]]+1)</f>
        <v/>
      </c>
      <c r="L52" s="29"/>
      <c r="M52" s="18"/>
      <c r="N52" s="17" t="s">
        <v>27</v>
      </c>
      <c r="O52" s="24"/>
      <c r="P52" s="20"/>
    </row>
    <row r="53" spans="1:16" ht="27" hidden="1" customHeight="1">
      <c r="A53" s="17" t="s">
        <v>146</v>
      </c>
      <c r="B53" s="18">
        <v>1</v>
      </c>
      <c r="C53" s="19" t="s">
        <v>147</v>
      </c>
      <c r="D53" s="17" t="s">
        <v>25</v>
      </c>
      <c r="E53" s="23" t="s">
        <v>105</v>
      </c>
      <c r="F53" s="41" t="s">
        <v>43</v>
      </c>
      <c r="G53" s="16">
        <v>46218</v>
      </c>
      <c r="H53" s="16">
        <f>RFIActionRegister[[#This Row],[Creation Date]]+3</f>
        <v>46221</v>
      </c>
      <c r="I53" s="16">
        <f>RFIActionRegister[[#This Row],[Due Date]]+3</f>
        <v>46224</v>
      </c>
      <c r="J53" s="29"/>
      <c r="K53" s="29" t="str">
        <f>IF(RFIActionRegister[[#This Row],[Date Sent to NACO]]="","",RFIActionRegister[[#This Row],[Date Sent to NACO]]+1)</f>
        <v/>
      </c>
      <c r="L53" s="29"/>
      <c r="M53" s="18"/>
      <c r="N53" s="17" t="s">
        <v>27</v>
      </c>
      <c r="O53" s="24"/>
      <c r="P53" s="20"/>
    </row>
    <row r="54" spans="1:16" ht="27" hidden="1" customHeight="1">
      <c r="A54" s="17" t="s">
        <v>148</v>
      </c>
      <c r="B54" s="18">
        <v>0</v>
      </c>
      <c r="C54" s="19" t="s">
        <v>149</v>
      </c>
      <c r="D54" s="17" t="s">
        <v>25</v>
      </c>
      <c r="E54" s="23" t="s">
        <v>105</v>
      </c>
      <c r="F54" s="41" t="s">
        <v>43</v>
      </c>
      <c r="G54" s="16">
        <v>46232</v>
      </c>
      <c r="H54" s="16">
        <f>RFIActionRegister[[#This Row],[Creation Date]]+3</f>
        <v>46235</v>
      </c>
      <c r="I54" s="16">
        <v>46236</v>
      </c>
      <c r="J54" s="29"/>
      <c r="K54" s="29" t="str">
        <f>IF(RFIActionRegister[[#This Row],[Date Sent to NACO]]="","",RFIActionRegister[[#This Row],[Date Sent to NACO]]+1)</f>
        <v/>
      </c>
      <c r="L54" s="29"/>
      <c r="M54" s="18"/>
      <c r="N54" s="17" t="s">
        <v>27</v>
      </c>
      <c r="O54" s="24"/>
      <c r="P54" s="20"/>
    </row>
    <row r="55" spans="1:16" ht="27" hidden="1" customHeight="1">
      <c r="A55" s="17" t="s">
        <v>150</v>
      </c>
      <c r="B55" s="18">
        <v>0</v>
      </c>
      <c r="C55" s="19" t="s">
        <v>151</v>
      </c>
      <c r="D55" s="17" t="s">
        <v>25</v>
      </c>
      <c r="E55" s="23" t="s">
        <v>105</v>
      </c>
      <c r="F55" s="41" t="s">
        <v>43</v>
      </c>
      <c r="G55" s="16">
        <v>46247</v>
      </c>
      <c r="H55" s="16">
        <f>RFIActionRegister[[#This Row],[Creation Date]]+3</f>
        <v>46250</v>
      </c>
      <c r="I55" s="16">
        <v>46250</v>
      </c>
      <c r="J55" s="29"/>
      <c r="K55" s="29" t="str">
        <f>IF(RFIActionRegister[[#This Row],[Date Sent to NACO]]="","",RFIActionRegister[[#This Row],[Date Sent to NACO]]+1)</f>
        <v/>
      </c>
      <c r="L55" s="29"/>
      <c r="M55" s="18"/>
      <c r="N55" s="17" t="s">
        <v>27</v>
      </c>
      <c r="O55" s="24"/>
      <c r="P55" s="20"/>
    </row>
    <row r="56" spans="1:16" ht="27" hidden="1" customHeight="1">
      <c r="A56" s="17" t="s">
        <v>152</v>
      </c>
      <c r="B56" s="18">
        <v>0</v>
      </c>
      <c r="C56" s="19" t="s">
        <v>153</v>
      </c>
      <c r="D56" s="17" t="s">
        <v>25</v>
      </c>
      <c r="E56" s="23" t="s">
        <v>30</v>
      </c>
      <c r="F56" s="41" t="s">
        <v>36</v>
      </c>
      <c r="G56" s="16">
        <v>46251</v>
      </c>
      <c r="H56" s="16">
        <f>RFIActionRegister[[#This Row],[Creation Date]]+3</f>
        <v>46254</v>
      </c>
      <c r="I56" s="16"/>
      <c r="J56" s="29">
        <v>46259</v>
      </c>
      <c r="K56" s="29">
        <f>IF(RFIActionRegister[[#This Row],[Date Sent to NACO]]="","",RFIActionRegister[[#This Row],[Date Sent to NACO]]+1)</f>
        <v>46260</v>
      </c>
      <c r="L56" s="29">
        <v>46265</v>
      </c>
      <c r="M56" s="18"/>
      <c r="N56" s="17" t="s">
        <v>27</v>
      </c>
      <c r="O56" s="24"/>
      <c r="P56" s="20"/>
    </row>
    <row r="57" spans="1:16" ht="27" hidden="1" customHeight="1">
      <c r="A57" s="17" t="s">
        <v>152</v>
      </c>
      <c r="B57" s="18">
        <v>1</v>
      </c>
      <c r="C57" s="19" t="s">
        <v>153</v>
      </c>
      <c r="D57" s="17" t="s">
        <v>25</v>
      </c>
      <c r="E57" s="23" t="s">
        <v>30</v>
      </c>
      <c r="F57" s="41" t="s">
        <v>36</v>
      </c>
      <c r="G57" s="16">
        <v>46273</v>
      </c>
      <c r="H57" s="16">
        <f>RFIActionRegister[[#This Row],[Creation Date]]+3</f>
        <v>46276</v>
      </c>
      <c r="I57" s="16"/>
      <c r="J57" s="29">
        <v>46274</v>
      </c>
      <c r="K57" s="29">
        <f>IF(RFIActionRegister[[#This Row],[Date Sent to NACO]]="","",RFIActionRegister[[#This Row],[Date Sent to NACO]]+1)</f>
        <v>46275</v>
      </c>
      <c r="L57" s="29">
        <v>46280</v>
      </c>
      <c r="M57" s="18"/>
      <c r="N57" s="17" t="s">
        <v>27</v>
      </c>
      <c r="O57" s="24"/>
      <c r="P57" s="20"/>
    </row>
    <row r="58" spans="1:16" ht="27" hidden="1" customHeight="1">
      <c r="A58" s="17" t="s">
        <v>154</v>
      </c>
      <c r="B58" s="18">
        <v>0</v>
      </c>
      <c r="C58" s="19" t="s">
        <v>155</v>
      </c>
      <c r="D58" s="17" t="s">
        <v>25</v>
      </c>
      <c r="E58" s="23" t="s">
        <v>30</v>
      </c>
      <c r="F58" s="41" t="s">
        <v>36</v>
      </c>
      <c r="G58" s="16">
        <v>46257</v>
      </c>
      <c r="H58" s="16">
        <f>RFIActionRegister[[#This Row],[Creation Date]]+3</f>
        <v>46260</v>
      </c>
      <c r="I58" s="16"/>
      <c r="J58" s="29">
        <v>46259</v>
      </c>
      <c r="K58" s="29">
        <f>IF(RFIActionRegister[[#This Row],[Date Sent to NACO]]="","",RFIActionRegister[[#This Row],[Date Sent to NACO]]+1)</f>
        <v>46260</v>
      </c>
      <c r="L58" s="29">
        <v>46262</v>
      </c>
      <c r="M58" s="18"/>
      <c r="N58" s="17" t="s">
        <v>27</v>
      </c>
      <c r="O58" s="24"/>
      <c r="P58" s="20"/>
    </row>
    <row r="59" spans="1:16" ht="27" hidden="1" customHeight="1">
      <c r="A59" s="17" t="s">
        <v>156</v>
      </c>
      <c r="B59" s="18">
        <v>0</v>
      </c>
      <c r="C59" s="19" t="s">
        <v>157</v>
      </c>
      <c r="D59" s="17" t="s">
        <v>25</v>
      </c>
      <c r="E59" s="23" t="s">
        <v>105</v>
      </c>
      <c r="F59" s="41" t="s">
        <v>43</v>
      </c>
      <c r="G59" s="16">
        <v>46272</v>
      </c>
      <c r="H59" s="16">
        <f>RFIActionRegister[[#This Row],[Creation Date]]+3</f>
        <v>46275</v>
      </c>
      <c r="I59" s="16">
        <v>46273</v>
      </c>
      <c r="J59" s="29"/>
      <c r="K59" s="29" t="str">
        <f>IF(RFIActionRegister[[#This Row],[Date Sent to NACO]]="","",RFIActionRegister[[#This Row],[Date Sent to NACO]]+1)</f>
        <v/>
      </c>
      <c r="L59" s="29"/>
      <c r="M59" s="18" t="s">
        <v>158</v>
      </c>
      <c r="N59" s="17" t="s">
        <v>27</v>
      </c>
      <c r="O59" s="24"/>
      <c r="P59" s="20"/>
    </row>
    <row r="60" spans="1:16" ht="27" customHeight="1">
      <c r="A60" s="17" t="s">
        <v>159</v>
      </c>
      <c r="B60" s="18">
        <v>0</v>
      </c>
      <c r="C60" s="19" t="s">
        <v>160</v>
      </c>
      <c r="D60" s="17" t="s">
        <v>25</v>
      </c>
      <c r="E60" s="23" t="s">
        <v>30</v>
      </c>
      <c r="F60" s="41" t="s">
        <v>31</v>
      </c>
      <c r="G60" s="16">
        <v>46298</v>
      </c>
      <c r="H60" s="16">
        <f>RFIActionRegister[[#This Row],[Creation Date]]+3</f>
        <v>46301</v>
      </c>
      <c r="I60" s="16"/>
      <c r="J60" s="29">
        <v>46299</v>
      </c>
      <c r="K60" s="29">
        <f>IF(RFIActionRegister[[#This Row],[Date Sent to NACO]]="","",RFIActionRegister[[#This Row],[Date Sent to NACO]]+1)</f>
        <v>46300</v>
      </c>
      <c r="L60" s="29"/>
      <c r="M60" s="18"/>
      <c r="N60" s="17" t="s">
        <v>2</v>
      </c>
      <c r="O60" s="24"/>
      <c r="P60" s="20"/>
    </row>
    <row r="61" spans="1:16" ht="27" hidden="1" customHeight="1">
      <c r="A61" s="17" t="s">
        <v>161</v>
      </c>
      <c r="B61" s="18">
        <v>0</v>
      </c>
      <c r="C61" s="19" t="s">
        <v>162</v>
      </c>
      <c r="D61" s="17" t="s">
        <v>25</v>
      </c>
      <c r="E61" s="23" t="s">
        <v>30</v>
      </c>
      <c r="F61" s="41" t="s">
        <v>36</v>
      </c>
      <c r="G61" s="16">
        <v>46305</v>
      </c>
      <c r="H61" s="16">
        <f>RFIActionRegister[[#This Row],[Creation Date]]+3</f>
        <v>46308</v>
      </c>
      <c r="I61" s="16"/>
      <c r="J61" s="29">
        <v>46306</v>
      </c>
      <c r="K61" s="29">
        <f>IF(RFIActionRegister[[#This Row],[Date Sent to NACO]]="","",RFIActionRegister[[#This Row],[Date Sent to NACO]]+1)</f>
        <v>46307</v>
      </c>
      <c r="L61" s="29">
        <v>46306</v>
      </c>
      <c r="M61" s="18"/>
      <c r="N61" s="17" t="s">
        <v>27</v>
      </c>
      <c r="O61" s="24"/>
      <c r="P61" s="20"/>
    </row>
    <row r="62" spans="1:16" ht="27.2" hidden="1" customHeight="1">
      <c r="A62" s="17" t="s">
        <v>163</v>
      </c>
      <c r="B62" s="18">
        <v>0</v>
      </c>
      <c r="C62" s="19" t="s">
        <v>164</v>
      </c>
      <c r="D62" s="17" t="s">
        <v>165</v>
      </c>
      <c r="E62" s="22"/>
      <c r="F62" s="41" t="s">
        <v>26</v>
      </c>
      <c r="G62" s="16">
        <v>45954</v>
      </c>
      <c r="H62" s="16">
        <f>RFIActionRegister[[#This Row],[Creation Date]]+3</f>
        <v>45957</v>
      </c>
      <c r="I62" s="16">
        <v>45959</v>
      </c>
      <c r="J62" s="16"/>
      <c r="K62" s="16" t="str">
        <f>IF(RFIActionRegister[[#This Row],[Date Sent to NACO]]="","",RFIActionRegister[[#This Row],[Date Sent to NACO]]+1)</f>
        <v/>
      </c>
      <c r="L62" s="16"/>
      <c r="M62" s="18">
        <v>0</v>
      </c>
      <c r="N62" s="17" t="s">
        <v>27</v>
      </c>
      <c r="O62" s="15"/>
      <c r="P62" s="20"/>
    </row>
    <row r="63" spans="1:16" ht="27.2" hidden="1" customHeight="1">
      <c r="A63" s="17" t="s">
        <v>166</v>
      </c>
      <c r="B63" s="18">
        <v>0</v>
      </c>
      <c r="C63" s="19" t="s">
        <v>167</v>
      </c>
      <c r="D63" s="17" t="s">
        <v>165</v>
      </c>
      <c r="E63" s="22"/>
      <c r="F63" s="41" t="s">
        <v>26</v>
      </c>
      <c r="G63" s="16">
        <v>46015</v>
      </c>
      <c r="H63" s="16">
        <f>RFIActionRegister[[#This Row],[Creation Date]]+3</f>
        <v>46018</v>
      </c>
      <c r="I63" s="16">
        <v>46034</v>
      </c>
      <c r="J63" s="16"/>
      <c r="K63" s="16" t="str">
        <f>IF(RFIActionRegister[[#This Row],[Date Sent to NACO]]="","",RFIActionRegister[[#This Row],[Date Sent to NACO]]+1)</f>
        <v/>
      </c>
      <c r="L63" s="16"/>
      <c r="M63" s="18">
        <v>0</v>
      </c>
      <c r="N63" s="17" t="s">
        <v>27</v>
      </c>
      <c r="O63" s="15"/>
      <c r="P63" s="20"/>
    </row>
    <row r="64" spans="1:16" ht="27.2" hidden="1" customHeight="1">
      <c r="A64" s="17" t="s">
        <v>168</v>
      </c>
      <c r="B64" s="18">
        <v>0</v>
      </c>
      <c r="C64" s="19" t="s">
        <v>169</v>
      </c>
      <c r="D64" s="17" t="s">
        <v>165</v>
      </c>
      <c r="E64" s="22"/>
      <c r="F64" s="41" t="s">
        <v>26</v>
      </c>
      <c r="G64" s="16">
        <v>46019</v>
      </c>
      <c r="H64" s="16">
        <f>RFIActionRegister[[#This Row],[Creation Date]]+3</f>
        <v>46022</v>
      </c>
      <c r="I64" s="16">
        <v>46034</v>
      </c>
      <c r="J64" s="16"/>
      <c r="K64" s="16" t="str">
        <f>IF(RFIActionRegister[[#This Row],[Date Sent to NACO]]="","",RFIActionRegister[[#This Row],[Date Sent to NACO]]+1)</f>
        <v/>
      </c>
      <c r="L64" s="16"/>
      <c r="M64" s="18">
        <v>0</v>
      </c>
      <c r="N64" s="17" t="s">
        <v>27</v>
      </c>
      <c r="O64" s="15"/>
      <c r="P64" s="20"/>
    </row>
    <row r="65" spans="1:16" ht="27.2" hidden="1" customHeight="1">
      <c r="A65" s="17" t="s">
        <v>170</v>
      </c>
      <c r="B65" s="18">
        <v>0</v>
      </c>
      <c r="C65" s="19" t="s">
        <v>171</v>
      </c>
      <c r="D65" s="17" t="s">
        <v>165</v>
      </c>
      <c r="E65" s="22"/>
      <c r="F65" s="41" t="s">
        <v>26</v>
      </c>
      <c r="G65" s="16">
        <v>46027</v>
      </c>
      <c r="H65" s="16">
        <f>RFIActionRegister[[#This Row],[Creation Date]]+3</f>
        <v>46030</v>
      </c>
      <c r="I65" s="16">
        <v>46034</v>
      </c>
      <c r="J65" s="16"/>
      <c r="K65" s="16" t="str">
        <f>IF(RFIActionRegister[[#This Row],[Date Sent to NACO]]="","",RFIActionRegister[[#This Row],[Date Sent to NACO]]+1)</f>
        <v/>
      </c>
      <c r="L65" s="16"/>
      <c r="M65" s="18">
        <v>0</v>
      </c>
      <c r="N65" s="17" t="s">
        <v>27</v>
      </c>
      <c r="O65" s="15"/>
      <c r="P65" s="20"/>
    </row>
    <row r="66" spans="1:16" ht="27.2" hidden="1" customHeight="1">
      <c r="A66" s="44" t="s">
        <v>172</v>
      </c>
      <c r="B66" s="18">
        <v>0</v>
      </c>
      <c r="C66" s="19" t="s">
        <v>173</v>
      </c>
      <c r="D66" s="17" t="s">
        <v>165</v>
      </c>
      <c r="E66" s="22"/>
      <c r="F66" s="41" t="s">
        <v>26</v>
      </c>
      <c r="G66" s="16">
        <v>46041</v>
      </c>
      <c r="H66" s="16">
        <f>RFIActionRegister[[#This Row],[Creation Date]]+3</f>
        <v>46044</v>
      </c>
      <c r="I66" s="16">
        <v>46051</v>
      </c>
      <c r="J66" s="16"/>
      <c r="K66" s="16" t="str">
        <f>IF(RFIActionRegister[[#This Row],[Date Sent to NACO]]="","",RFIActionRegister[[#This Row],[Date Sent to NACO]]+1)</f>
        <v/>
      </c>
      <c r="L66" s="16"/>
      <c r="M66" s="18">
        <v>0</v>
      </c>
      <c r="N66" s="17" t="s">
        <v>27</v>
      </c>
      <c r="O66" s="15"/>
      <c r="P66" s="20"/>
    </row>
    <row r="67" spans="1:16" ht="27.2" hidden="1" customHeight="1">
      <c r="A67" s="17" t="s">
        <v>172</v>
      </c>
      <c r="B67" s="18">
        <v>1</v>
      </c>
      <c r="C67" s="19" t="s">
        <v>174</v>
      </c>
      <c r="D67" s="17" t="s">
        <v>165</v>
      </c>
      <c r="E67" s="22"/>
      <c r="F67" s="41" t="s">
        <v>26</v>
      </c>
      <c r="G67" s="16">
        <v>46097</v>
      </c>
      <c r="H67" s="16">
        <f>RFIActionRegister[[#This Row],[Creation Date]]+3</f>
        <v>46100</v>
      </c>
      <c r="I67" s="16">
        <v>46099</v>
      </c>
      <c r="J67" s="16"/>
      <c r="K67" s="16" t="str">
        <f>IF(RFIActionRegister[[#This Row],[Date Sent to NACO]]="","",RFIActionRegister[[#This Row],[Date Sent to NACO]]+1)</f>
        <v/>
      </c>
      <c r="L67" s="16"/>
      <c r="M67" s="18">
        <v>1</v>
      </c>
      <c r="N67" s="17" t="s">
        <v>27</v>
      </c>
      <c r="O67" s="15"/>
      <c r="P67" s="20"/>
    </row>
    <row r="68" spans="1:16" ht="27.2" hidden="1" customHeight="1">
      <c r="A68" s="17" t="s">
        <v>175</v>
      </c>
      <c r="B68" s="18">
        <v>0</v>
      </c>
      <c r="C68" s="19" t="s">
        <v>176</v>
      </c>
      <c r="D68" s="17" t="s">
        <v>165</v>
      </c>
      <c r="E68" s="22"/>
      <c r="F68" s="41" t="s">
        <v>26</v>
      </c>
      <c r="G68" s="16">
        <v>46056</v>
      </c>
      <c r="H68" s="16">
        <f>RFIActionRegister[[#This Row],[Creation Date]]+3</f>
        <v>46059</v>
      </c>
      <c r="I68" s="16">
        <v>46058</v>
      </c>
      <c r="J68" s="16"/>
      <c r="K68" s="16" t="str">
        <f>IF(RFIActionRegister[[#This Row],[Date Sent to NACO]]="","",RFIActionRegister[[#This Row],[Date Sent to NACO]]+1)</f>
        <v/>
      </c>
      <c r="L68" s="16"/>
      <c r="M68" s="18">
        <v>0</v>
      </c>
      <c r="N68" s="17" t="s">
        <v>27</v>
      </c>
      <c r="O68" s="15"/>
      <c r="P68" s="20"/>
    </row>
    <row r="69" spans="1:16" ht="27.2" hidden="1" customHeight="1">
      <c r="A69" s="17" t="s">
        <v>177</v>
      </c>
      <c r="B69" s="18">
        <v>0</v>
      </c>
      <c r="C69" s="19" t="s">
        <v>178</v>
      </c>
      <c r="D69" s="17" t="s">
        <v>165</v>
      </c>
      <c r="E69" s="22"/>
      <c r="F69" s="41" t="s">
        <v>26</v>
      </c>
      <c r="G69" s="16">
        <v>46057</v>
      </c>
      <c r="H69" s="16">
        <f>RFIActionRegister[[#This Row],[Creation Date]]+3</f>
        <v>46060</v>
      </c>
      <c r="I69" s="16">
        <v>46063</v>
      </c>
      <c r="J69" s="16"/>
      <c r="K69" s="16" t="str">
        <f>IF(RFIActionRegister[[#This Row],[Date Sent to NACO]]="","",RFIActionRegister[[#This Row],[Date Sent to NACO]]+1)</f>
        <v/>
      </c>
      <c r="L69" s="16"/>
      <c r="M69" s="18">
        <v>0</v>
      </c>
      <c r="N69" s="17" t="s">
        <v>27</v>
      </c>
      <c r="O69" s="15"/>
      <c r="P69" s="20"/>
    </row>
    <row r="70" spans="1:16" ht="50.45" hidden="1" customHeight="1">
      <c r="A70" s="17" t="s">
        <v>179</v>
      </c>
      <c r="B70" s="18">
        <v>0</v>
      </c>
      <c r="C70" s="19" t="s">
        <v>180</v>
      </c>
      <c r="D70" s="17" t="s">
        <v>165</v>
      </c>
      <c r="E70" s="22"/>
      <c r="F70" s="41" t="s">
        <v>26</v>
      </c>
      <c r="G70" s="16">
        <v>46064</v>
      </c>
      <c r="H70" s="16">
        <f>RFIActionRegister[[#This Row],[Creation Date]]+3</f>
        <v>46067</v>
      </c>
      <c r="I70" s="16">
        <v>46078</v>
      </c>
      <c r="J70" s="16"/>
      <c r="K70" s="16" t="str">
        <f>IF(RFIActionRegister[[#This Row],[Date Sent to NACO]]="","",RFIActionRegister[[#This Row],[Date Sent to NACO]]+1)</f>
        <v/>
      </c>
      <c r="L70" s="16"/>
      <c r="M70" s="18">
        <v>0</v>
      </c>
      <c r="N70" s="17" t="s">
        <v>27</v>
      </c>
      <c r="O70" s="15"/>
      <c r="P70" s="20"/>
    </row>
    <row r="71" spans="1:16" ht="46.9" hidden="1" customHeight="1">
      <c r="A71" s="17" t="s">
        <v>181</v>
      </c>
      <c r="B71" s="18">
        <v>0</v>
      </c>
      <c r="C71" s="19" t="s">
        <v>182</v>
      </c>
      <c r="D71" s="17" t="s">
        <v>165</v>
      </c>
      <c r="E71" s="22"/>
      <c r="F71" s="41" t="s">
        <v>26</v>
      </c>
      <c r="G71" s="16">
        <v>46064</v>
      </c>
      <c r="H71" s="16">
        <f>RFIActionRegister[[#This Row],[Creation Date]]+3</f>
        <v>46067</v>
      </c>
      <c r="I71" s="16">
        <v>46078</v>
      </c>
      <c r="J71" s="16"/>
      <c r="K71" s="16" t="str">
        <f>IF(RFIActionRegister[[#This Row],[Date Sent to NACO]]="","",RFIActionRegister[[#This Row],[Date Sent to NACO]]+1)</f>
        <v/>
      </c>
      <c r="L71" s="16"/>
      <c r="M71" s="18">
        <v>0</v>
      </c>
      <c r="N71" s="17" t="s">
        <v>27</v>
      </c>
      <c r="O71" s="15"/>
      <c r="P71" s="20"/>
    </row>
    <row r="72" spans="1:16" ht="65.45" hidden="1" customHeight="1">
      <c r="A72" s="17" t="s">
        <v>183</v>
      </c>
      <c r="B72" s="18">
        <v>0</v>
      </c>
      <c r="C72" s="19" t="s">
        <v>184</v>
      </c>
      <c r="D72" s="17" t="s">
        <v>165</v>
      </c>
      <c r="E72" s="22"/>
      <c r="F72" s="41" t="s">
        <v>26</v>
      </c>
      <c r="G72" s="16">
        <v>46064</v>
      </c>
      <c r="H72" s="16">
        <f>RFIActionRegister[[#This Row],[Creation Date]]+3</f>
        <v>46067</v>
      </c>
      <c r="I72" s="16">
        <v>46088</v>
      </c>
      <c r="J72" s="16"/>
      <c r="K72" s="16" t="str">
        <f>IF(RFIActionRegister[[#This Row],[Date Sent to NACO]]="","",RFIActionRegister[[#This Row],[Date Sent to NACO]]+1)</f>
        <v/>
      </c>
      <c r="L72" s="16"/>
      <c r="M72" s="18">
        <v>0</v>
      </c>
      <c r="N72" s="17" t="s">
        <v>27</v>
      </c>
      <c r="O72" s="15"/>
      <c r="P72" s="20"/>
    </row>
    <row r="73" spans="1:16" ht="42.6" hidden="1" customHeight="1">
      <c r="A73" s="17" t="s">
        <v>185</v>
      </c>
      <c r="B73" s="18">
        <v>0</v>
      </c>
      <c r="C73" s="19" t="s">
        <v>186</v>
      </c>
      <c r="D73" s="17" t="s">
        <v>165</v>
      </c>
      <c r="E73" s="22"/>
      <c r="F73" s="41" t="s">
        <v>26</v>
      </c>
      <c r="G73" s="16">
        <v>46068</v>
      </c>
      <c r="H73" s="16">
        <f>RFIActionRegister[[#This Row],[Creation Date]]+3</f>
        <v>46071</v>
      </c>
      <c r="I73" s="16">
        <v>46088</v>
      </c>
      <c r="J73" s="16"/>
      <c r="K73" s="16" t="str">
        <f>IF(RFIActionRegister[[#This Row],[Date Sent to NACO]]="","",RFIActionRegister[[#This Row],[Date Sent to NACO]]+1)</f>
        <v/>
      </c>
      <c r="L73" s="16"/>
      <c r="M73" s="18">
        <v>0</v>
      </c>
      <c r="N73" s="17" t="s">
        <v>27</v>
      </c>
      <c r="O73" s="15"/>
      <c r="P73" s="20"/>
    </row>
    <row r="74" spans="1:16" ht="24.75" hidden="1" customHeight="1">
      <c r="A74" s="17" t="s">
        <v>185</v>
      </c>
      <c r="B74" s="18">
        <v>1</v>
      </c>
      <c r="C74" s="19" t="s">
        <v>187</v>
      </c>
      <c r="D74" s="17" t="s">
        <v>165</v>
      </c>
      <c r="E74" s="22" t="s">
        <v>30</v>
      </c>
      <c r="F74" s="41" t="s">
        <v>117</v>
      </c>
      <c r="G74" s="16">
        <v>46161</v>
      </c>
      <c r="H74" s="16">
        <f>RFIActionRegister[[#This Row],[Creation Date]]+3</f>
        <v>46164</v>
      </c>
      <c r="I74" s="16">
        <v>46177</v>
      </c>
      <c r="J74" s="16"/>
      <c r="K74" s="16" t="str">
        <f>IF(RFIActionRegister[[#This Row],[Date Sent to NACO]]="","",RFIActionRegister[[#This Row],[Date Sent to NACO]]+1)</f>
        <v/>
      </c>
      <c r="L74" s="16"/>
      <c r="M74" s="18">
        <v>1</v>
      </c>
      <c r="N74" s="17" t="s">
        <v>27</v>
      </c>
      <c r="O74" s="15"/>
      <c r="P74" s="20"/>
    </row>
    <row r="75" spans="1:16" ht="27.2" hidden="1" customHeight="1">
      <c r="A75" s="17" t="s">
        <v>188</v>
      </c>
      <c r="B75" s="18">
        <v>0</v>
      </c>
      <c r="C75" s="19" t="s">
        <v>189</v>
      </c>
      <c r="D75" s="17" t="s">
        <v>165</v>
      </c>
      <c r="E75" s="22"/>
      <c r="F75" s="41" t="s">
        <v>26</v>
      </c>
      <c r="G75" s="16">
        <v>46070</v>
      </c>
      <c r="H75" s="16">
        <f>RFIActionRegister[[#This Row],[Creation Date]]+3</f>
        <v>46073</v>
      </c>
      <c r="I75" s="16">
        <v>46082</v>
      </c>
      <c r="J75" s="16"/>
      <c r="K75" s="16" t="str">
        <f>IF(RFIActionRegister[[#This Row],[Date Sent to NACO]]="","",RFIActionRegister[[#This Row],[Date Sent to NACO]]+1)</f>
        <v/>
      </c>
      <c r="L75" s="16"/>
      <c r="M75" s="18">
        <v>0</v>
      </c>
      <c r="N75" s="17" t="s">
        <v>27</v>
      </c>
      <c r="O75" s="15"/>
      <c r="P75" s="20"/>
    </row>
    <row r="76" spans="1:16" ht="27.2" hidden="1" customHeight="1">
      <c r="A76" s="17" t="s">
        <v>190</v>
      </c>
      <c r="B76" s="18">
        <v>0</v>
      </c>
      <c r="C76" s="19" t="s">
        <v>191</v>
      </c>
      <c r="D76" s="17" t="s">
        <v>165</v>
      </c>
      <c r="E76" s="22"/>
      <c r="F76" s="41" t="s">
        <v>26</v>
      </c>
      <c r="G76" s="16">
        <v>46075</v>
      </c>
      <c r="H76" s="16">
        <f>RFIActionRegister[[#This Row],[Creation Date]]+3</f>
        <v>46078</v>
      </c>
      <c r="I76" s="16">
        <v>46105</v>
      </c>
      <c r="J76" s="16"/>
      <c r="K76" s="16" t="str">
        <f>IF(RFIActionRegister[[#This Row],[Date Sent to NACO]]="","",RFIActionRegister[[#This Row],[Date Sent to NACO]]+1)</f>
        <v/>
      </c>
      <c r="L76" s="16"/>
      <c r="M76" s="18">
        <v>0</v>
      </c>
      <c r="N76" s="17" t="s">
        <v>27</v>
      </c>
      <c r="O76" s="15"/>
      <c r="P76" s="20"/>
    </row>
    <row r="77" spans="1:16" ht="27.2" hidden="1" customHeight="1">
      <c r="A77" s="17" t="s">
        <v>192</v>
      </c>
      <c r="B77" s="18">
        <v>0</v>
      </c>
      <c r="C77" s="19" t="s">
        <v>193</v>
      </c>
      <c r="D77" s="17" t="s">
        <v>165</v>
      </c>
      <c r="E77" s="22"/>
      <c r="F77" s="41" t="s">
        <v>26</v>
      </c>
      <c r="G77" s="16">
        <v>46075</v>
      </c>
      <c r="H77" s="16">
        <f>RFIActionRegister[[#This Row],[Creation Date]]+3</f>
        <v>46078</v>
      </c>
      <c r="I77" s="16">
        <v>46114</v>
      </c>
      <c r="J77" s="16"/>
      <c r="K77" s="16" t="str">
        <f>IF(RFIActionRegister[[#This Row],[Date Sent to NACO]]="","",RFIActionRegister[[#This Row],[Date Sent to NACO]]+1)</f>
        <v/>
      </c>
      <c r="L77" s="16"/>
      <c r="M77" s="18">
        <v>0</v>
      </c>
      <c r="N77" s="17" t="s">
        <v>27</v>
      </c>
      <c r="O77" s="15"/>
      <c r="P77" s="20"/>
    </row>
    <row r="78" spans="1:16" ht="22.5" hidden="1" customHeight="1">
      <c r="A78" s="17" t="s">
        <v>192</v>
      </c>
      <c r="B78" s="18">
        <v>1</v>
      </c>
      <c r="C78" s="19" t="s">
        <v>194</v>
      </c>
      <c r="D78" s="17" t="s">
        <v>165</v>
      </c>
      <c r="E78" s="22" t="s">
        <v>30</v>
      </c>
      <c r="F78" s="41" t="s">
        <v>117</v>
      </c>
      <c r="G78" s="16">
        <v>46167</v>
      </c>
      <c r="H78" s="16">
        <f>RFIActionRegister[[#This Row],[Creation Date]]+3</f>
        <v>46170</v>
      </c>
      <c r="I78" s="16"/>
      <c r="J78" s="16"/>
      <c r="K78" s="16" t="str">
        <f>IF(RFIActionRegister[[#This Row],[Date Sent to NACO]]="","",RFIActionRegister[[#This Row],[Date Sent to NACO]]+1)</f>
        <v/>
      </c>
      <c r="L78" s="16"/>
      <c r="M78" s="18"/>
      <c r="N78" s="17" t="s">
        <v>27</v>
      </c>
      <c r="O78" s="15"/>
      <c r="P78" s="20"/>
    </row>
    <row r="79" spans="1:16" ht="27.2" hidden="1" customHeight="1">
      <c r="A79" s="17" t="s">
        <v>195</v>
      </c>
      <c r="B79" s="18">
        <v>0</v>
      </c>
      <c r="C79" s="19" t="s">
        <v>196</v>
      </c>
      <c r="D79" s="17" t="s">
        <v>165</v>
      </c>
      <c r="E79" s="22"/>
      <c r="F79" s="41" t="s">
        <v>26</v>
      </c>
      <c r="G79" s="16">
        <v>46097</v>
      </c>
      <c r="H79" s="16">
        <f>RFIActionRegister[[#This Row],[Creation Date]]+3</f>
        <v>46100</v>
      </c>
      <c r="I79" s="16">
        <v>46105</v>
      </c>
      <c r="J79" s="16"/>
      <c r="K79" s="16" t="str">
        <f>IF(RFIActionRegister[[#This Row],[Date Sent to NACO]]="","",RFIActionRegister[[#This Row],[Date Sent to NACO]]+1)</f>
        <v/>
      </c>
      <c r="L79" s="16"/>
      <c r="M79" s="18">
        <v>0</v>
      </c>
      <c r="N79" s="17" t="s">
        <v>27</v>
      </c>
      <c r="O79" s="15"/>
      <c r="P79" s="20"/>
    </row>
    <row r="80" spans="1:16" ht="27.2" hidden="1" customHeight="1">
      <c r="A80" s="17" t="s">
        <v>197</v>
      </c>
      <c r="B80" s="18">
        <v>0</v>
      </c>
      <c r="C80" s="19" t="s">
        <v>198</v>
      </c>
      <c r="D80" s="17" t="s">
        <v>165</v>
      </c>
      <c r="E80" s="22"/>
      <c r="F80" s="41" t="s">
        <v>26</v>
      </c>
      <c r="G80" s="16">
        <v>46113</v>
      </c>
      <c r="H80" s="16">
        <f>RFIActionRegister[[#This Row],[Creation Date]]+3</f>
        <v>46116</v>
      </c>
      <c r="I80" s="16" t="s">
        <v>199</v>
      </c>
      <c r="J80" s="16"/>
      <c r="K80" s="16" t="str">
        <f>IF(RFIActionRegister[[#This Row],[Date Sent to NACO]]="","",RFIActionRegister[[#This Row],[Date Sent to NACO]]+1)</f>
        <v/>
      </c>
      <c r="L80" s="16"/>
      <c r="M80" s="18">
        <v>0</v>
      </c>
      <c r="N80" s="17" t="s">
        <v>27</v>
      </c>
      <c r="O80" s="15"/>
      <c r="P80" s="20"/>
    </row>
    <row r="81" spans="1:16" ht="27.2" hidden="1" customHeight="1">
      <c r="A81" s="17" t="s">
        <v>200</v>
      </c>
      <c r="B81" s="18">
        <v>0</v>
      </c>
      <c r="C81" s="19" t="s">
        <v>201</v>
      </c>
      <c r="D81" s="17" t="s">
        <v>165</v>
      </c>
      <c r="E81" s="22"/>
      <c r="F81" s="41" t="s">
        <v>26</v>
      </c>
      <c r="G81" s="16">
        <v>46114</v>
      </c>
      <c r="H81" s="16">
        <f>RFIActionRegister[[#This Row],[Creation Date]]+3</f>
        <v>46117</v>
      </c>
      <c r="I81" s="16" t="s">
        <v>202</v>
      </c>
      <c r="J81" s="16"/>
      <c r="K81" s="16" t="str">
        <f>IF(RFIActionRegister[[#This Row],[Date Sent to NACO]]="","",RFIActionRegister[[#This Row],[Date Sent to NACO]]+1)</f>
        <v/>
      </c>
      <c r="L81" s="16"/>
      <c r="M81" s="18">
        <v>0</v>
      </c>
      <c r="N81" s="17" t="s">
        <v>27</v>
      </c>
      <c r="O81" s="15"/>
      <c r="P81" s="20"/>
    </row>
    <row r="82" spans="1:16" ht="27.2" hidden="1" customHeight="1">
      <c r="A82" s="17" t="s">
        <v>203</v>
      </c>
      <c r="B82" s="18">
        <v>0</v>
      </c>
      <c r="C82" s="19" t="s">
        <v>204</v>
      </c>
      <c r="D82" s="17" t="s">
        <v>165</v>
      </c>
      <c r="E82" s="22"/>
      <c r="F82" s="41" t="s">
        <v>26</v>
      </c>
      <c r="G82" s="16">
        <v>46121</v>
      </c>
      <c r="H82" s="16">
        <f>RFIActionRegister[[#This Row],[Creation Date]]+3</f>
        <v>46124</v>
      </c>
      <c r="I82" s="16" t="s">
        <v>205</v>
      </c>
      <c r="J82" s="16"/>
      <c r="K82" s="16" t="str">
        <f>IF(RFIActionRegister[[#This Row],[Date Sent to NACO]]="","",RFIActionRegister[[#This Row],[Date Sent to NACO]]+1)</f>
        <v/>
      </c>
      <c r="L82" s="16"/>
      <c r="M82" s="18">
        <v>0</v>
      </c>
      <c r="N82" s="17" t="s">
        <v>27</v>
      </c>
      <c r="O82" s="15"/>
      <c r="P82" s="20"/>
    </row>
    <row r="83" spans="1:16" ht="27.2" hidden="1" customHeight="1">
      <c r="A83" s="17" t="s">
        <v>206</v>
      </c>
      <c r="B83" s="18">
        <v>0</v>
      </c>
      <c r="C83" s="19" t="s">
        <v>207</v>
      </c>
      <c r="D83" s="17" t="s">
        <v>165</v>
      </c>
      <c r="E83" s="22" t="s">
        <v>30</v>
      </c>
      <c r="F83" s="22" t="s">
        <v>117</v>
      </c>
      <c r="G83" s="16">
        <v>46123</v>
      </c>
      <c r="H83" s="16">
        <f>RFIActionRegister[[#This Row],[Creation Date]]+3</f>
        <v>46126</v>
      </c>
      <c r="I83" s="16"/>
      <c r="J83" s="16"/>
      <c r="K83" s="16" t="str">
        <f>IF(RFIActionRegister[[#This Row],[Date Sent to NACO]]="","",RFIActionRegister[[#This Row],[Date Sent to NACO]]+1)</f>
        <v/>
      </c>
      <c r="L83" s="16"/>
      <c r="M83" s="18">
        <v>0</v>
      </c>
      <c r="N83" s="17" t="s">
        <v>27</v>
      </c>
      <c r="O83" s="15"/>
      <c r="P83" s="20" t="s">
        <v>94</v>
      </c>
    </row>
    <row r="84" spans="1:16" ht="27.2" hidden="1" customHeight="1">
      <c r="A84" s="17" t="s">
        <v>206</v>
      </c>
      <c r="B84" s="18">
        <v>1</v>
      </c>
      <c r="C84" s="19" t="s">
        <v>208</v>
      </c>
      <c r="D84" s="17" t="s">
        <v>165</v>
      </c>
      <c r="E84" s="22" t="s">
        <v>105</v>
      </c>
      <c r="F84" s="16" t="s">
        <v>36</v>
      </c>
      <c r="G84" s="16">
        <v>46237</v>
      </c>
      <c r="H84" s="16">
        <f>RFIActionRegister[[#This Row],[Creation Date]]+3</f>
        <v>46240</v>
      </c>
      <c r="I84" s="16"/>
      <c r="J84" s="29">
        <v>46239</v>
      </c>
      <c r="K84" s="29"/>
      <c r="L84" s="29">
        <v>46246</v>
      </c>
      <c r="M84" s="18"/>
      <c r="N84" s="17" t="s">
        <v>27</v>
      </c>
      <c r="O84" s="24"/>
      <c r="P84" s="20"/>
    </row>
    <row r="85" spans="1:16" ht="27.2" hidden="1" customHeight="1">
      <c r="A85" s="17" t="s">
        <v>206</v>
      </c>
      <c r="B85" s="18">
        <v>2</v>
      </c>
      <c r="C85" s="19" t="s">
        <v>208</v>
      </c>
      <c r="D85" s="17" t="s">
        <v>165</v>
      </c>
      <c r="E85" s="22" t="s">
        <v>30</v>
      </c>
      <c r="F85" s="16" t="s">
        <v>36</v>
      </c>
      <c r="G85" s="16">
        <v>46259</v>
      </c>
      <c r="H85" s="16">
        <f>RFIActionRegister[[#This Row],[Creation Date]]+3</f>
        <v>46262</v>
      </c>
      <c r="I85" s="16"/>
      <c r="J85" s="29">
        <v>46259</v>
      </c>
      <c r="K85" s="29">
        <f>IF(RFIActionRegister[[#This Row],[Date Sent to NACO]]="","",RFIActionRegister[[#This Row],[Date Sent to NACO]]+1)</f>
        <v>46260</v>
      </c>
      <c r="L85" s="29">
        <v>46264</v>
      </c>
      <c r="M85" s="18"/>
      <c r="N85" s="17" t="s">
        <v>27</v>
      </c>
      <c r="O85" s="24"/>
      <c r="P85" s="20"/>
    </row>
    <row r="86" spans="1:16" ht="27.2" hidden="1" customHeight="1">
      <c r="A86" s="17" t="s">
        <v>209</v>
      </c>
      <c r="B86" s="18">
        <v>0</v>
      </c>
      <c r="C86" s="19" t="s">
        <v>210</v>
      </c>
      <c r="D86" s="17" t="s">
        <v>165</v>
      </c>
      <c r="E86" s="22"/>
      <c r="F86" s="41" t="s">
        <v>26</v>
      </c>
      <c r="G86" s="16">
        <v>46126</v>
      </c>
      <c r="H86" s="16">
        <f>RFIActionRegister[[#This Row],[Creation Date]]+3</f>
        <v>46129</v>
      </c>
      <c r="I86" s="16">
        <v>46141</v>
      </c>
      <c r="J86" s="16"/>
      <c r="K86" s="16" t="str">
        <f>IF(RFIActionRegister[[#This Row],[Date Sent to NACO]]="","",RFIActionRegister[[#This Row],[Date Sent to NACO]]+1)</f>
        <v/>
      </c>
      <c r="L86" s="16"/>
      <c r="M86" s="18">
        <v>0</v>
      </c>
      <c r="N86" s="17" t="s">
        <v>27</v>
      </c>
      <c r="O86" s="15" t="s">
        <v>211</v>
      </c>
      <c r="P86" s="20"/>
    </row>
    <row r="87" spans="1:16" ht="27.2" hidden="1" customHeight="1">
      <c r="A87" s="17" t="s">
        <v>212</v>
      </c>
      <c r="B87" s="18">
        <v>0</v>
      </c>
      <c r="C87" s="19" t="s">
        <v>213</v>
      </c>
      <c r="D87" s="17" t="s">
        <v>165</v>
      </c>
      <c r="E87" s="22"/>
      <c r="F87" s="41" t="s">
        <v>26</v>
      </c>
      <c r="G87" s="16">
        <v>46126</v>
      </c>
      <c r="H87" s="16">
        <f>RFIActionRegister[[#This Row],[Creation Date]]+3</f>
        <v>46129</v>
      </c>
      <c r="I87" s="16" t="s">
        <v>214</v>
      </c>
      <c r="J87" s="16"/>
      <c r="K87" s="16" t="str">
        <f>IF(RFIActionRegister[[#This Row],[Date Sent to NACO]]="","",RFIActionRegister[[#This Row],[Date Sent to NACO]]+1)</f>
        <v/>
      </c>
      <c r="L87" s="16"/>
      <c r="M87" s="18">
        <v>0</v>
      </c>
      <c r="N87" s="17" t="s">
        <v>27</v>
      </c>
      <c r="O87" s="15"/>
      <c r="P87" s="20"/>
    </row>
    <row r="88" spans="1:16" ht="27.2" hidden="1" customHeight="1">
      <c r="A88" s="17" t="s">
        <v>215</v>
      </c>
      <c r="B88" s="18">
        <v>0</v>
      </c>
      <c r="C88" s="19" t="s">
        <v>216</v>
      </c>
      <c r="D88" s="17" t="s">
        <v>165</v>
      </c>
      <c r="E88" s="22"/>
      <c r="F88" s="41" t="s">
        <v>26</v>
      </c>
      <c r="G88" s="16">
        <v>46135</v>
      </c>
      <c r="H88" s="16">
        <f>RFIActionRegister[[#This Row],[Creation Date]]+3</f>
        <v>46138</v>
      </c>
      <c r="I88" s="16">
        <v>46145</v>
      </c>
      <c r="J88" s="16"/>
      <c r="K88" s="16" t="str">
        <f>IF(RFIActionRegister[[#This Row],[Date Sent to NACO]]="","",RFIActionRegister[[#This Row],[Date Sent to NACO]]+1)</f>
        <v/>
      </c>
      <c r="L88" s="16"/>
      <c r="M88" s="18">
        <v>0</v>
      </c>
      <c r="N88" s="17" t="s">
        <v>27</v>
      </c>
      <c r="O88" s="15" t="s">
        <v>217</v>
      </c>
      <c r="P88" s="20"/>
    </row>
    <row r="89" spans="1:16" ht="27.2" hidden="1" customHeight="1">
      <c r="A89" s="17" t="s">
        <v>218</v>
      </c>
      <c r="B89" s="18">
        <v>0</v>
      </c>
      <c r="C89" s="19" t="s">
        <v>219</v>
      </c>
      <c r="D89" s="17" t="s">
        <v>165</v>
      </c>
      <c r="E89" s="22"/>
      <c r="F89" s="41" t="s">
        <v>26</v>
      </c>
      <c r="G89" s="16">
        <v>46137</v>
      </c>
      <c r="H89" s="16">
        <f>RFIActionRegister[[#This Row],[Creation Date]]+3</f>
        <v>46140</v>
      </c>
      <c r="I89" s="16">
        <v>46141</v>
      </c>
      <c r="J89" s="16"/>
      <c r="K89" s="16" t="str">
        <f>IF(RFIActionRegister[[#This Row],[Date Sent to NACO]]="","",RFIActionRegister[[#This Row],[Date Sent to NACO]]+1)</f>
        <v/>
      </c>
      <c r="L89" s="16"/>
      <c r="M89" s="18">
        <v>0</v>
      </c>
      <c r="N89" s="17" t="s">
        <v>27</v>
      </c>
      <c r="O89" s="15" t="s">
        <v>220</v>
      </c>
      <c r="P89" s="20"/>
    </row>
    <row r="90" spans="1:16" ht="27.2" hidden="1" customHeight="1">
      <c r="A90" s="17" t="s">
        <v>221</v>
      </c>
      <c r="B90" s="18">
        <v>0</v>
      </c>
      <c r="C90" s="19" t="s">
        <v>222</v>
      </c>
      <c r="D90" s="17" t="s">
        <v>165</v>
      </c>
      <c r="E90" s="22"/>
      <c r="F90" s="41" t="s">
        <v>26</v>
      </c>
      <c r="G90" s="16">
        <v>46138</v>
      </c>
      <c r="H90" s="16">
        <f>RFIActionRegister[[#This Row],[Creation Date]]+3</f>
        <v>46141</v>
      </c>
      <c r="I90" s="16">
        <v>46152</v>
      </c>
      <c r="J90" s="16"/>
      <c r="K90" s="16" t="str">
        <f>IF(RFIActionRegister[[#This Row],[Date Sent to NACO]]="","",RFIActionRegister[[#This Row],[Date Sent to NACO]]+1)</f>
        <v/>
      </c>
      <c r="L90" s="16"/>
      <c r="M90" s="18">
        <v>0</v>
      </c>
      <c r="N90" s="17" t="s">
        <v>27</v>
      </c>
      <c r="O90" s="15"/>
      <c r="P90" s="20"/>
    </row>
    <row r="91" spans="1:16" ht="27.2" hidden="1" customHeight="1">
      <c r="A91" s="17" t="s">
        <v>223</v>
      </c>
      <c r="B91" s="18">
        <v>0</v>
      </c>
      <c r="C91" s="19" t="s">
        <v>224</v>
      </c>
      <c r="D91" s="17" t="s">
        <v>165</v>
      </c>
      <c r="E91" s="22" t="s">
        <v>30</v>
      </c>
      <c r="F91" s="41" t="s">
        <v>117</v>
      </c>
      <c r="G91" s="16">
        <v>46145</v>
      </c>
      <c r="H91" s="16">
        <f>RFIActionRegister[[#This Row],[Creation Date]]+3</f>
        <v>46148</v>
      </c>
      <c r="I91" s="16"/>
      <c r="J91" s="16"/>
      <c r="K91" s="16" t="str">
        <f>IF(RFIActionRegister[[#This Row],[Date Sent to NACO]]="","",RFIActionRegister[[#This Row],[Date Sent to NACO]]+1)</f>
        <v/>
      </c>
      <c r="L91" s="16"/>
      <c r="M91" s="18">
        <v>0</v>
      </c>
      <c r="N91" s="17" t="s">
        <v>27</v>
      </c>
      <c r="O91" s="15"/>
      <c r="P91" s="20" t="s">
        <v>97</v>
      </c>
    </row>
    <row r="92" spans="1:16" ht="27.2" hidden="1" customHeight="1">
      <c r="A92" s="17" t="s">
        <v>225</v>
      </c>
      <c r="B92" s="18">
        <v>0</v>
      </c>
      <c r="C92" s="19" t="s">
        <v>226</v>
      </c>
      <c r="D92" s="17" t="s">
        <v>165</v>
      </c>
      <c r="E92" s="22"/>
      <c r="F92" s="41" t="s">
        <v>26</v>
      </c>
      <c r="G92" s="16">
        <v>46147</v>
      </c>
      <c r="H92" s="16">
        <f>RFIActionRegister[[#This Row],[Creation Date]]+3</f>
        <v>46150</v>
      </c>
      <c r="I92" s="16">
        <v>46155</v>
      </c>
      <c r="J92" s="16"/>
      <c r="K92" s="16" t="str">
        <f>IF(RFIActionRegister[[#This Row],[Date Sent to NACO]]="","",RFIActionRegister[[#This Row],[Date Sent to NACO]]+1)</f>
        <v/>
      </c>
      <c r="L92" s="16"/>
      <c r="M92" s="18">
        <v>0</v>
      </c>
      <c r="N92" s="17" t="s">
        <v>27</v>
      </c>
      <c r="O92" s="15" t="s">
        <v>227</v>
      </c>
      <c r="P92" s="20"/>
    </row>
    <row r="93" spans="1:16" ht="27.2" hidden="1" customHeight="1">
      <c r="A93" s="17" t="s">
        <v>228</v>
      </c>
      <c r="B93" s="18">
        <v>0</v>
      </c>
      <c r="C93" s="19" t="s">
        <v>229</v>
      </c>
      <c r="D93" s="17" t="s">
        <v>165</v>
      </c>
      <c r="E93" s="22"/>
      <c r="F93" s="41" t="s">
        <v>26</v>
      </c>
      <c r="G93" s="16">
        <v>46149</v>
      </c>
      <c r="H93" s="16">
        <f>RFIActionRegister[[#This Row],[Creation Date]]+3</f>
        <v>46152</v>
      </c>
      <c r="I93" s="16">
        <v>46159</v>
      </c>
      <c r="J93" s="16"/>
      <c r="K93" s="16" t="str">
        <f>IF(RFIActionRegister[[#This Row],[Date Sent to NACO]]="","",RFIActionRegister[[#This Row],[Date Sent to NACO]]+1)</f>
        <v/>
      </c>
      <c r="L93" s="16"/>
      <c r="M93" s="18">
        <v>0</v>
      </c>
      <c r="N93" s="17" t="s">
        <v>27</v>
      </c>
      <c r="O93" s="15" t="s">
        <v>230</v>
      </c>
      <c r="P93" s="20"/>
    </row>
    <row r="94" spans="1:16" ht="27.2" hidden="1" customHeight="1">
      <c r="A94" s="17" t="s">
        <v>231</v>
      </c>
      <c r="B94" s="18">
        <v>0</v>
      </c>
      <c r="C94" s="19" t="s">
        <v>232</v>
      </c>
      <c r="D94" s="17" t="s">
        <v>165</v>
      </c>
      <c r="E94" s="35"/>
      <c r="F94" s="41" t="s">
        <v>26</v>
      </c>
      <c r="G94" s="16">
        <v>46153</v>
      </c>
      <c r="H94" s="16">
        <f>RFIActionRegister[[#This Row],[Creation Date]]+3</f>
        <v>46156</v>
      </c>
      <c r="I94" s="37">
        <v>46158</v>
      </c>
      <c r="J94" s="37"/>
      <c r="K94" s="37" t="str">
        <f>IF(RFIActionRegister[[#This Row],[Date Sent to NACO]]="","",RFIActionRegister[[#This Row],[Date Sent to NACO]]+1)</f>
        <v/>
      </c>
      <c r="L94" s="37"/>
      <c r="M94" s="18">
        <v>0</v>
      </c>
      <c r="N94" s="17" t="s">
        <v>27</v>
      </c>
      <c r="O94" s="15" t="s">
        <v>233</v>
      </c>
      <c r="P94" s="20"/>
    </row>
    <row r="95" spans="1:16" ht="27.2" hidden="1" customHeight="1">
      <c r="A95" s="17" t="s">
        <v>231</v>
      </c>
      <c r="B95" s="18">
        <v>1</v>
      </c>
      <c r="C95" s="19" t="s">
        <v>234</v>
      </c>
      <c r="D95" s="17" t="s">
        <v>165</v>
      </c>
      <c r="E95" s="35" t="s">
        <v>30</v>
      </c>
      <c r="F95" s="41" t="s">
        <v>31</v>
      </c>
      <c r="G95" s="16">
        <v>46267</v>
      </c>
      <c r="H95" s="16">
        <f>RFIActionRegister[[#This Row],[Creation Date]]+3</f>
        <v>46270</v>
      </c>
      <c r="I95" s="16"/>
      <c r="J95" s="29">
        <v>46272</v>
      </c>
      <c r="K95" s="29">
        <f>IF(RFIActionRegister[[#This Row],[Date Sent to NACO]]="","",RFIActionRegister[[#This Row],[Date Sent to NACO]]+1)</f>
        <v>46273</v>
      </c>
      <c r="L95" s="29">
        <v>46299</v>
      </c>
      <c r="M95" s="18"/>
      <c r="N95" s="17" t="s">
        <v>27</v>
      </c>
      <c r="O95" s="24"/>
      <c r="P95" s="20"/>
    </row>
    <row r="96" spans="1:16" ht="27.2" hidden="1" customHeight="1">
      <c r="A96" s="17" t="s">
        <v>235</v>
      </c>
      <c r="B96" s="18">
        <v>0</v>
      </c>
      <c r="C96" s="19" t="s">
        <v>236</v>
      </c>
      <c r="D96" s="17" t="s">
        <v>165</v>
      </c>
      <c r="E96" s="23" t="s">
        <v>30</v>
      </c>
      <c r="F96" s="41" t="s">
        <v>100</v>
      </c>
      <c r="G96" s="16">
        <v>46155</v>
      </c>
      <c r="H96" s="16">
        <f>RFIActionRegister[[#This Row],[Creation Date]]+3</f>
        <v>46158</v>
      </c>
      <c r="I96" s="18"/>
      <c r="J96" s="18"/>
      <c r="K96" s="16" t="str">
        <f>IF(RFIActionRegister[[#This Row],[Date Sent to NACO]]="","",RFIActionRegister[[#This Row],[Date Sent to NACO]]+1)</f>
        <v/>
      </c>
      <c r="L96" s="18"/>
      <c r="M96" s="18">
        <v>0</v>
      </c>
      <c r="N96" s="17" t="s">
        <v>27</v>
      </c>
      <c r="O96" s="15"/>
      <c r="P96" s="20" t="s">
        <v>97</v>
      </c>
    </row>
    <row r="97" spans="1:16" ht="27.2" hidden="1" customHeight="1">
      <c r="A97" s="17" t="s">
        <v>237</v>
      </c>
      <c r="B97" s="18">
        <v>0</v>
      </c>
      <c r="C97" s="19" t="s">
        <v>238</v>
      </c>
      <c r="D97" s="17" t="s">
        <v>165</v>
      </c>
      <c r="E97" s="35" t="s">
        <v>105</v>
      </c>
      <c r="F97" s="41"/>
      <c r="G97" s="16">
        <v>46159</v>
      </c>
      <c r="H97" s="16">
        <f>RFIActionRegister[[#This Row],[Creation Date]]+3</f>
        <v>46162</v>
      </c>
      <c r="I97" s="37">
        <v>46161</v>
      </c>
      <c r="J97" s="37"/>
      <c r="K97" s="37" t="str">
        <f>IF(RFIActionRegister[[#This Row],[Date Sent to NACO]]="","",RFIActionRegister[[#This Row],[Date Sent to NACO]]+1)</f>
        <v/>
      </c>
      <c r="L97" s="37"/>
      <c r="M97" s="18">
        <v>0</v>
      </c>
      <c r="N97" s="17" t="s">
        <v>27</v>
      </c>
      <c r="O97" s="15" t="s">
        <v>239</v>
      </c>
      <c r="P97" s="20"/>
    </row>
    <row r="98" spans="1:16" ht="27.2" hidden="1" customHeight="1">
      <c r="A98" s="17" t="s">
        <v>240</v>
      </c>
      <c r="B98" s="18">
        <v>0</v>
      </c>
      <c r="C98" s="19" t="s">
        <v>241</v>
      </c>
      <c r="D98" s="17" t="s">
        <v>242</v>
      </c>
      <c r="E98" s="23" t="s">
        <v>30</v>
      </c>
      <c r="F98" s="41" t="s">
        <v>36</v>
      </c>
      <c r="G98" s="16">
        <v>46163</v>
      </c>
      <c r="H98" s="16">
        <f>RFIActionRegister[[#This Row],[Creation Date]]+3</f>
        <v>46166</v>
      </c>
      <c r="I98" s="18"/>
      <c r="J98" s="16">
        <v>46163</v>
      </c>
      <c r="K98" s="16">
        <f>IF(RFIActionRegister[[#This Row],[Date Sent to NACO]]="","",RFIActionRegister[[#This Row],[Date Sent to NACO]]+1)</f>
        <v>46164</v>
      </c>
      <c r="L98" s="16">
        <v>46199</v>
      </c>
      <c r="M98" s="18"/>
      <c r="N98" s="17" t="s">
        <v>27</v>
      </c>
      <c r="O98" s="15"/>
      <c r="P98" s="20"/>
    </row>
    <row r="99" spans="1:16" ht="27.2" hidden="1" customHeight="1">
      <c r="A99" s="17" t="s">
        <v>243</v>
      </c>
      <c r="B99" s="18">
        <v>0</v>
      </c>
      <c r="C99" s="19" t="s">
        <v>244</v>
      </c>
      <c r="D99" s="17" t="s">
        <v>165</v>
      </c>
      <c r="E99" s="35" t="s">
        <v>30</v>
      </c>
      <c r="F99" s="41" t="s">
        <v>36</v>
      </c>
      <c r="G99" s="16">
        <v>46168</v>
      </c>
      <c r="H99" s="16">
        <f>RFIActionRegister[[#This Row],[Creation Date]]+3</f>
        <v>46171</v>
      </c>
      <c r="I99" s="37">
        <v>46196</v>
      </c>
      <c r="J99" s="37"/>
      <c r="K99" s="37" t="str">
        <f>IF(RFIActionRegister[[#This Row],[Date Sent to NACO]]="","",RFIActionRegister[[#This Row],[Date Sent to NACO]]+1)</f>
        <v/>
      </c>
      <c r="L99" s="37"/>
      <c r="M99" s="18"/>
      <c r="N99" s="17" t="s">
        <v>27</v>
      </c>
      <c r="O99" s="15"/>
      <c r="P99" s="20"/>
    </row>
    <row r="100" spans="1:16" ht="27.2" hidden="1" customHeight="1">
      <c r="A100" s="17" t="s">
        <v>245</v>
      </c>
      <c r="B100" s="18">
        <v>0</v>
      </c>
      <c r="C100" s="19" t="s">
        <v>246</v>
      </c>
      <c r="D100" s="17" t="s">
        <v>165</v>
      </c>
      <c r="E100" s="23" t="s">
        <v>30</v>
      </c>
      <c r="F100" s="41" t="s">
        <v>26</v>
      </c>
      <c r="G100" s="16">
        <v>46176</v>
      </c>
      <c r="H100" s="16">
        <f>RFIActionRegister[[#This Row],[Creation Date]]+3</f>
        <v>46179</v>
      </c>
      <c r="I100" s="18"/>
      <c r="J100" s="18"/>
      <c r="K100" s="16" t="str">
        <f>IF(RFIActionRegister[[#This Row],[Date Sent to NACO]]="","",RFIActionRegister[[#This Row],[Date Sent to NACO]]+1)</f>
        <v/>
      </c>
      <c r="L100" s="18"/>
      <c r="M100" s="37">
        <v>46190</v>
      </c>
      <c r="N100" s="17" t="s">
        <v>27</v>
      </c>
      <c r="O100" s="15"/>
      <c r="P100" s="20" t="s">
        <v>247</v>
      </c>
    </row>
    <row r="101" spans="1:16" ht="27.2" hidden="1" customHeight="1">
      <c r="A101" s="17" t="s">
        <v>248</v>
      </c>
      <c r="B101" s="18">
        <v>0</v>
      </c>
      <c r="C101" s="19" t="s">
        <v>249</v>
      </c>
      <c r="D101" s="17" t="s">
        <v>165</v>
      </c>
      <c r="E101" s="23" t="s">
        <v>30</v>
      </c>
      <c r="F101" s="41" t="s">
        <v>36</v>
      </c>
      <c r="G101" s="16">
        <v>46183</v>
      </c>
      <c r="H101" s="16">
        <f>RFIActionRegister[[#This Row],[Creation Date]]+3</f>
        <v>46186</v>
      </c>
      <c r="I101" s="16">
        <v>46196</v>
      </c>
      <c r="J101" s="16"/>
      <c r="K101" s="16" t="str">
        <f>IF(RFIActionRegister[[#This Row],[Date Sent to NACO]]="","",RFIActionRegister[[#This Row],[Date Sent to NACO]]+1)</f>
        <v/>
      </c>
      <c r="L101" s="16"/>
      <c r="M101" s="18"/>
      <c r="N101" s="17" t="s">
        <v>27</v>
      </c>
      <c r="O101" s="24"/>
      <c r="P101" s="20"/>
    </row>
    <row r="102" spans="1:16" ht="27.2" hidden="1" customHeight="1">
      <c r="A102" s="17" t="s">
        <v>248</v>
      </c>
      <c r="B102" s="18">
        <v>1</v>
      </c>
      <c r="C102" s="19" t="s">
        <v>250</v>
      </c>
      <c r="D102" s="17" t="s">
        <v>165</v>
      </c>
      <c r="E102" s="23" t="s">
        <v>30</v>
      </c>
      <c r="F102" s="41" t="s">
        <v>36</v>
      </c>
      <c r="G102" s="16">
        <v>46267</v>
      </c>
      <c r="H102" s="16">
        <f>RFIActionRegister[[#This Row],[Creation Date]]+3</f>
        <v>46270</v>
      </c>
      <c r="I102" s="16"/>
      <c r="J102" s="29">
        <v>46273</v>
      </c>
      <c r="K102" s="29">
        <f>IF(RFIActionRegister[[#This Row],[Date Sent to NACO]]="","",RFIActionRegister[[#This Row],[Date Sent to NACO]]+1)</f>
        <v>46274</v>
      </c>
      <c r="L102" s="29">
        <v>46276</v>
      </c>
      <c r="M102" s="18"/>
      <c r="N102" s="17" t="s">
        <v>27</v>
      </c>
      <c r="O102" s="24"/>
      <c r="P102" s="20"/>
    </row>
    <row r="103" spans="1:16" ht="26.45" hidden="1">
      <c r="A103" s="17" t="s">
        <v>251</v>
      </c>
      <c r="B103" s="18">
        <v>0</v>
      </c>
      <c r="C103" s="19" t="s">
        <v>252</v>
      </c>
      <c r="D103" s="17" t="s">
        <v>165</v>
      </c>
      <c r="E103" s="23" t="s">
        <v>30</v>
      </c>
      <c r="F103" s="41" t="s">
        <v>36</v>
      </c>
      <c r="G103" s="16">
        <v>46189</v>
      </c>
      <c r="H103" s="16">
        <f>RFIActionRegister[[#This Row],[Creation Date]]+3</f>
        <v>46192</v>
      </c>
      <c r="I103" s="16">
        <v>46208</v>
      </c>
      <c r="J103" s="16">
        <v>46202</v>
      </c>
      <c r="K103" s="16">
        <f>IF(RFIActionRegister[[#This Row],[Date Sent to NACO]]="","",RFIActionRegister[[#This Row],[Date Sent to NACO]]+1)</f>
        <v>46203</v>
      </c>
      <c r="L103" s="16">
        <v>46202</v>
      </c>
      <c r="M103" s="18"/>
      <c r="N103" s="17" t="s">
        <v>27</v>
      </c>
      <c r="O103" s="24"/>
      <c r="P103" s="20"/>
    </row>
    <row r="104" spans="1:16" ht="26.45" hidden="1">
      <c r="A104" s="17" t="s">
        <v>253</v>
      </c>
      <c r="B104" s="18">
        <v>0</v>
      </c>
      <c r="C104" s="19" t="s">
        <v>254</v>
      </c>
      <c r="D104" s="17" t="s">
        <v>165</v>
      </c>
      <c r="E104" s="23" t="s">
        <v>30</v>
      </c>
      <c r="F104" s="41" t="s">
        <v>36</v>
      </c>
      <c r="G104" s="16">
        <v>46189</v>
      </c>
      <c r="H104" s="16">
        <f>RFIActionRegister[[#This Row],[Creation Date]]+3</f>
        <v>46192</v>
      </c>
      <c r="I104" s="16">
        <v>46218</v>
      </c>
      <c r="J104" s="16">
        <v>46195</v>
      </c>
      <c r="K104" s="16">
        <f>IF(RFIActionRegister[[#This Row],[Date Sent to NACO]]="","",RFIActionRegister[[#This Row],[Date Sent to NACO]]+1)</f>
        <v>46196</v>
      </c>
      <c r="L104" s="16">
        <v>46217</v>
      </c>
      <c r="M104" s="38">
        <v>46217</v>
      </c>
      <c r="N104" s="17" t="s">
        <v>27</v>
      </c>
      <c r="O104" s="24"/>
      <c r="P104" s="20"/>
    </row>
    <row r="105" spans="1:16" ht="26.45" hidden="1">
      <c r="A105" s="17" t="s">
        <v>255</v>
      </c>
      <c r="B105" s="18">
        <v>0</v>
      </c>
      <c r="C105" s="19" t="s">
        <v>256</v>
      </c>
      <c r="D105" s="17" t="s">
        <v>165</v>
      </c>
      <c r="E105" s="23" t="s">
        <v>105</v>
      </c>
      <c r="F105" s="41" t="s">
        <v>43</v>
      </c>
      <c r="G105" s="16">
        <v>46189</v>
      </c>
      <c r="H105" s="16">
        <f>RFIActionRegister[[#This Row],[Creation Date]]+3</f>
        <v>46192</v>
      </c>
      <c r="I105" s="16">
        <v>46202</v>
      </c>
      <c r="J105" s="16"/>
      <c r="K105" s="16" t="str">
        <f>IF(RFIActionRegister[[#This Row],[Date Sent to NACO]]="","",RFIActionRegister[[#This Row],[Date Sent to NACO]]+1)</f>
        <v/>
      </c>
      <c r="L105" s="16"/>
      <c r="M105" s="18"/>
      <c r="N105" s="17" t="s">
        <v>27</v>
      </c>
      <c r="O105" s="24"/>
      <c r="P105" s="20"/>
    </row>
    <row r="106" spans="1:16" ht="26.45" hidden="1">
      <c r="A106" s="17" t="s">
        <v>257</v>
      </c>
      <c r="B106" s="18">
        <v>0</v>
      </c>
      <c r="C106" s="19" t="s">
        <v>258</v>
      </c>
      <c r="D106" s="17" t="s">
        <v>165</v>
      </c>
      <c r="E106" s="23" t="s">
        <v>30</v>
      </c>
      <c r="F106" s="41" t="s">
        <v>36</v>
      </c>
      <c r="G106" s="16">
        <v>46190</v>
      </c>
      <c r="H106" s="16">
        <f>RFIActionRegister[[#This Row],[Creation Date]]+3</f>
        <v>46193</v>
      </c>
      <c r="I106" s="16">
        <v>46213</v>
      </c>
      <c r="J106" s="16">
        <v>46202</v>
      </c>
      <c r="K106" s="16">
        <f>IF(RFIActionRegister[[#This Row],[Date Sent to NACO]]="","",RFIActionRegister[[#This Row],[Date Sent to NACO]]+1)</f>
        <v>46203</v>
      </c>
      <c r="L106" s="38">
        <v>46212</v>
      </c>
      <c r="M106" s="18"/>
      <c r="N106" s="17" t="s">
        <v>27</v>
      </c>
      <c r="O106" s="24"/>
      <c r="P106" s="20"/>
    </row>
    <row r="107" spans="1:16" ht="27.75" hidden="1">
      <c r="A107" s="17" t="s">
        <v>257</v>
      </c>
      <c r="B107" s="18">
        <v>1</v>
      </c>
      <c r="C107" s="19" t="s">
        <v>259</v>
      </c>
      <c r="D107" s="17" t="s">
        <v>165</v>
      </c>
      <c r="E107" s="23" t="s">
        <v>30</v>
      </c>
      <c r="F107" s="41" t="s">
        <v>36</v>
      </c>
      <c r="G107" s="16">
        <v>46226</v>
      </c>
      <c r="H107" s="16">
        <f>RFIActionRegister[[#This Row],[Creation Date]]+3</f>
        <v>46229</v>
      </c>
      <c r="I107" s="16"/>
      <c r="J107" s="29">
        <v>46230</v>
      </c>
      <c r="K107" s="29">
        <f>IF(RFIActionRegister[[#This Row],[Date Sent to NACO]]="","",RFIActionRegister[[#This Row],[Date Sent to NACO]]+1)</f>
        <v>46231</v>
      </c>
      <c r="L107" s="29">
        <v>46239</v>
      </c>
      <c r="M107" s="18"/>
      <c r="N107" s="17" t="s">
        <v>27</v>
      </c>
      <c r="O107" s="24"/>
      <c r="P107" s="20"/>
    </row>
    <row r="108" spans="1:16" ht="26.45" hidden="1">
      <c r="A108" s="17" t="s">
        <v>260</v>
      </c>
      <c r="B108" s="18">
        <v>0</v>
      </c>
      <c r="C108" s="19" t="s">
        <v>261</v>
      </c>
      <c r="D108" s="17" t="s">
        <v>165</v>
      </c>
      <c r="E108" s="23" t="s">
        <v>105</v>
      </c>
      <c r="F108" s="41" t="s">
        <v>26</v>
      </c>
      <c r="G108" s="16">
        <v>46196</v>
      </c>
      <c r="H108" s="16">
        <f>RFIActionRegister[[#This Row],[Creation Date]]+3</f>
        <v>46199</v>
      </c>
      <c r="I108" s="16">
        <v>46198</v>
      </c>
      <c r="J108" s="16"/>
      <c r="K108" s="16" t="str">
        <f>IF(RFIActionRegister[[#This Row],[Date Sent to NACO]]="","",RFIActionRegister[[#This Row],[Date Sent to NACO]]+1)</f>
        <v/>
      </c>
      <c r="L108" s="16"/>
      <c r="M108" s="18"/>
      <c r="N108" s="17" t="s">
        <v>27</v>
      </c>
      <c r="O108" s="24"/>
      <c r="P108" s="20"/>
    </row>
    <row r="109" spans="1:16" ht="26.45" hidden="1">
      <c r="A109" s="17" t="s">
        <v>262</v>
      </c>
      <c r="B109" s="18">
        <v>0</v>
      </c>
      <c r="C109" s="19" t="s">
        <v>263</v>
      </c>
      <c r="D109" s="17" t="s">
        <v>165</v>
      </c>
      <c r="E109" s="23" t="s">
        <v>30</v>
      </c>
      <c r="F109" s="41" t="s">
        <v>36</v>
      </c>
      <c r="G109" s="16">
        <v>46198</v>
      </c>
      <c r="H109" s="16">
        <f>RFIActionRegister[[#This Row],[Creation Date]]+3</f>
        <v>46201</v>
      </c>
      <c r="I109" s="18"/>
      <c r="J109" s="16">
        <v>46202</v>
      </c>
      <c r="K109" s="16">
        <f>IF(RFIActionRegister[[#This Row],[Date Sent to NACO]]="","",RFIActionRegister[[#This Row],[Date Sent to NACO]]+1)</f>
        <v>46203</v>
      </c>
      <c r="L109" s="38">
        <v>46219</v>
      </c>
      <c r="M109" s="16"/>
      <c r="N109" s="17" t="s">
        <v>27</v>
      </c>
      <c r="O109" s="24"/>
      <c r="P109" s="20"/>
    </row>
    <row r="110" spans="1:16" ht="26.45" hidden="1">
      <c r="A110" s="17" t="s">
        <v>264</v>
      </c>
      <c r="B110" s="18">
        <v>0</v>
      </c>
      <c r="C110" s="19" t="s">
        <v>265</v>
      </c>
      <c r="D110" s="17" t="s">
        <v>165</v>
      </c>
      <c r="E110" s="23" t="s">
        <v>30</v>
      </c>
      <c r="F110" s="41" t="s">
        <v>26</v>
      </c>
      <c r="G110" s="16">
        <v>46198</v>
      </c>
      <c r="H110" s="16">
        <f>RFIActionRegister[[#This Row],[Creation Date]]+3</f>
        <v>46201</v>
      </c>
      <c r="I110" s="18"/>
      <c r="J110" s="16">
        <v>46201</v>
      </c>
      <c r="K110" s="16">
        <f>IF(RFIActionRegister[[#This Row],[Date Sent to NACO]]="","",RFIActionRegister[[#This Row],[Date Sent to NACO]]+1)</f>
        <v>46202</v>
      </c>
      <c r="L110" s="38">
        <v>46209</v>
      </c>
      <c r="M110" s="16"/>
      <c r="N110" s="17" t="s">
        <v>27</v>
      </c>
      <c r="O110" s="24"/>
      <c r="P110" s="20"/>
    </row>
    <row r="111" spans="1:16" ht="22.9" hidden="1" customHeight="1">
      <c r="A111" s="17" t="s">
        <v>266</v>
      </c>
      <c r="B111" s="18">
        <v>0</v>
      </c>
      <c r="C111" s="19" t="s">
        <v>267</v>
      </c>
      <c r="D111" s="17" t="s">
        <v>165</v>
      </c>
      <c r="E111" s="23" t="s">
        <v>30</v>
      </c>
      <c r="F111" s="41" t="s">
        <v>36</v>
      </c>
      <c r="G111" s="16">
        <v>46202</v>
      </c>
      <c r="H111" s="16">
        <f>RFIActionRegister[[#This Row],[Creation Date]]+3</f>
        <v>46205</v>
      </c>
      <c r="I111" s="16">
        <v>46218</v>
      </c>
      <c r="J111" s="16">
        <v>46202</v>
      </c>
      <c r="K111" s="16">
        <f>IF(RFIActionRegister[[#This Row],[Date Sent to NACO]]="","",RFIActionRegister[[#This Row],[Date Sent to NACO]]+1)</f>
        <v>46203</v>
      </c>
      <c r="L111" s="16">
        <v>46217</v>
      </c>
      <c r="M111" s="18"/>
      <c r="N111" s="17" t="s">
        <v>27</v>
      </c>
      <c r="O111" s="24"/>
      <c r="P111" s="20"/>
    </row>
    <row r="112" spans="1:16" ht="22.9" hidden="1" customHeight="1">
      <c r="A112" s="17" t="s">
        <v>266</v>
      </c>
      <c r="B112" s="18">
        <v>1</v>
      </c>
      <c r="C112" s="19" t="s">
        <v>268</v>
      </c>
      <c r="D112" s="17" t="s">
        <v>165</v>
      </c>
      <c r="E112" s="23" t="s">
        <v>30</v>
      </c>
      <c r="F112" s="41" t="s">
        <v>36</v>
      </c>
      <c r="G112" s="16">
        <v>46224</v>
      </c>
      <c r="H112" s="16">
        <f>RFIActionRegister[[#This Row],[Creation Date]]+3</f>
        <v>46227</v>
      </c>
      <c r="I112" s="16"/>
      <c r="J112" s="29">
        <v>46224</v>
      </c>
      <c r="K112" s="29">
        <f>IF(RFIActionRegister[[#This Row],[Date Sent to NACO]]="","",RFIActionRegister[[#This Row],[Date Sent to NACO]]+1)</f>
        <v>46225</v>
      </c>
      <c r="L112" s="29">
        <v>46230</v>
      </c>
      <c r="M112" s="18"/>
      <c r="N112" s="17" t="s">
        <v>27</v>
      </c>
      <c r="O112" s="24"/>
      <c r="P112" s="20"/>
    </row>
    <row r="113" spans="1:16" ht="22.9" hidden="1" customHeight="1">
      <c r="A113" s="17" t="s">
        <v>269</v>
      </c>
      <c r="B113" s="18">
        <v>0</v>
      </c>
      <c r="C113" s="19" t="s">
        <v>270</v>
      </c>
      <c r="D113" s="17" t="s">
        <v>165</v>
      </c>
      <c r="E113" s="23" t="s">
        <v>105</v>
      </c>
      <c r="F113" s="41" t="s">
        <v>26</v>
      </c>
      <c r="G113" s="16">
        <v>46202</v>
      </c>
      <c r="H113" s="16">
        <f>RFIActionRegister[[#This Row],[Creation Date]]+3</f>
        <v>46205</v>
      </c>
      <c r="I113" s="16">
        <v>46210</v>
      </c>
      <c r="J113" s="16">
        <v>46208</v>
      </c>
      <c r="K113" s="16">
        <f>IF(RFIActionRegister[[#This Row],[Date Sent to NACO]]="","",RFIActionRegister[[#This Row],[Date Sent to NACO]]+1)</f>
        <v>46209</v>
      </c>
      <c r="L113" s="18"/>
      <c r="M113" s="18"/>
      <c r="N113" s="17" t="s">
        <v>27</v>
      </c>
      <c r="O113" s="24"/>
      <c r="P113" s="20"/>
    </row>
    <row r="114" spans="1:16" ht="22.9" hidden="1" customHeight="1">
      <c r="A114" s="17" t="s">
        <v>271</v>
      </c>
      <c r="B114" s="18">
        <v>0</v>
      </c>
      <c r="C114" s="19" t="s">
        <v>272</v>
      </c>
      <c r="D114" s="17" t="s">
        <v>165</v>
      </c>
      <c r="E114" s="23" t="s">
        <v>30</v>
      </c>
      <c r="F114" s="41" t="s">
        <v>36</v>
      </c>
      <c r="G114" s="16">
        <v>46203</v>
      </c>
      <c r="H114" s="16">
        <f>RFIActionRegister[[#This Row],[Creation Date]]+3</f>
        <v>46206</v>
      </c>
      <c r="I114" s="16">
        <v>46213</v>
      </c>
      <c r="J114" s="16">
        <v>46208</v>
      </c>
      <c r="K114" s="16">
        <f>IF(RFIActionRegister[[#This Row],[Date Sent to NACO]]="","",RFIActionRegister[[#This Row],[Date Sent to NACO]]+1)</f>
        <v>46209</v>
      </c>
      <c r="L114" s="38">
        <v>46211</v>
      </c>
      <c r="M114" s="18"/>
      <c r="N114" s="17" t="s">
        <v>27</v>
      </c>
      <c r="O114" s="24"/>
      <c r="P114" s="20"/>
    </row>
    <row r="115" spans="1:16" ht="22.9" hidden="1" customHeight="1">
      <c r="A115" s="17" t="s">
        <v>271</v>
      </c>
      <c r="B115" s="18">
        <v>1</v>
      </c>
      <c r="C115" s="19" t="s">
        <v>273</v>
      </c>
      <c r="D115" s="17" t="s">
        <v>165</v>
      </c>
      <c r="E115" s="23" t="s">
        <v>30</v>
      </c>
      <c r="F115" s="41" t="s">
        <v>36</v>
      </c>
      <c r="G115" s="16">
        <v>46250</v>
      </c>
      <c r="H115" s="16">
        <f>RFIActionRegister[[#This Row],[Creation Date]]+3</f>
        <v>46253</v>
      </c>
      <c r="I115" s="16"/>
      <c r="J115" s="29">
        <v>46250</v>
      </c>
      <c r="K115" s="29">
        <f>IF(RFIActionRegister[[#This Row],[Date Sent to NACO]]="","",RFIActionRegister[[#This Row],[Date Sent to NACO]]+1)</f>
        <v>46251</v>
      </c>
      <c r="L115" s="29">
        <v>46257</v>
      </c>
      <c r="M115" s="18"/>
      <c r="N115" s="17" t="s">
        <v>27</v>
      </c>
      <c r="O115" s="24"/>
      <c r="P115" s="20"/>
    </row>
    <row r="116" spans="1:16" ht="30.75" hidden="1" customHeight="1">
      <c r="A116" s="17" t="s">
        <v>271</v>
      </c>
      <c r="B116" s="18">
        <v>2</v>
      </c>
      <c r="C116" s="19" t="s">
        <v>274</v>
      </c>
      <c r="D116" s="41" t="s">
        <v>165</v>
      </c>
      <c r="E116" s="23" t="s">
        <v>30</v>
      </c>
      <c r="F116" s="41" t="s">
        <v>36</v>
      </c>
      <c r="G116" s="16">
        <v>46272</v>
      </c>
      <c r="H116" s="16">
        <f>RFIActionRegister[[#This Row],[Creation Date]]+3</f>
        <v>46275</v>
      </c>
      <c r="I116" s="16"/>
      <c r="J116" s="29">
        <v>46273</v>
      </c>
      <c r="K116" s="29">
        <f>IF(RFIActionRegister[[#This Row],[Date Sent to NACO]]="","",RFIActionRegister[[#This Row],[Date Sent to NACO]]+1)</f>
        <v>46274</v>
      </c>
      <c r="L116" s="29">
        <v>46276</v>
      </c>
      <c r="M116" s="18"/>
      <c r="N116" s="17" t="s">
        <v>27</v>
      </c>
      <c r="O116" s="24"/>
      <c r="P116" s="20"/>
    </row>
    <row r="117" spans="1:16" ht="22.9" hidden="1" customHeight="1">
      <c r="A117" s="17" t="s">
        <v>275</v>
      </c>
      <c r="B117" s="18">
        <v>0</v>
      </c>
      <c r="C117" s="19" t="s">
        <v>276</v>
      </c>
      <c r="D117" s="17" t="s">
        <v>165</v>
      </c>
      <c r="E117" s="23" t="s">
        <v>105</v>
      </c>
      <c r="F117" s="41" t="s">
        <v>43</v>
      </c>
      <c r="G117" s="16">
        <v>46203</v>
      </c>
      <c r="H117" s="16">
        <f>RFIActionRegister[[#This Row],[Creation Date]]+3</f>
        <v>46206</v>
      </c>
      <c r="I117" s="16">
        <v>46208</v>
      </c>
      <c r="J117" s="29"/>
      <c r="K117" s="29" t="str">
        <f>IF(RFIActionRegister[[#This Row],[Date Sent to NACO]]="","",RFIActionRegister[[#This Row],[Date Sent to NACO]]+1)</f>
        <v/>
      </c>
      <c r="L117" s="29"/>
      <c r="M117" s="18"/>
      <c r="N117" s="17" t="s">
        <v>27</v>
      </c>
      <c r="O117" s="24"/>
      <c r="P117" s="20"/>
    </row>
    <row r="118" spans="1:16" ht="22.9" hidden="1" customHeight="1">
      <c r="A118" s="17" t="s">
        <v>277</v>
      </c>
      <c r="B118" s="18">
        <v>0</v>
      </c>
      <c r="C118" s="19" t="s">
        <v>278</v>
      </c>
      <c r="D118" s="17" t="s">
        <v>165</v>
      </c>
      <c r="E118" s="23" t="s">
        <v>30</v>
      </c>
      <c r="F118" s="41" t="s">
        <v>36</v>
      </c>
      <c r="G118" s="16">
        <v>46209</v>
      </c>
      <c r="H118" s="16">
        <f>RFIActionRegister[[#This Row],[Creation Date]]+3</f>
        <v>46212</v>
      </c>
      <c r="I118" s="16"/>
      <c r="J118" s="16">
        <v>46212</v>
      </c>
      <c r="K118" s="16">
        <f>IF(RFIActionRegister[[#This Row],[Date Sent to NACO]]="","",RFIActionRegister[[#This Row],[Date Sent to NACO]]+1)</f>
        <v>46213</v>
      </c>
      <c r="L118" s="16">
        <v>46218</v>
      </c>
      <c r="M118" s="38">
        <v>46219</v>
      </c>
      <c r="N118" s="17" t="s">
        <v>27</v>
      </c>
      <c r="O118" s="24"/>
      <c r="P118" s="20"/>
    </row>
    <row r="119" spans="1:16" ht="22.9" hidden="1" customHeight="1">
      <c r="A119" s="17" t="s">
        <v>279</v>
      </c>
      <c r="B119" s="18">
        <v>0</v>
      </c>
      <c r="C119" s="19" t="s">
        <v>280</v>
      </c>
      <c r="D119" s="17" t="s">
        <v>165</v>
      </c>
      <c r="E119" s="23" t="s">
        <v>30</v>
      </c>
      <c r="F119" s="41" t="s">
        <v>36</v>
      </c>
      <c r="G119" s="16">
        <v>46209</v>
      </c>
      <c r="H119" s="16">
        <f>RFIActionRegister[[#This Row],[Creation Date]]+3</f>
        <v>46212</v>
      </c>
      <c r="I119" s="16">
        <v>46218</v>
      </c>
      <c r="J119" s="16">
        <v>46212</v>
      </c>
      <c r="K119" s="16">
        <f>IF(RFIActionRegister[[#This Row],[Date Sent to NACO]]="","",RFIActionRegister[[#This Row],[Date Sent to NACO]]+1)</f>
        <v>46213</v>
      </c>
      <c r="L119" s="16">
        <v>46217</v>
      </c>
      <c r="M119" s="18"/>
      <c r="N119" s="17" t="s">
        <v>27</v>
      </c>
      <c r="O119" s="24"/>
      <c r="P119" s="20"/>
    </row>
    <row r="120" spans="1:16" ht="22.9" hidden="1" customHeight="1">
      <c r="A120" s="17" t="s">
        <v>281</v>
      </c>
      <c r="B120" s="18">
        <v>0</v>
      </c>
      <c r="C120" s="19" t="s">
        <v>282</v>
      </c>
      <c r="D120" s="17" t="s">
        <v>165</v>
      </c>
      <c r="E120" s="23" t="s">
        <v>30</v>
      </c>
      <c r="F120" s="41" t="s">
        <v>36</v>
      </c>
      <c r="G120" s="16">
        <v>46209</v>
      </c>
      <c r="H120" s="16">
        <f>RFIActionRegister[[#This Row],[Creation Date]]+3</f>
        <v>46212</v>
      </c>
      <c r="I120" s="16"/>
      <c r="J120" s="29">
        <v>46210</v>
      </c>
      <c r="K120" s="29">
        <f>IF(RFIActionRegister[[#This Row],[Date Sent to NACO]]="","",RFIActionRegister[[#This Row],[Date Sent to NACO]]+1)</f>
        <v>46211</v>
      </c>
      <c r="L120" s="29">
        <v>46212</v>
      </c>
      <c r="M120" s="18"/>
      <c r="N120" s="17" t="s">
        <v>27</v>
      </c>
      <c r="O120" s="24"/>
      <c r="P120" s="20"/>
    </row>
    <row r="121" spans="1:16" ht="22.9" hidden="1" customHeight="1">
      <c r="A121" s="17" t="s">
        <v>283</v>
      </c>
      <c r="B121" s="18">
        <v>0</v>
      </c>
      <c r="C121" s="19" t="s">
        <v>284</v>
      </c>
      <c r="D121" s="17" t="s">
        <v>165</v>
      </c>
      <c r="E121" s="23" t="s">
        <v>30</v>
      </c>
      <c r="F121" s="41" t="s">
        <v>36</v>
      </c>
      <c r="G121" s="16">
        <v>46211</v>
      </c>
      <c r="H121" s="16">
        <f>RFIActionRegister[[#This Row],[Creation Date]]+3</f>
        <v>46214</v>
      </c>
      <c r="I121" s="16">
        <v>46217</v>
      </c>
      <c r="J121" s="16">
        <v>46215</v>
      </c>
      <c r="K121" s="16">
        <f>IF(RFIActionRegister[[#This Row],[Date Sent to NACO]]="","",RFIActionRegister[[#This Row],[Date Sent to NACO]]+1)</f>
        <v>46216</v>
      </c>
      <c r="L121" s="16">
        <v>46217</v>
      </c>
      <c r="M121" s="18"/>
      <c r="N121" s="17" t="s">
        <v>27</v>
      </c>
      <c r="O121" s="24"/>
      <c r="P121" s="20"/>
    </row>
    <row r="122" spans="1:16" ht="22.9" hidden="1" customHeight="1">
      <c r="A122" s="17" t="s">
        <v>285</v>
      </c>
      <c r="B122" s="18">
        <v>0</v>
      </c>
      <c r="C122" s="19" t="s">
        <v>286</v>
      </c>
      <c r="D122" s="17" t="s">
        <v>165</v>
      </c>
      <c r="E122" s="23" t="s">
        <v>30</v>
      </c>
      <c r="F122" s="41" t="s">
        <v>36</v>
      </c>
      <c r="G122" s="16">
        <v>46213</v>
      </c>
      <c r="H122" s="16">
        <f>RFIActionRegister[[#This Row],[Creation Date]]+3</f>
        <v>46216</v>
      </c>
      <c r="I122" s="16">
        <v>46216</v>
      </c>
      <c r="J122" s="29">
        <v>46215</v>
      </c>
      <c r="K122" s="29">
        <f>IF(RFIActionRegister[[#This Row],[Date Sent to NACO]]="","",RFIActionRegister[[#This Row],[Date Sent to NACO]]+1)</f>
        <v>46216</v>
      </c>
      <c r="L122" s="29">
        <v>46216</v>
      </c>
      <c r="M122" s="18"/>
      <c r="N122" s="17" t="s">
        <v>27</v>
      </c>
      <c r="O122" s="24"/>
      <c r="P122" s="20"/>
    </row>
    <row r="123" spans="1:16" ht="22.9" hidden="1" customHeight="1">
      <c r="A123" s="17" t="s">
        <v>287</v>
      </c>
      <c r="B123" s="18">
        <v>0</v>
      </c>
      <c r="C123" s="19" t="s">
        <v>288</v>
      </c>
      <c r="D123" s="17" t="s">
        <v>165</v>
      </c>
      <c r="E123" s="23" t="s">
        <v>105</v>
      </c>
      <c r="F123" s="41" t="s">
        <v>43</v>
      </c>
      <c r="G123" s="16">
        <v>46213</v>
      </c>
      <c r="H123" s="16">
        <f>RFIActionRegister[[#This Row],[Creation Date]]+3</f>
        <v>46216</v>
      </c>
      <c r="I123" s="16">
        <v>46215</v>
      </c>
      <c r="J123" s="29"/>
      <c r="K123" s="29" t="str">
        <f>IF(RFIActionRegister[[#This Row],[Date Sent to NACO]]="","",RFIActionRegister[[#This Row],[Date Sent to NACO]]+1)</f>
        <v/>
      </c>
      <c r="L123" s="29"/>
      <c r="M123" s="18"/>
      <c r="N123" s="17" t="s">
        <v>27</v>
      </c>
      <c r="O123" s="24"/>
      <c r="P123" s="20"/>
    </row>
    <row r="124" spans="1:16" ht="22.9" hidden="1" customHeight="1">
      <c r="A124" s="17" t="s">
        <v>287</v>
      </c>
      <c r="B124" s="18">
        <v>1</v>
      </c>
      <c r="C124" s="19" t="s">
        <v>289</v>
      </c>
      <c r="D124" s="17" t="s">
        <v>165</v>
      </c>
      <c r="E124" s="23" t="s">
        <v>30</v>
      </c>
      <c r="F124" s="41" t="s">
        <v>36</v>
      </c>
      <c r="G124" s="16">
        <v>46216</v>
      </c>
      <c r="H124" s="16">
        <f>RFIActionRegister[[#This Row],[Creation Date]]+3</f>
        <v>46219</v>
      </c>
      <c r="I124" s="16"/>
      <c r="J124" s="16">
        <v>46216</v>
      </c>
      <c r="K124" s="16">
        <f>IF(RFIActionRegister[[#This Row],[Date Sent to NACO]]="","",RFIActionRegister[[#This Row],[Date Sent to NACO]]+1)</f>
        <v>46217</v>
      </c>
      <c r="L124" s="16">
        <v>46232</v>
      </c>
      <c r="M124" s="16"/>
      <c r="N124" s="17" t="s">
        <v>27</v>
      </c>
      <c r="O124" s="24"/>
      <c r="P124" s="20"/>
    </row>
    <row r="125" spans="1:16" ht="22.9" hidden="1" customHeight="1">
      <c r="A125" s="17" t="s">
        <v>287</v>
      </c>
      <c r="B125" s="18">
        <v>2</v>
      </c>
      <c r="C125" s="19" t="s">
        <v>290</v>
      </c>
      <c r="D125" s="17" t="s">
        <v>165</v>
      </c>
      <c r="E125" s="23" t="s">
        <v>105</v>
      </c>
      <c r="F125" s="41" t="s">
        <v>43</v>
      </c>
      <c r="G125" s="16">
        <v>46237</v>
      </c>
      <c r="H125" s="16">
        <f>RFIActionRegister[[#This Row],[Creation Date]]+3</f>
        <v>46240</v>
      </c>
      <c r="I125" s="16">
        <v>46239</v>
      </c>
      <c r="J125" s="29"/>
      <c r="K125" s="29" t="str">
        <f>IF(RFIActionRegister[[#This Row],[Date Sent to NACO]]="","",RFIActionRegister[[#This Row],[Date Sent to NACO]]+1)</f>
        <v/>
      </c>
      <c r="L125" s="29"/>
      <c r="M125" s="16"/>
      <c r="N125" s="17" t="s">
        <v>27</v>
      </c>
      <c r="O125" s="24"/>
      <c r="P125" s="20"/>
    </row>
    <row r="126" spans="1:16" ht="22.9" hidden="1" customHeight="1">
      <c r="A126" s="17" t="s">
        <v>291</v>
      </c>
      <c r="B126" s="18">
        <v>0</v>
      </c>
      <c r="C126" s="19" t="s">
        <v>292</v>
      </c>
      <c r="D126" s="17" t="s">
        <v>165</v>
      </c>
      <c r="E126" s="23" t="s">
        <v>105</v>
      </c>
      <c r="F126" s="41" t="s">
        <v>43</v>
      </c>
      <c r="G126" s="16">
        <v>46216</v>
      </c>
      <c r="H126" s="16">
        <f>RFIActionRegister[[#This Row],[Creation Date]]+3</f>
        <v>46219</v>
      </c>
      <c r="I126" s="16"/>
      <c r="J126" s="29"/>
      <c r="K126" s="29" t="str">
        <f>IF(RFIActionRegister[[#This Row],[Date Sent to NACO]]="","",RFIActionRegister[[#This Row],[Date Sent to NACO]]+1)</f>
        <v/>
      </c>
      <c r="L126" s="29"/>
      <c r="M126" s="18"/>
      <c r="N126" s="17" t="s">
        <v>27</v>
      </c>
      <c r="O126" s="24"/>
      <c r="P126" s="20"/>
    </row>
    <row r="127" spans="1:16" ht="22.9" hidden="1" customHeight="1">
      <c r="A127" s="17" t="s">
        <v>293</v>
      </c>
      <c r="B127" s="18">
        <v>0</v>
      </c>
      <c r="C127" s="19" t="s">
        <v>294</v>
      </c>
      <c r="D127" s="17" t="s">
        <v>165</v>
      </c>
      <c r="E127" s="23" t="s">
        <v>105</v>
      </c>
      <c r="F127" s="41" t="s">
        <v>43</v>
      </c>
      <c r="G127" s="16">
        <v>46244</v>
      </c>
      <c r="H127" s="16">
        <f>RFIActionRegister[[#This Row],[Creation Date]]+3</f>
        <v>46247</v>
      </c>
      <c r="I127" s="16">
        <v>46275</v>
      </c>
      <c r="J127" s="29"/>
      <c r="K127" s="29" t="str">
        <f>IF(RFIActionRegister[[#This Row],[Date Sent to NACO]]="","",RFIActionRegister[[#This Row],[Date Sent to NACO]]+1)</f>
        <v/>
      </c>
      <c r="L127" s="29"/>
      <c r="M127" s="18"/>
      <c r="N127" s="17" t="s">
        <v>27</v>
      </c>
      <c r="O127" s="24"/>
      <c r="P127" s="20"/>
    </row>
    <row r="128" spans="1:16" ht="22.9" hidden="1" customHeight="1">
      <c r="A128" s="17" t="s">
        <v>295</v>
      </c>
      <c r="B128" s="18">
        <v>0</v>
      </c>
      <c r="C128" s="19" t="s">
        <v>296</v>
      </c>
      <c r="D128" s="17" t="s">
        <v>165</v>
      </c>
      <c r="E128" s="23" t="s">
        <v>30</v>
      </c>
      <c r="F128" s="41" t="s">
        <v>36</v>
      </c>
      <c r="G128" s="16">
        <v>46246</v>
      </c>
      <c r="H128" s="16">
        <f>RFIActionRegister[[#This Row],[Creation Date]]+3</f>
        <v>46249</v>
      </c>
      <c r="I128" s="16"/>
      <c r="J128" s="29">
        <v>46247</v>
      </c>
      <c r="K128" s="29">
        <f>IF(RFIActionRegister[[#This Row],[Date Sent to NACO]]="","",RFIActionRegister[[#This Row],[Date Sent to NACO]]+1)</f>
        <v>46248</v>
      </c>
      <c r="L128" s="29">
        <v>46251</v>
      </c>
      <c r="M128" s="18"/>
      <c r="N128" s="17" t="s">
        <v>27</v>
      </c>
      <c r="O128" s="24"/>
      <c r="P128" s="20"/>
    </row>
    <row r="129" spans="1:16" ht="22.9" hidden="1" customHeight="1">
      <c r="A129" s="17" t="s">
        <v>297</v>
      </c>
      <c r="B129" s="18">
        <v>0</v>
      </c>
      <c r="C129" s="19" t="s">
        <v>298</v>
      </c>
      <c r="D129" s="17" t="s">
        <v>165</v>
      </c>
      <c r="E129" s="23" t="s">
        <v>30</v>
      </c>
      <c r="F129" s="41" t="s">
        <v>36</v>
      </c>
      <c r="G129" s="16">
        <v>46256</v>
      </c>
      <c r="H129" s="16">
        <f>RFIActionRegister[[#This Row],[Creation Date]]+3</f>
        <v>46259</v>
      </c>
      <c r="I129" s="16"/>
      <c r="J129" s="29">
        <v>46257</v>
      </c>
      <c r="K129" s="29">
        <f>IF(RFIActionRegister[[#This Row],[Date Sent to NACO]]="","",RFIActionRegister[[#This Row],[Date Sent to NACO]]+1)</f>
        <v>46258</v>
      </c>
      <c r="L129" s="29">
        <v>46258</v>
      </c>
      <c r="M129" s="18"/>
      <c r="N129" s="17" t="s">
        <v>27</v>
      </c>
      <c r="O129" s="24"/>
      <c r="P129" s="20"/>
    </row>
    <row r="130" spans="1:16" ht="22.9" hidden="1" customHeight="1">
      <c r="A130" s="17" t="s">
        <v>297</v>
      </c>
      <c r="B130" s="18">
        <v>1</v>
      </c>
      <c r="C130" s="19" t="s">
        <v>299</v>
      </c>
      <c r="D130" s="17" t="s">
        <v>165</v>
      </c>
      <c r="E130" s="23" t="s">
        <v>30</v>
      </c>
      <c r="F130" s="41" t="s">
        <v>36</v>
      </c>
      <c r="G130" s="16">
        <v>46273</v>
      </c>
      <c r="H130" s="16">
        <f>RFIActionRegister[[#This Row],[Creation Date]]+3</f>
        <v>46276</v>
      </c>
      <c r="I130" s="16"/>
      <c r="J130" s="29">
        <v>46273</v>
      </c>
      <c r="K130" s="29">
        <f>IF(RFIActionRegister[[#This Row],[Date Sent to NACO]]="","",RFIActionRegister[[#This Row],[Date Sent to NACO]]+1)</f>
        <v>46274</v>
      </c>
      <c r="L130" s="29">
        <v>46280</v>
      </c>
      <c r="M130" s="18"/>
      <c r="N130" s="17" t="s">
        <v>27</v>
      </c>
      <c r="O130" s="24"/>
      <c r="P130" s="20"/>
    </row>
    <row r="131" spans="1:16" ht="22.9" hidden="1" customHeight="1">
      <c r="A131" s="17" t="s">
        <v>300</v>
      </c>
      <c r="B131" s="18">
        <v>0</v>
      </c>
      <c r="C131" s="19" t="s">
        <v>301</v>
      </c>
      <c r="D131" s="17" t="s">
        <v>165</v>
      </c>
      <c r="E131" s="23" t="s">
        <v>105</v>
      </c>
      <c r="F131" s="41" t="s">
        <v>43</v>
      </c>
      <c r="G131" s="16">
        <v>46265</v>
      </c>
      <c r="H131" s="16">
        <f>RFIActionRegister[[#This Row],[Creation Date]]+3</f>
        <v>46268</v>
      </c>
      <c r="I131" s="16">
        <v>46266</v>
      </c>
      <c r="J131" s="29"/>
      <c r="K131" s="29" t="str">
        <f>IF(RFIActionRegister[[#This Row],[Date Sent to NACO]]="","",RFIActionRegister[[#This Row],[Date Sent to NACO]]+1)</f>
        <v/>
      </c>
      <c r="L131" s="29"/>
      <c r="M131" s="18"/>
      <c r="N131" s="17" t="s">
        <v>27</v>
      </c>
      <c r="O131" s="24"/>
      <c r="P131" s="20"/>
    </row>
    <row r="132" spans="1:16" ht="22.9" hidden="1" customHeight="1">
      <c r="A132" s="17" t="s">
        <v>302</v>
      </c>
      <c r="B132" s="18">
        <v>0</v>
      </c>
      <c r="C132" s="19" t="s">
        <v>303</v>
      </c>
      <c r="D132" s="17" t="s">
        <v>165</v>
      </c>
      <c r="E132" s="23" t="s">
        <v>30</v>
      </c>
      <c r="F132" s="41" t="s">
        <v>36</v>
      </c>
      <c r="G132" s="16">
        <v>46266</v>
      </c>
      <c r="H132" s="16">
        <f>RFIActionRegister[[#This Row],[Creation Date]]+3</f>
        <v>46269</v>
      </c>
      <c r="I132" s="16"/>
      <c r="J132" s="29">
        <v>46267</v>
      </c>
      <c r="K132" s="29">
        <f>IF(RFIActionRegister[[#This Row],[Date Sent to NACO]]="","",RFIActionRegister[[#This Row],[Date Sent to NACO]]+1)</f>
        <v>46268</v>
      </c>
      <c r="L132" s="29">
        <v>46274</v>
      </c>
      <c r="M132" s="18"/>
      <c r="N132" s="17" t="s">
        <v>27</v>
      </c>
      <c r="O132" s="24"/>
      <c r="P132" s="20"/>
    </row>
    <row r="133" spans="1:16" ht="25.5" hidden="1" customHeight="1">
      <c r="A133" s="17" t="s">
        <v>304</v>
      </c>
      <c r="B133" s="18">
        <v>0</v>
      </c>
      <c r="C133" s="19" t="s">
        <v>305</v>
      </c>
      <c r="D133" s="17" t="s">
        <v>165</v>
      </c>
      <c r="E133" s="23" t="s">
        <v>30</v>
      </c>
      <c r="F133" s="41" t="s">
        <v>36</v>
      </c>
      <c r="G133" s="16">
        <v>46268</v>
      </c>
      <c r="H133" s="16">
        <f>RFIActionRegister[[#This Row],[Creation Date]]+3</f>
        <v>46271</v>
      </c>
      <c r="I133" s="16"/>
      <c r="J133" s="29">
        <v>46273</v>
      </c>
      <c r="K133" s="29">
        <f>IF(RFIActionRegister[[#This Row],[Date Sent to NACO]]="","",RFIActionRegister[[#This Row],[Date Sent to NACO]]+1)</f>
        <v>46274</v>
      </c>
      <c r="L133" s="29">
        <v>46280</v>
      </c>
      <c r="M133" s="18"/>
      <c r="N133" s="17" t="s">
        <v>27</v>
      </c>
      <c r="O133" s="24"/>
      <c r="P133" s="20"/>
    </row>
    <row r="134" spans="1:16" ht="25.5" hidden="1" customHeight="1">
      <c r="A134" s="17" t="s">
        <v>304</v>
      </c>
      <c r="B134" s="18">
        <v>1</v>
      </c>
      <c r="C134" s="51" t="s">
        <v>306</v>
      </c>
      <c r="D134" s="17" t="s">
        <v>165</v>
      </c>
      <c r="E134" s="23" t="s">
        <v>30</v>
      </c>
      <c r="F134" s="41" t="s">
        <v>36</v>
      </c>
      <c r="G134" s="16">
        <v>46286</v>
      </c>
      <c r="H134" s="16">
        <f>RFIActionRegister[[#This Row],[Creation Date]]+3</f>
        <v>46289</v>
      </c>
      <c r="I134" s="16"/>
      <c r="J134" s="29">
        <v>46287</v>
      </c>
      <c r="K134" s="29">
        <f>IF(RFIActionRegister[[#This Row],[Date Sent to NACO]]="","",RFIActionRegister[[#This Row],[Date Sent to NACO]]+1)</f>
        <v>46288</v>
      </c>
      <c r="L134" s="29">
        <v>46290</v>
      </c>
      <c r="M134" s="18"/>
      <c r="N134" s="17" t="s">
        <v>27</v>
      </c>
      <c r="O134" s="24"/>
      <c r="P134" s="20"/>
    </row>
    <row r="135" spans="1:16" ht="25.5" hidden="1" customHeight="1">
      <c r="A135" s="17" t="s">
        <v>307</v>
      </c>
      <c r="B135" s="18">
        <v>0</v>
      </c>
      <c r="C135" s="19" t="s">
        <v>308</v>
      </c>
      <c r="D135" s="17" t="s">
        <v>165</v>
      </c>
      <c r="E135" s="23" t="s">
        <v>30</v>
      </c>
      <c r="F135" s="41" t="s">
        <v>36</v>
      </c>
      <c r="G135" s="16">
        <v>46270</v>
      </c>
      <c r="H135" s="16">
        <f>RFIActionRegister[[#This Row],[Creation Date]]+3</f>
        <v>46273</v>
      </c>
      <c r="I135" s="16"/>
      <c r="J135" s="29">
        <v>46273</v>
      </c>
      <c r="K135" s="29">
        <f>IF(RFIActionRegister[[#This Row],[Date Sent to NACO]]="","",RFIActionRegister[[#This Row],[Date Sent to NACO]]+1)</f>
        <v>46274</v>
      </c>
      <c r="L135" s="29">
        <v>46275</v>
      </c>
      <c r="M135" s="18"/>
      <c r="N135" s="17" t="s">
        <v>27</v>
      </c>
      <c r="O135" s="24"/>
      <c r="P135" s="20"/>
    </row>
    <row r="136" spans="1:16" ht="25.5" hidden="1" customHeight="1">
      <c r="A136" s="17" t="s">
        <v>309</v>
      </c>
      <c r="B136" s="18">
        <v>0</v>
      </c>
      <c r="C136" s="19" t="s">
        <v>310</v>
      </c>
      <c r="D136" s="17" t="s">
        <v>165</v>
      </c>
      <c r="E136" s="23" t="s">
        <v>30</v>
      </c>
      <c r="F136" s="41" t="s">
        <v>36</v>
      </c>
      <c r="G136" s="16">
        <v>46273</v>
      </c>
      <c r="H136" s="16">
        <f>RFIActionRegister[[#This Row],[Creation Date]]+3</f>
        <v>46276</v>
      </c>
      <c r="I136" s="16"/>
      <c r="J136" s="29">
        <v>46273</v>
      </c>
      <c r="K136" s="50">
        <f>IF(RFIActionRegister[[#This Row],[Date Sent to NACO]]="","",RFIActionRegister[[#This Row],[Date Sent to NACO]]+1)</f>
        <v>46274</v>
      </c>
      <c r="L136" s="50">
        <v>46276</v>
      </c>
      <c r="M136" s="18"/>
      <c r="N136" s="17" t="s">
        <v>27</v>
      </c>
      <c r="O136" s="24"/>
      <c r="P136" s="20"/>
    </row>
    <row r="137" spans="1:16" ht="25.5" hidden="1" customHeight="1">
      <c r="A137" s="17" t="s">
        <v>311</v>
      </c>
      <c r="B137" s="18">
        <v>0</v>
      </c>
      <c r="C137" s="19" t="s">
        <v>312</v>
      </c>
      <c r="D137" s="17" t="s">
        <v>165</v>
      </c>
      <c r="E137" s="23" t="s">
        <v>105</v>
      </c>
      <c r="F137" s="41" t="s">
        <v>43</v>
      </c>
      <c r="G137" s="16">
        <v>46273</v>
      </c>
      <c r="H137" s="16">
        <f>RFIActionRegister[[#This Row],[Creation Date]]+3</f>
        <v>46276</v>
      </c>
      <c r="I137" s="16">
        <v>46273</v>
      </c>
      <c r="J137" s="29"/>
      <c r="K137" s="29" t="str">
        <f>IF(RFIActionRegister[[#This Row],[Date Sent to NACO]]="","",RFIActionRegister[[#This Row],[Date Sent to NACO]]+1)</f>
        <v/>
      </c>
      <c r="L137" s="29"/>
      <c r="M137" s="18"/>
      <c r="N137" s="17" t="s">
        <v>27</v>
      </c>
      <c r="O137" s="24"/>
      <c r="P137" s="20"/>
    </row>
    <row r="138" spans="1:16" ht="25.5" hidden="1" customHeight="1">
      <c r="A138" s="17" t="s">
        <v>313</v>
      </c>
      <c r="B138" s="18">
        <v>0</v>
      </c>
      <c r="C138" s="19" t="s">
        <v>314</v>
      </c>
      <c r="D138" s="17" t="s">
        <v>165</v>
      </c>
      <c r="E138" s="23" t="s">
        <v>30</v>
      </c>
      <c r="F138" s="41" t="s">
        <v>36</v>
      </c>
      <c r="G138" s="16">
        <v>46280</v>
      </c>
      <c r="H138" s="16">
        <f>RFIActionRegister[[#This Row],[Creation Date]]+3</f>
        <v>46283</v>
      </c>
      <c r="I138" s="16"/>
      <c r="J138" s="29">
        <v>46280</v>
      </c>
      <c r="K138" s="29">
        <f>IF(RFIActionRegister[[#This Row],[Date Sent to NACO]]="","",RFIActionRegister[[#This Row],[Date Sent to NACO]]+1)</f>
        <v>46281</v>
      </c>
      <c r="L138" s="29">
        <v>46283</v>
      </c>
      <c r="M138" s="18"/>
      <c r="N138" s="17" t="s">
        <v>27</v>
      </c>
      <c r="O138" s="24"/>
      <c r="P138" s="20"/>
    </row>
    <row r="139" spans="1:16" ht="25.5" hidden="1" customHeight="1">
      <c r="A139" s="17" t="s">
        <v>315</v>
      </c>
      <c r="B139" s="18">
        <v>0</v>
      </c>
      <c r="C139" s="19" t="s">
        <v>316</v>
      </c>
      <c r="D139" s="17" t="s">
        <v>165</v>
      </c>
      <c r="E139" s="23" t="s">
        <v>30</v>
      </c>
      <c r="F139" s="41" t="s">
        <v>36</v>
      </c>
      <c r="G139" s="16">
        <v>46282</v>
      </c>
      <c r="H139" s="16">
        <f>RFIActionRegister[[#This Row],[Creation Date]]+3</f>
        <v>46285</v>
      </c>
      <c r="I139" s="16"/>
      <c r="J139" s="29">
        <v>46282</v>
      </c>
      <c r="K139" s="29">
        <f>IF(RFIActionRegister[[#This Row],[Date Sent to NACO]]="","",RFIActionRegister[[#This Row],[Date Sent to NACO]]+1)</f>
        <v>46283</v>
      </c>
      <c r="L139" s="29">
        <v>46287</v>
      </c>
      <c r="M139" s="18"/>
      <c r="N139" s="17" t="s">
        <v>27</v>
      </c>
      <c r="O139" s="24"/>
      <c r="P139" s="20"/>
    </row>
    <row r="140" spans="1:16" ht="25.5" hidden="1" customHeight="1">
      <c r="A140" s="17" t="s">
        <v>317</v>
      </c>
      <c r="B140" s="18">
        <v>0</v>
      </c>
      <c r="C140" s="19" t="s">
        <v>318</v>
      </c>
      <c r="D140" s="17" t="s">
        <v>165</v>
      </c>
      <c r="E140" s="23" t="s">
        <v>30</v>
      </c>
      <c r="F140" s="41" t="s">
        <v>36</v>
      </c>
      <c r="G140" s="16">
        <v>46282</v>
      </c>
      <c r="H140" s="16">
        <f>RFIActionRegister[[#This Row],[Creation Date]]+3</f>
        <v>46285</v>
      </c>
      <c r="I140" s="16"/>
      <c r="J140" s="29">
        <v>46282</v>
      </c>
      <c r="K140" s="29">
        <f>IF(RFIActionRegister[[#This Row],[Date Sent to NACO]]="","",RFIActionRegister[[#This Row],[Date Sent to NACO]]+1)</f>
        <v>46283</v>
      </c>
      <c r="L140" s="29">
        <v>46293</v>
      </c>
      <c r="M140" s="18"/>
      <c r="N140" s="17" t="s">
        <v>27</v>
      </c>
      <c r="O140" s="24"/>
      <c r="P140" s="20"/>
    </row>
    <row r="141" spans="1:16" ht="25.5" hidden="1" customHeight="1">
      <c r="A141" s="17" t="s">
        <v>319</v>
      </c>
      <c r="B141" s="18">
        <v>0</v>
      </c>
      <c r="C141" s="19" t="s">
        <v>320</v>
      </c>
      <c r="D141" s="17" t="s">
        <v>165</v>
      </c>
      <c r="E141" s="23" t="s">
        <v>105</v>
      </c>
      <c r="F141" s="41" t="s">
        <v>43</v>
      </c>
      <c r="G141" s="16">
        <v>46284</v>
      </c>
      <c r="H141" s="16">
        <f>RFIActionRegister[[#This Row],[Creation Date]]+3</f>
        <v>46287</v>
      </c>
      <c r="I141" s="16">
        <v>46285</v>
      </c>
      <c r="J141" s="29"/>
      <c r="K141" s="29" t="str">
        <f>IF(RFIActionRegister[[#This Row],[Date Sent to NACO]]="","",RFIActionRegister[[#This Row],[Date Sent to NACO]]+1)</f>
        <v/>
      </c>
      <c r="L141" s="29"/>
      <c r="M141" s="18"/>
      <c r="N141" s="17" t="s">
        <v>27</v>
      </c>
      <c r="O141" s="24"/>
      <c r="P141" s="20"/>
    </row>
    <row r="142" spans="1:16" ht="25.5" hidden="1" customHeight="1">
      <c r="A142" s="17" t="s">
        <v>321</v>
      </c>
      <c r="B142" s="18">
        <v>0</v>
      </c>
      <c r="C142" s="19" t="s">
        <v>322</v>
      </c>
      <c r="D142" s="17" t="s">
        <v>165</v>
      </c>
      <c r="E142" s="23" t="s">
        <v>30</v>
      </c>
      <c r="F142" s="41" t="s">
        <v>36</v>
      </c>
      <c r="G142" s="16">
        <v>46287</v>
      </c>
      <c r="H142" s="16">
        <f>RFIActionRegister[[#This Row],[Creation Date]]+3</f>
        <v>46290</v>
      </c>
      <c r="I142" s="16"/>
      <c r="J142" s="29">
        <v>46287</v>
      </c>
      <c r="K142" s="29">
        <f>IF(RFIActionRegister[[#This Row],[Date Sent to NACO]]="","",RFIActionRegister[[#This Row],[Date Sent to NACO]]+1)</f>
        <v>46288</v>
      </c>
      <c r="L142" s="29">
        <v>46294</v>
      </c>
      <c r="M142" s="18"/>
      <c r="N142" s="17" t="s">
        <v>27</v>
      </c>
      <c r="O142" s="24"/>
      <c r="P142" s="20"/>
    </row>
    <row r="143" spans="1:16" ht="25.5" hidden="1" customHeight="1">
      <c r="A143" s="17" t="s">
        <v>323</v>
      </c>
      <c r="B143" s="18">
        <v>0</v>
      </c>
      <c r="C143" s="19" t="s">
        <v>324</v>
      </c>
      <c r="D143" s="17" t="s">
        <v>165</v>
      </c>
      <c r="E143" s="23" t="s">
        <v>105</v>
      </c>
      <c r="F143" s="41" t="s">
        <v>43</v>
      </c>
      <c r="G143" s="16">
        <v>46287</v>
      </c>
      <c r="H143" s="16">
        <f>RFIActionRegister[[#This Row],[Creation Date]]+3</f>
        <v>46290</v>
      </c>
      <c r="I143" s="16">
        <v>46289</v>
      </c>
      <c r="J143" s="29"/>
      <c r="K143" s="29" t="str">
        <f>IF(RFIActionRegister[[#This Row],[Date Sent to NACO]]="","",RFIActionRegister[[#This Row],[Date Sent to NACO]]+1)</f>
        <v/>
      </c>
      <c r="L143" s="29"/>
      <c r="M143" s="18"/>
      <c r="N143" s="17" t="s">
        <v>27</v>
      </c>
      <c r="O143" s="24"/>
      <c r="P143" s="20"/>
    </row>
    <row r="144" spans="1:16" ht="25.5" hidden="1" customHeight="1">
      <c r="A144" s="17" t="s">
        <v>325</v>
      </c>
      <c r="B144" s="18">
        <v>0</v>
      </c>
      <c r="C144" s="19" t="s">
        <v>326</v>
      </c>
      <c r="D144" s="17" t="s">
        <v>165</v>
      </c>
      <c r="E144" s="23" t="s">
        <v>30</v>
      </c>
      <c r="F144" s="41" t="s">
        <v>36</v>
      </c>
      <c r="G144" s="16">
        <v>46287</v>
      </c>
      <c r="H144" s="16">
        <f>RFIActionRegister[[#This Row],[Creation Date]]+3</f>
        <v>46290</v>
      </c>
      <c r="I144" s="16"/>
      <c r="J144" s="29">
        <v>46289</v>
      </c>
      <c r="K144" s="29">
        <f>IF(RFIActionRegister[[#This Row],[Date Sent to NACO]]="","",RFIActionRegister[[#This Row],[Date Sent to NACO]]+1)</f>
        <v>46290</v>
      </c>
      <c r="L144" s="29">
        <v>46297</v>
      </c>
      <c r="M144" s="18"/>
      <c r="N144" s="17" t="s">
        <v>27</v>
      </c>
      <c r="O144" s="24"/>
      <c r="P144" s="20"/>
    </row>
    <row r="145" spans="1:16" ht="25.5" hidden="1" customHeight="1">
      <c r="A145" s="17" t="s">
        <v>327</v>
      </c>
      <c r="B145" s="18">
        <v>0</v>
      </c>
      <c r="C145" s="19" t="s">
        <v>328</v>
      </c>
      <c r="D145" s="17" t="s">
        <v>165</v>
      </c>
      <c r="E145" s="23" t="s">
        <v>105</v>
      </c>
      <c r="F145" s="41" t="s">
        <v>43</v>
      </c>
      <c r="G145" s="16">
        <v>46292</v>
      </c>
      <c r="H145" s="16">
        <f>RFIActionRegister[[#This Row],[Creation Date]]+3</f>
        <v>46295</v>
      </c>
      <c r="I145" s="16">
        <v>46293</v>
      </c>
      <c r="J145" s="29"/>
      <c r="K145" s="29" t="str">
        <f>IF(RFIActionRegister[[#This Row],[Date Sent to NACO]]="","",RFIActionRegister[[#This Row],[Date Sent to NACO]]+1)</f>
        <v/>
      </c>
      <c r="L145" s="29"/>
      <c r="M145" s="18"/>
      <c r="N145" s="17" t="s">
        <v>27</v>
      </c>
      <c r="O145" s="24"/>
      <c r="P145" s="20"/>
    </row>
    <row r="146" spans="1:16" ht="25.5" customHeight="1">
      <c r="A146" s="17" t="s">
        <v>327</v>
      </c>
      <c r="B146" s="18">
        <v>1</v>
      </c>
      <c r="C146" s="19" t="s">
        <v>328</v>
      </c>
      <c r="D146" s="17" t="s">
        <v>165</v>
      </c>
      <c r="E146" s="23" t="s">
        <v>30</v>
      </c>
      <c r="F146" s="41" t="s">
        <v>31</v>
      </c>
      <c r="G146" s="16">
        <v>46295</v>
      </c>
      <c r="H146" s="16">
        <f>RFIActionRegister[[#This Row],[Creation Date]]+3</f>
        <v>46298</v>
      </c>
      <c r="I146" s="16"/>
      <c r="J146" s="29">
        <v>46296</v>
      </c>
      <c r="K146" s="29">
        <f>IF(RFIActionRegister[[#This Row],[Date Sent to NACO]]="","",RFIActionRegister[[#This Row],[Date Sent to NACO]]+1)</f>
        <v>46297</v>
      </c>
      <c r="L146" s="29"/>
      <c r="M146" s="18"/>
      <c r="N146" s="17" t="s">
        <v>2</v>
      </c>
      <c r="O146" s="24"/>
      <c r="P146" s="20"/>
    </row>
    <row r="147" spans="1:16" ht="25.5" customHeight="1">
      <c r="A147" s="17" t="s">
        <v>329</v>
      </c>
      <c r="B147" s="18">
        <v>0</v>
      </c>
      <c r="C147" s="19" t="s">
        <v>330</v>
      </c>
      <c r="D147" s="17" t="s">
        <v>165</v>
      </c>
      <c r="E147" s="23" t="s">
        <v>30</v>
      </c>
      <c r="F147" s="41" t="s">
        <v>31</v>
      </c>
      <c r="G147" s="16">
        <v>46295</v>
      </c>
      <c r="H147" s="16">
        <f>RFIActionRegister[[#This Row],[Creation Date]]+3</f>
        <v>46298</v>
      </c>
      <c r="I147" s="16"/>
      <c r="J147" s="29">
        <v>46296</v>
      </c>
      <c r="K147" s="29">
        <f>IF(RFIActionRegister[[#This Row],[Date Sent to NACO]]="","",RFIActionRegister[[#This Row],[Date Sent to NACO]]+1)</f>
        <v>46297</v>
      </c>
      <c r="L147" s="29"/>
      <c r="M147" s="18"/>
      <c r="N147" s="17" t="s">
        <v>2</v>
      </c>
      <c r="O147" s="24"/>
      <c r="P147" s="20"/>
    </row>
    <row r="148" spans="1:16" ht="25.5" hidden="1" customHeight="1">
      <c r="A148" s="17" t="s">
        <v>331</v>
      </c>
      <c r="B148" s="18">
        <v>0</v>
      </c>
      <c r="C148" s="19" t="s">
        <v>332</v>
      </c>
      <c r="D148" s="17" t="s">
        <v>165</v>
      </c>
      <c r="E148" s="23" t="s">
        <v>30</v>
      </c>
      <c r="F148" s="41" t="s">
        <v>36</v>
      </c>
      <c r="G148" s="16">
        <v>46300</v>
      </c>
      <c r="H148" s="16">
        <f>RFIActionRegister[[#This Row],[Creation Date]]+3</f>
        <v>46303</v>
      </c>
      <c r="I148" s="16"/>
      <c r="J148" s="29">
        <v>46300</v>
      </c>
      <c r="K148" s="29">
        <f>IF(RFIActionRegister[[#This Row],[Date Sent to NACO]]="","",RFIActionRegister[[#This Row],[Date Sent to NACO]]+1)</f>
        <v>46301</v>
      </c>
      <c r="L148" s="29">
        <v>46302</v>
      </c>
      <c r="M148" s="18"/>
      <c r="N148" s="17" t="s">
        <v>27</v>
      </c>
      <c r="O148" s="24"/>
      <c r="P148" s="20"/>
    </row>
    <row r="149" spans="1:16" ht="27.2" hidden="1" customHeight="1">
      <c r="A149" s="17" t="s">
        <v>333</v>
      </c>
      <c r="B149" s="18">
        <v>0</v>
      </c>
      <c r="C149" s="19" t="s">
        <v>334</v>
      </c>
      <c r="D149" s="17" t="s">
        <v>335</v>
      </c>
      <c r="E149" s="35"/>
      <c r="F149" s="41" t="s">
        <v>26</v>
      </c>
      <c r="G149" s="16">
        <v>45949</v>
      </c>
      <c r="H149" s="16">
        <f>RFIActionRegister[[#This Row],[Creation Date]]+3</f>
        <v>45952</v>
      </c>
      <c r="I149" s="16">
        <v>45958</v>
      </c>
      <c r="J149" s="37"/>
      <c r="K149" s="37" t="str">
        <f>IF(RFIActionRegister[[#This Row],[Date Sent to NACO]]="","",RFIActionRegister[[#This Row],[Date Sent to NACO]]+1)</f>
        <v/>
      </c>
      <c r="L149" s="37"/>
      <c r="M149" s="18">
        <v>0</v>
      </c>
      <c r="N149" s="17" t="s">
        <v>27</v>
      </c>
      <c r="O149" s="15"/>
      <c r="P149" s="20"/>
    </row>
    <row r="150" spans="1:16" ht="27.2" hidden="1" customHeight="1">
      <c r="A150" s="17" t="s">
        <v>336</v>
      </c>
      <c r="B150" s="18">
        <v>0</v>
      </c>
      <c r="C150" s="19" t="s">
        <v>337</v>
      </c>
      <c r="D150" s="17" t="s">
        <v>335</v>
      </c>
      <c r="E150" s="23"/>
      <c r="F150" s="41" t="s">
        <v>26</v>
      </c>
      <c r="G150" s="16">
        <v>45950</v>
      </c>
      <c r="H150" s="16">
        <f>RFIActionRegister[[#This Row],[Creation Date]]+3</f>
        <v>45953</v>
      </c>
      <c r="I150" s="16">
        <v>45967</v>
      </c>
      <c r="J150" s="18"/>
      <c r="K150" s="16" t="str">
        <f>IF(RFIActionRegister[[#This Row],[Date Sent to NACO]]="","",RFIActionRegister[[#This Row],[Date Sent to NACO]]+1)</f>
        <v/>
      </c>
      <c r="L150" s="18"/>
      <c r="M150" s="18">
        <v>0</v>
      </c>
      <c r="N150" s="17" t="s">
        <v>27</v>
      </c>
      <c r="O150" s="15"/>
      <c r="P150" s="20"/>
    </row>
    <row r="151" spans="1:16" ht="27.2" hidden="1" customHeight="1">
      <c r="A151" s="17" t="s">
        <v>338</v>
      </c>
      <c r="B151" s="18">
        <v>0</v>
      </c>
      <c r="C151" s="19" t="s">
        <v>339</v>
      </c>
      <c r="D151" s="17" t="s">
        <v>335</v>
      </c>
      <c r="E151" s="16"/>
      <c r="F151" s="41" t="s">
        <v>26</v>
      </c>
      <c r="G151" s="16">
        <v>45950</v>
      </c>
      <c r="H151" s="16">
        <f>RFIActionRegister[[#This Row],[Creation Date]]+3</f>
        <v>45953</v>
      </c>
      <c r="I151" s="16">
        <v>45965</v>
      </c>
      <c r="J151" s="16"/>
      <c r="K151" s="16" t="str">
        <f>IF(RFIActionRegister[[#This Row],[Date Sent to NACO]]="","",RFIActionRegister[[#This Row],[Date Sent to NACO]]+1)</f>
        <v/>
      </c>
      <c r="L151" s="16"/>
      <c r="M151" s="18">
        <v>0</v>
      </c>
      <c r="N151" s="17" t="s">
        <v>27</v>
      </c>
      <c r="O151" s="15"/>
      <c r="P151" s="20"/>
    </row>
    <row r="152" spans="1:16" ht="27.2" hidden="1" customHeight="1">
      <c r="A152" s="17" t="s">
        <v>340</v>
      </c>
      <c r="B152" s="18">
        <v>0</v>
      </c>
      <c r="C152" s="19" t="s">
        <v>341</v>
      </c>
      <c r="D152" s="17" t="s">
        <v>335</v>
      </c>
      <c r="E152" s="16"/>
      <c r="F152" s="41" t="s">
        <v>26</v>
      </c>
      <c r="G152" s="16">
        <v>46019</v>
      </c>
      <c r="H152" s="16">
        <f>RFIActionRegister[[#This Row],[Creation Date]]+3</f>
        <v>46022</v>
      </c>
      <c r="I152" s="16">
        <v>46025</v>
      </c>
      <c r="J152" s="16"/>
      <c r="K152" s="16" t="str">
        <f>IF(RFIActionRegister[[#This Row],[Date Sent to NACO]]="","",RFIActionRegister[[#This Row],[Date Sent to NACO]]+1)</f>
        <v/>
      </c>
      <c r="L152" s="16"/>
      <c r="M152" s="18">
        <v>0</v>
      </c>
      <c r="N152" s="17" t="s">
        <v>27</v>
      </c>
      <c r="O152" s="15"/>
      <c r="P152" s="20"/>
    </row>
    <row r="153" spans="1:16" ht="27.2" hidden="1" customHeight="1">
      <c r="A153" s="17" t="s">
        <v>342</v>
      </c>
      <c r="B153" s="18">
        <v>0</v>
      </c>
      <c r="C153" s="19" t="s">
        <v>343</v>
      </c>
      <c r="D153" s="17" t="s">
        <v>335</v>
      </c>
      <c r="E153" s="16"/>
      <c r="F153" s="41" t="s">
        <v>26</v>
      </c>
      <c r="G153" s="16">
        <v>46050</v>
      </c>
      <c r="H153" s="16">
        <f>RFIActionRegister[[#This Row],[Creation Date]]+3</f>
        <v>46053</v>
      </c>
      <c r="I153" s="16">
        <v>46059</v>
      </c>
      <c r="J153" s="16"/>
      <c r="K153" s="16" t="str">
        <f>IF(RFIActionRegister[[#This Row],[Date Sent to NACO]]="","",RFIActionRegister[[#This Row],[Date Sent to NACO]]+1)</f>
        <v/>
      </c>
      <c r="L153" s="16"/>
      <c r="M153" s="18">
        <v>0</v>
      </c>
      <c r="N153" s="17" t="s">
        <v>27</v>
      </c>
      <c r="O153" s="15"/>
      <c r="P153" s="20"/>
    </row>
    <row r="154" spans="1:16" ht="27.2" hidden="1" customHeight="1">
      <c r="A154" s="17" t="s">
        <v>344</v>
      </c>
      <c r="B154" s="18">
        <v>0</v>
      </c>
      <c r="C154" s="19" t="s">
        <v>345</v>
      </c>
      <c r="D154" s="17" t="s">
        <v>335</v>
      </c>
      <c r="E154" s="16"/>
      <c r="F154" s="41" t="s">
        <v>26</v>
      </c>
      <c r="G154" s="16">
        <v>46054</v>
      </c>
      <c r="H154" s="16">
        <f>RFIActionRegister[[#This Row],[Creation Date]]+3</f>
        <v>46057</v>
      </c>
      <c r="I154" s="16">
        <v>46056</v>
      </c>
      <c r="J154" s="16"/>
      <c r="K154" s="16" t="str">
        <f>IF(RFIActionRegister[[#This Row],[Date Sent to NACO]]="","",RFIActionRegister[[#This Row],[Date Sent to NACO]]+1)</f>
        <v/>
      </c>
      <c r="L154" s="16"/>
      <c r="M154" s="18">
        <v>0</v>
      </c>
      <c r="N154" s="17" t="s">
        <v>27</v>
      </c>
      <c r="O154" s="15"/>
      <c r="P154" s="20"/>
    </row>
    <row r="155" spans="1:16" ht="27.2" hidden="1" customHeight="1">
      <c r="A155" s="17" t="s">
        <v>346</v>
      </c>
      <c r="B155" s="18">
        <v>0</v>
      </c>
      <c r="C155" s="19" t="s">
        <v>347</v>
      </c>
      <c r="D155" s="17" t="s">
        <v>335</v>
      </c>
      <c r="E155" s="16"/>
      <c r="F155" s="41" t="s">
        <v>26</v>
      </c>
      <c r="G155" s="16">
        <v>46057</v>
      </c>
      <c r="H155" s="16">
        <f>RFIActionRegister[[#This Row],[Creation Date]]+3</f>
        <v>46060</v>
      </c>
      <c r="I155" s="16">
        <v>46063</v>
      </c>
      <c r="J155" s="16"/>
      <c r="K155" s="16" t="str">
        <f>IF(RFIActionRegister[[#This Row],[Date Sent to NACO]]="","",RFIActionRegister[[#This Row],[Date Sent to NACO]]+1)</f>
        <v/>
      </c>
      <c r="L155" s="16"/>
      <c r="M155" s="18">
        <v>0</v>
      </c>
      <c r="N155" s="17" t="s">
        <v>27</v>
      </c>
      <c r="O155" s="15"/>
      <c r="P155" s="20"/>
    </row>
    <row r="156" spans="1:16" ht="27.2" hidden="1" customHeight="1">
      <c r="A156" s="17" t="s">
        <v>348</v>
      </c>
      <c r="B156" s="18">
        <v>0</v>
      </c>
      <c r="C156" s="19" t="s">
        <v>349</v>
      </c>
      <c r="D156" s="17" t="s">
        <v>335</v>
      </c>
      <c r="E156" s="16"/>
      <c r="F156" s="41" t="s">
        <v>26</v>
      </c>
      <c r="G156" s="16">
        <v>46060</v>
      </c>
      <c r="H156" s="16">
        <f>RFIActionRegister[[#This Row],[Creation Date]]+3</f>
        <v>46063</v>
      </c>
      <c r="I156" s="16">
        <v>46078</v>
      </c>
      <c r="J156" s="16"/>
      <c r="K156" s="16" t="str">
        <f>IF(RFIActionRegister[[#This Row],[Date Sent to NACO]]="","",RFIActionRegister[[#This Row],[Date Sent to NACO]]+1)</f>
        <v/>
      </c>
      <c r="L156" s="16"/>
      <c r="M156" s="18">
        <v>0</v>
      </c>
      <c r="N156" s="17" t="s">
        <v>27</v>
      </c>
      <c r="O156" s="15"/>
      <c r="P156" s="20"/>
    </row>
    <row r="157" spans="1:16" ht="27.2" hidden="1" customHeight="1">
      <c r="A157" s="17" t="s">
        <v>350</v>
      </c>
      <c r="B157" s="18">
        <v>0</v>
      </c>
      <c r="C157" s="19" t="s">
        <v>351</v>
      </c>
      <c r="D157" s="17" t="s">
        <v>335</v>
      </c>
      <c r="E157" s="16"/>
      <c r="F157" s="41" t="s">
        <v>26</v>
      </c>
      <c r="G157" s="16">
        <v>46062</v>
      </c>
      <c r="H157" s="16">
        <f>RFIActionRegister[[#This Row],[Creation Date]]+3</f>
        <v>46065</v>
      </c>
      <c r="I157" s="16">
        <v>46078</v>
      </c>
      <c r="J157" s="16"/>
      <c r="K157" s="16" t="str">
        <f>IF(RFIActionRegister[[#This Row],[Date Sent to NACO]]="","",RFIActionRegister[[#This Row],[Date Sent to NACO]]+1)</f>
        <v/>
      </c>
      <c r="L157" s="16"/>
      <c r="M157" s="18">
        <v>0</v>
      </c>
      <c r="N157" s="17" t="s">
        <v>27</v>
      </c>
      <c r="O157" s="15"/>
      <c r="P157" s="20"/>
    </row>
    <row r="158" spans="1:16" ht="27.2" hidden="1" customHeight="1">
      <c r="A158" s="17" t="s">
        <v>352</v>
      </c>
      <c r="B158" s="18">
        <v>0</v>
      </c>
      <c r="C158" s="19" t="s">
        <v>351</v>
      </c>
      <c r="D158" s="17" t="s">
        <v>335</v>
      </c>
      <c r="E158" s="16"/>
      <c r="F158" s="41" t="s">
        <v>26</v>
      </c>
      <c r="G158" s="16">
        <v>46062</v>
      </c>
      <c r="H158" s="16">
        <f>RFIActionRegister[[#This Row],[Creation Date]]+3</f>
        <v>46065</v>
      </c>
      <c r="I158" s="16">
        <v>46079</v>
      </c>
      <c r="J158" s="16"/>
      <c r="K158" s="16" t="str">
        <f>IF(RFIActionRegister[[#This Row],[Date Sent to NACO]]="","",RFIActionRegister[[#This Row],[Date Sent to NACO]]+1)</f>
        <v/>
      </c>
      <c r="L158" s="16"/>
      <c r="M158" s="18">
        <v>0</v>
      </c>
      <c r="N158" s="17" t="s">
        <v>27</v>
      </c>
      <c r="O158" s="15"/>
      <c r="P158" s="20"/>
    </row>
    <row r="159" spans="1:16" ht="27.2" hidden="1" customHeight="1">
      <c r="A159" s="17" t="s">
        <v>353</v>
      </c>
      <c r="B159" s="18">
        <v>0</v>
      </c>
      <c r="C159" s="19" t="s">
        <v>354</v>
      </c>
      <c r="D159" s="17" t="s">
        <v>335</v>
      </c>
      <c r="E159" s="16"/>
      <c r="F159" s="41" t="s">
        <v>26</v>
      </c>
      <c r="G159" s="16">
        <v>46063</v>
      </c>
      <c r="H159" s="16">
        <f>RFIActionRegister[[#This Row],[Creation Date]]+3</f>
        <v>46066</v>
      </c>
      <c r="I159" s="16">
        <v>46082</v>
      </c>
      <c r="J159" s="16"/>
      <c r="K159" s="16" t="str">
        <f>IF(RFIActionRegister[[#This Row],[Date Sent to NACO]]="","",RFIActionRegister[[#This Row],[Date Sent to NACO]]+1)</f>
        <v/>
      </c>
      <c r="L159" s="16"/>
      <c r="M159" s="18">
        <v>0</v>
      </c>
      <c r="N159" s="17" t="s">
        <v>27</v>
      </c>
      <c r="O159" s="15"/>
      <c r="P159" s="20"/>
    </row>
    <row r="160" spans="1:16" ht="27.2" hidden="1" customHeight="1">
      <c r="A160" s="17" t="s">
        <v>355</v>
      </c>
      <c r="B160" s="18" t="s">
        <v>80</v>
      </c>
      <c r="C160" s="19" t="s">
        <v>356</v>
      </c>
      <c r="D160" s="17" t="s">
        <v>335</v>
      </c>
      <c r="E160" s="16"/>
      <c r="F160" s="41" t="s">
        <v>26</v>
      </c>
      <c r="G160" s="16">
        <v>46070</v>
      </c>
      <c r="H160" s="16">
        <f>RFIActionRegister[[#This Row],[Creation Date]]+3</f>
        <v>46073</v>
      </c>
      <c r="I160" s="16">
        <v>46079</v>
      </c>
      <c r="J160" s="16"/>
      <c r="K160" s="16" t="str">
        <f>IF(RFIActionRegister[[#This Row],[Date Sent to NACO]]="","",RFIActionRegister[[#This Row],[Date Sent to NACO]]+1)</f>
        <v/>
      </c>
      <c r="L160" s="16"/>
      <c r="M160" s="18" t="s">
        <v>80</v>
      </c>
      <c r="N160" s="17" t="s">
        <v>27</v>
      </c>
      <c r="O160" s="15"/>
      <c r="P160" s="20"/>
    </row>
    <row r="161" spans="1:16" ht="27.2" hidden="1" customHeight="1">
      <c r="A161" s="17" t="s">
        <v>357</v>
      </c>
      <c r="B161" s="18" t="s">
        <v>80</v>
      </c>
      <c r="C161" s="19" t="s">
        <v>358</v>
      </c>
      <c r="D161" s="17" t="s">
        <v>335</v>
      </c>
      <c r="E161" s="16"/>
      <c r="F161" s="41" t="s">
        <v>26</v>
      </c>
      <c r="G161" s="16">
        <v>46120</v>
      </c>
      <c r="H161" s="16">
        <f>RFIActionRegister[[#This Row],[Creation Date]]+3</f>
        <v>46123</v>
      </c>
      <c r="I161" s="16">
        <v>46138</v>
      </c>
      <c r="J161" s="16"/>
      <c r="K161" s="16" t="str">
        <f>IF(RFIActionRegister[[#This Row],[Date Sent to NACO]]="","",RFIActionRegister[[#This Row],[Date Sent to NACO]]+1)</f>
        <v/>
      </c>
      <c r="L161" s="16"/>
      <c r="M161" s="18" t="s">
        <v>80</v>
      </c>
      <c r="N161" s="17" t="s">
        <v>27</v>
      </c>
      <c r="O161" s="15"/>
      <c r="P161" s="20"/>
    </row>
    <row r="162" spans="1:16" ht="27.2" hidden="1" customHeight="1">
      <c r="A162" s="17" t="s">
        <v>359</v>
      </c>
      <c r="B162" s="18">
        <v>0</v>
      </c>
      <c r="C162" s="19" t="s">
        <v>360</v>
      </c>
      <c r="D162" s="17" t="s">
        <v>335</v>
      </c>
      <c r="E162" s="16"/>
      <c r="F162" s="41" t="s">
        <v>26</v>
      </c>
      <c r="G162" s="16">
        <v>46121</v>
      </c>
      <c r="H162" s="16">
        <f>RFIActionRegister[[#This Row],[Creation Date]]+3</f>
        <v>46124</v>
      </c>
      <c r="I162" s="16">
        <v>46124</v>
      </c>
      <c r="J162" s="16"/>
      <c r="K162" s="16" t="str">
        <f>IF(RFIActionRegister[[#This Row],[Date Sent to NACO]]="","",RFIActionRegister[[#This Row],[Date Sent to NACO]]+1)</f>
        <v/>
      </c>
      <c r="L162" s="16"/>
      <c r="M162" s="18">
        <v>0</v>
      </c>
      <c r="N162" s="17" t="s">
        <v>27</v>
      </c>
      <c r="O162" s="15"/>
      <c r="P162" s="20"/>
    </row>
    <row r="163" spans="1:16" ht="27.2" hidden="1" customHeight="1">
      <c r="A163" s="17" t="s">
        <v>361</v>
      </c>
      <c r="B163" s="18" t="s">
        <v>80</v>
      </c>
      <c r="C163" s="19" t="s">
        <v>362</v>
      </c>
      <c r="D163" s="17" t="s">
        <v>335</v>
      </c>
      <c r="E163" s="16"/>
      <c r="F163" s="41" t="s">
        <v>26</v>
      </c>
      <c r="G163" s="16">
        <v>46121</v>
      </c>
      <c r="H163" s="16">
        <f>RFIActionRegister[[#This Row],[Creation Date]]+3</f>
        <v>46124</v>
      </c>
      <c r="I163" s="16" t="s">
        <v>214</v>
      </c>
      <c r="J163" s="16"/>
      <c r="K163" s="16" t="str">
        <f>IF(RFIActionRegister[[#This Row],[Date Sent to NACO]]="","",RFIActionRegister[[#This Row],[Date Sent to NACO]]+1)</f>
        <v/>
      </c>
      <c r="L163" s="16"/>
      <c r="M163" s="18" t="s">
        <v>80</v>
      </c>
      <c r="N163" s="17" t="s">
        <v>27</v>
      </c>
      <c r="O163" s="15"/>
      <c r="P163" s="20"/>
    </row>
    <row r="164" spans="1:16" ht="27.2" hidden="1" customHeight="1">
      <c r="A164" s="17" t="s">
        <v>363</v>
      </c>
      <c r="B164" s="18" t="s">
        <v>80</v>
      </c>
      <c r="C164" s="19" t="s">
        <v>364</v>
      </c>
      <c r="D164" s="17" t="s">
        <v>335</v>
      </c>
      <c r="E164" s="16"/>
      <c r="F164" s="41" t="s">
        <v>26</v>
      </c>
      <c r="G164" s="16">
        <v>46130</v>
      </c>
      <c r="H164" s="16">
        <f>RFIActionRegister[[#This Row],[Creation Date]]+3</f>
        <v>46133</v>
      </c>
      <c r="I164" s="16">
        <v>46147</v>
      </c>
      <c r="J164" s="16"/>
      <c r="K164" s="16" t="str">
        <f>IF(RFIActionRegister[[#This Row],[Date Sent to NACO]]="","",RFIActionRegister[[#This Row],[Date Sent to NACO]]+1)</f>
        <v/>
      </c>
      <c r="L164" s="16"/>
      <c r="M164" s="18" t="s">
        <v>80</v>
      </c>
      <c r="N164" s="17" t="s">
        <v>27</v>
      </c>
      <c r="O164" s="15"/>
      <c r="P164" s="20"/>
    </row>
    <row r="165" spans="1:16" ht="27.2" hidden="1" customHeight="1">
      <c r="A165" s="17" t="s">
        <v>365</v>
      </c>
      <c r="B165" s="18" t="s">
        <v>80</v>
      </c>
      <c r="C165" s="19" t="s">
        <v>366</v>
      </c>
      <c r="D165" s="17" t="s">
        <v>335</v>
      </c>
      <c r="E165" s="16" t="s">
        <v>30</v>
      </c>
      <c r="F165" s="41" t="s">
        <v>117</v>
      </c>
      <c r="G165" s="16">
        <v>46130</v>
      </c>
      <c r="H165" s="16">
        <f>RFIActionRegister[[#This Row],[Creation Date]]+3</f>
        <v>46133</v>
      </c>
      <c r="I165" s="16">
        <v>46176</v>
      </c>
      <c r="J165" s="16"/>
      <c r="K165" s="16" t="str">
        <f>IF(RFIActionRegister[[#This Row],[Date Sent to NACO]]="","",RFIActionRegister[[#This Row],[Date Sent to NACO]]+1)</f>
        <v/>
      </c>
      <c r="L165" s="16"/>
      <c r="M165" s="18" t="s">
        <v>80</v>
      </c>
      <c r="N165" s="17" t="s">
        <v>27</v>
      </c>
      <c r="O165" s="15"/>
      <c r="P165" s="20" t="s">
        <v>94</v>
      </c>
    </row>
    <row r="166" spans="1:16" ht="27.2" hidden="1" customHeight="1">
      <c r="A166" s="17" t="s">
        <v>367</v>
      </c>
      <c r="B166" s="18" t="s">
        <v>80</v>
      </c>
      <c r="C166" s="19" t="s">
        <v>368</v>
      </c>
      <c r="D166" s="17" t="s">
        <v>335</v>
      </c>
      <c r="E166" s="16"/>
      <c r="F166" s="41" t="s">
        <v>26</v>
      </c>
      <c r="G166" s="16">
        <v>46132</v>
      </c>
      <c r="H166" s="16">
        <f>RFIActionRegister[[#This Row],[Creation Date]]+3</f>
        <v>46135</v>
      </c>
      <c r="I166" s="16">
        <v>46142</v>
      </c>
      <c r="J166" s="16"/>
      <c r="K166" s="16" t="str">
        <f>IF(RFIActionRegister[[#This Row],[Date Sent to NACO]]="","",RFIActionRegister[[#This Row],[Date Sent to NACO]]+1)</f>
        <v/>
      </c>
      <c r="L166" s="16"/>
      <c r="M166" s="18" t="s">
        <v>80</v>
      </c>
      <c r="N166" s="17" t="s">
        <v>27</v>
      </c>
      <c r="O166" s="15" t="s">
        <v>369</v>
      </c>
      <c r="P166" s="20"/>
    </row>
    <row r="167" spans="1:16" ht="27.2" hidden="1" customHeight="1">
      <c r="A167" s="17" t="s">
        <v>370</v>
      </c>
      <c r="B167" s="18" t="s">
        <v>80</v>
      </c>
      <c r="C167" s="19" t="s">
        <v>371</v>
      </c>
      <c r="D167" s="17" t="s">
        <v>335</v>
      </c>
      <c r="E167" s="16" t="s">
        <v>30</v>
      </c>
      <c r="F167" s="41" t="s">
        <v>117</v>
      </c>
      <c r="G167" s="16">
        <v>46132</v>
      </c>
      <c r="H167" s="16">
        <f>RFIActionRegister[[#This Row],[Creation Date]]+3</f>
        <v>46135</v>
      </c>
      <c r="I167" s="16"/>
      <c r="J167" s="16"/>
      <c r="K167" s="16" t="str">
        <f>IF(RFIActionRegister[[#This Row],[Date Sent to NACO]]="","",RFIActionRegister[[#This Row],[Date Sent to NACO]]+1)</f>
        <v/>
      </c>
      <c r="L167" s="16"/>
      <c r="M167" s="18" t="s">
        <v>80</v>
      </c>
      <c r="N167" s="17" t="s">
        <v>27</v>
      </c>
      <c r="O167" s="15"/>
      <c r="P167" s="20" t="s">
        <v>94</v>
      </c>
    </row>
    <row r="168" spans="1:16" ht="27.2" hidden="1" customHeight="1">
      <c r="A168" s="17" t="s">
        <v>372</v>
      </c>
      <c r="B168" s="18" t="s">
        <v>80</v>
      </c>
      <c r="C168" s="19" t="s">
        <v>373</v>
      </c>
      <c r="D168" s="17" t="s">
        <v>335</v>
      </c>
      <c r="E168" s="16" t="s">
        <v>30</v>
      </c>
      <c r="F168" s="41" t="s">
        <v>117</v>
      </c>
      <c r="G168" s="16">
        <v>46132</v>
      </c>
      <c r="H168" s="16">
        <f>RFIActionRegister[[#This Row],[Creation Date]]+3</f>
        <v>46135</v>
      </c>
      <c r="I168" s="16"/>
      <c r="J168" s="16"/>
      <c r="K168" s="16" t="str">
        <f>IF(RFIActionRegister[[#This Row],[Date Sent to NACO]]="","",RFIActionRegister[[#This Row],[Date Sent to NACO]]+1)</f>
        <v/>
      </c>
      <c r="L168" s="16"/>
      <c r="M168" s="18" t="s">
        <v>80</v>
      </c>
      <c r="N168" s="17" t="s">
        <v>27</v>
      </c>
      <c r="O168" s="15"/>
      <c r="P168" s="20" t="s">
        <v>94</v>
      </c>
    </row>
    <row r="169" spans="1:16" ht="27.2" hidden="1" customHeight="1">
      <c r="A169" s="17" t="s">
        <v>374</v>
      </c>
      <c r="B169" s="18" t="s">
        <v>80</v>
      </c>
      <c r="C169" s="19" t="s">
        <v>375</v>
      </c>
      <c r="D169" s="17" t="s">
        <v>335</v>
      </c>
      <c r="E169" s="16" t="s">
        <v>30</v>
      </c>
      <c r="F169" s="41" t="s">
        <v>117</v>
      </c>
      <c r="G169" s="16">
        <v>46132</v>
      </c>
      <c r="H169" s="16">
        <f>RFIActionRegister[[#This Row],[Creation Date]]+3</f>
        <v>46135</v>
      </c>
      <c r="I169" s="16"/>
      <c r="J169" s="16"/>
      <c r="K169" s="16" t="str">
        <f>IF(RFIActionRegister[[#This Row],[Date Sent to NACO]]="","",RFIActionRegister[[#This Row],[Date Sent to NACO]]+1)</f>
        <v/>
      </c>
      <c r="L169" s="16"/>
      <c r="M169" s="18" t="s">
        <v>80</v>
      </c>
      <c r="N169" s="17" t="s">
        <v>27</v>
      </c>
      <c r="O169" s="15"/>
      <c r="P169" s="20" t="s">
        <v>94</v>
      </c>
    </row>
    <row r="170" spans="1:16" ht="27.2" hidden="1" customHeight="1">
      <c r="A170" s="17" t="s">
        <v>376</v>
      </c>
      <c r="B170" s="18" t="s">
        <v>80</v>
      </c>
      <c r="C170" s="19" t="s">
        <v>377</v>
      </c>
      <c r="D170" s="17" t="s">
        <v>335</v>
      </c>
      <c r="E170" s="16" t="s">
        <v>30</v>
      </c>
      <c r="F170" s="41" t="s">
        <v>117</v>
      </c>
      <c r="G170" s="16">
        <v>46132</v>
      </c>
      <c r="H170" s="16">
        <f>RFIActionRegister[[#This Row],[Creation Date]]+3</f>
        <v>46135</v>
      </c>
      <c r="I170" s="16"/>
      <c r="J170" s="16"/>
      <c r="K170" s="16" t="str">
        <f>IF(RFIActionRegister[[#This Row],[Date Sent to NACO]]="","",RFIActionRegister[[#This Row],[Date Sent to NACO]]+1)</f>
        <v/>
      </c>
      <c r="L170" s="16"/>
      <c r="M170" s="18" t="s">
        <v>80</v>
      </c>
      <c r="N170" s="17" t="s">
        <v>27</v>
      </c>
      <c r="O170" s="24"/>
      <c r="P170" s="20" t="s">
        <v>94</v>
      </c>
    </row>
    <row r="171" spans="1:16" ht="27.2" hidden="1" customHeight="1">
      <c r="A171" s="17" t="s">
        <v>378</v>
      </c>
      <c r="B171" s="18" t="s">
        <v>80</v>
      </c>
      <c r="C171" s="19" t="s">
        <v>379</v>
      </c>
      <c r="D171" s="17" t="s">
        <v>335</v>
      </c>
      <c r="E171" s="16" t="s">
        <v>30</v>
      </c>
      <c r="F171" s="41" t="s">
        <v>36</v>
      </c>
      <c r="G171" s="16">
        <v>46132</v>
      </c>
      <c r="H171" s="16">
        <f>RFIActionRegister[[#This Row],[Creation Date]]+3</f>
        <v>46135</v>
      </c>
      <c r="I171" s="16"/>
      <c r="J171" s="16"/>
      <c r="K171" s="16" t="str">
        <f>IF(RFIActionRegister[[#This Row],[Date Sent to NACO]]="","",RFIActionRegister[[#This Row],[Date Sent to NACO]]+1)</f>
        <v/>
      </c>
      <c r="L171" s="16"/>
      <c r="M171" s="18" t="s">
        <v>80</v>
      </c>
      <c r="N171" s="17" t="s">
        <v>27</v>
      </c>
      <c r="O171" s="24"/>
      <c r="P171" s="20" t="s">
        <v>94</v>
      </c>
    </row>
    <row r="172" spans="1:16" ht="27.2" hidden="1" customHeight="1">
      <c r="A172" s="17" t="s">
        <v>380</v>
      </c>
      <c r="B172" s="18" t="s">
        <v>80</v>
      </c>
      <c r="C172" s="19" t="s">
        <v>381</v>
      </c>
      <c r="D172" s="17" t="s">
        <v>335</v>
      </c>
      <c r="E172" s="16" t="s">
        <v>30</v>
      </c>
      <c r="F172" s="41" t="s">
        <v>117</v>
      </c>
      <c r="G172" s="16">
        <v>46132</v>
      </c>
      <c r="H172" s="16">
        <f>RFIActionRegister[[#This Row],[Creation Date]]+3</f>
        <v>46135</v>
      </c>
      <c r="I172" s="16"/>
      <c r="J172" s="16"/>
      <c r="K172" s="16" t="str">
        <f>IF(RFIActionRegister[[#This Row],[Date Sent to NACO]]="","",RFIActionRegister[[#This Row],[Date Sent to NACO]]+1)</f>
        <v/>
      </c>
      <c r="L172" s="16"/>
      <c r="M172" s="18" t="s">
        <v>80</v>
      </c>
      <c r="N172" s="17" t="s">
        <v>27</v>
      </c>
      <c r="O172" s="24"/>
      <c r="P172" s="20" t="s">
        <v>94</v>
      </c>
    </row>
    <row r="173" spans="1:16" ht="27.2" hidden="1" customHeight="1">
      <c r="A173" s="17" t="s">
        <v>382</v>
      </c>
      <c r="B173" s="18" t="s">
        <v>80</v>
      </c>
      <c r="C173" s="19" t="s">
        <v>383</v>
      </c>
      <c r="D173" s="17" t="s">
        <v>335</v>
      </c>
      <c r="E173" s="16"/>
      <c r="F173" s="41" t="s">
        <v>26</v>
      </c>
      <c r="G173" s="16">
        <v>46134</v>
      </c>
      <c r="H173" s="16">
        <f>RFIActionRegister[[#This Row],[Creation Date]]+3</f>
        <v>46137</v>
      </c>
      <c r="I173" s="16">
        <v>46142</v>
      </c>
      <c r="J173" s="16"/>
      <c r="K173" s="16" t="str">
        <f>IF(RFIActionRegister[[#This Row],[Date Sent to NACO]]="","",RFIActionRegister[[#This Row],[Date Sent to NACO]]+1)</f>
        <v/>
      </c>
      <c r="L173" s="16"/>
      <c r="M173" s="18" t="s">
        <v>80</v>
      </c>
      <c r="N173" s="17" t="s">
        <v>27</v>
      </c>
      <c r="O173" s="24" t="s">
        <v>384</v>
      </c>
      <c r="P173" s="20"/>
    </row>
    <row r="174" spans="1:16" ht="27.2" hidden="1" customHeight="1">
      <c r="A174" s="17" t="s">
        <v>385</v>
      </c>
      <c r="B174" s="18" t="s">
        <v>80</v>
      </c>
      <c r="C174" s="19" t="s">
        <v>386</v>
      </c>
      <c r="D174" s="17" t="s">
        <v>335</v>
      </c>
      <c r="E174" s="16"/>
      <c r="F174" s="41" t="s">
        <v>26</v>
      </c>
      <c r="G174" s="16">
        <v>46138</v>
      </c>
      <c r="H174" s="16">
        <f>RFIActionRegister[[#This Row],[Creation Date]]+3</f>
        <v>46141</v>
      </c>
      <c r="I174" s="16">
        <v>46146</v>
      </c>
      <c r="J174" s="16"/>
      <c r="K174" s="16" t="str">
        <f>IF(RFIActionRegister[[#This Row],[Date Sent to NACO]]="","",RFIActionRegister[[#This Row],[Date Sent to NACO]]+1)</f>
        <v/>
      </c>
      <c r="L174" s="16"/>
      <c r="M174" s="18" t="s">
        <v>80</v>
      </c>
      <c r="N174" s="17" t="s">
        <v>27</v>
      </c>
      <c r="O174" s="25" t="s">
        <v>387</v>
      </c>
      <c r="P174" s="20"/>
    </row>
    <row r="175" spans="1:16" ht="27.2" hidden="1" customHeight="1">
      <c r="A175" s="17" t="s">
        <v>388</v>
      </c>
      <c r="B175" s="18" t="s">
        <v>80</v>
      </c>
      <c r="C175" s="19" t="s">
        <v>389</v>
      </c>
      <c r="D175" s="17" t="s">
        <v>335</v>
      </c>
      <c r="E175" s="16" t="s">
        <v>30</v>
      </c>
      <c r="F175" s="41" t="s">
        <v>117</v>
      </c>
      <c r="G175" s="16">
        <v>46142</v>
      </c>
      <c r="H175" s="16">
        <f>RFIActionRegister[[#This Row],[Creation Date]]+3</f>
        <v>46145</v>
      </c>
      <c r="I175" s="16"/>
      <c r="J175" s="16"/>
      <c r="K175" s="16" t="str">
        <f>IF(RFIActionRegister[[#This Row],[Date Sent to NACO]]="","",RFIActionRegister[[#This Row],[Date Sent to NACO]]+1)</f>
        <v/>
      </c>
      <c r="L175" s="16"/>
      <c r="M175" s="18" t="s">
        <v>80</v>
      </c>
      <c r="N175" s="17" t="s">
        <v>27</v>
      </c>
      <c r="O175" s="24"/>
      <c r="P175" s="20" t="s">
        <v>94</v>
      </c>
    </row>
    <row r="176" spans="1:16" ht="27.2" hidden="1" customHeight="1">
      <c r="A176" s="17" t="s">
        <v>390</v>
      </c>
      <c r="B176" s="18" t="s">
        <v>80</v>
      </c>
      <c r="C176" s="19" t="s">
        <v>391</v>
      </c>
      <c r="D176" s="17" t="s">
        <v>335</v>
      </c>
      <c r="E176" s="16" t="s">
        <v>30</v>
      </c>
      <c r="F176" s="41" t="s">
        <v>106</v>
      </c>
      <c r="G176" s="16">
        <v>46142</v>
      </c>
      <c r="H176" s="16">
        <f>RFIActionRegister[[#This Row],[Creation Date]]+3</f>
        <v>46145</v>
      </c>
      <c r="I176" s="16"/>
      <c r="J176" s="16"/>
      <c r="K176" s="16" t="str">
        <f>IF(RFIActionRegister[[#This Row],[Date Sent to NACO]]="","",RFIActionRegister[[#This Row],[Date Sent to NACO]]+1)</f>
        <v/>
      </c>
      <c r="L176" s="16"/>
      <c r="M176" s="18" t="s">
        <v>80</v>
      </c>
      <c r="N176" s="17" t="s">
        <v>27</v>
      </c>
      <c r="O176" s="24"/>
      <c r="P176" s="20" t="s">
        <v>94</v>
      </c>
    </row>
    <row r="177" spans="1:16" ht="27.2" hidden="1" customHeight="1">
      <c r="A177" s="17" t="s">
        <v>392</v>
      </c>
      <c r="B177" s="18">
        <v>0</v>
      </c>
      <c r="C177" s="19" t="s">
        <v>393</v>
      </c>
      <c r="D177" s="17" t="s">
        <v>335</v>
      </c>
      <c r="E177" s="22" t="s">
        <v>30</v>
      </c>
      <c r="F177" s="41" t="s">
        <v>26</v>
      </c>
      <c r="G177" s="16">
        <v>46142</v>
      </c>
      <c r="H177" s="16">
        <f>RFIActionRegister[[#This Row],[Creation Date]]+3</f>
        <v>46145</v>
      </c>
      <c r="I177" s="16"/>
      <c r="J177" s="16">
        <v>46177</v>
      </c>
      <c r="K177" s="16">
        <f>IF(RFIActionRegister[[#This Row],[Date Sent to NACO]]="","",RFIActionRegister[[#This Row],[Date Sent to NACO]]+1)</f>
        <v>46178</v>
      </c>
      <c r="L177" s="16">
        <v>46210</v>
      </c>
      <c r="M177" s="18"/>
      <c r="N177" s="17" t="s">
        <v>27</v>
      </c>
      <c r="O177" s="24"/>
      <c r="P177" s="20"/>
    </row>
    <row r="178" spans="1:16" ht="27.2" hidden="1" customHeight="1">
      <c r="A178" s="17" t="s">
        <v>394</v>
      </c>
      <c r="B178" s="18" t="s">
        <v>80</v>
      </c>
      <c r="C178" s="19" t="s">
        <v>395</v>
      </c>
      <c r="D178" s="17" t="s">
        <v>335</v>
      </c>
      <c r="E178" s="16"/>
      <c r="F178" s="41" t="s">
        <v>106</v>
      </c>
      <c r="G178" s="16">
        <v>46148</v>
      </c>
      <c r="H178" s="16">
        <f>RFIActionRegister[[#This Row],[Creation Date]]+3</f>
        <v>46151</v>
      </c>
      <c r="I178" s="16">
        <v>46166</v>
      </c>
      <c r="J178" s="16"/>
      <c r="K178" s="16" t="str">
        <f>IF(RFIActionRegister[[#This Row],[Date Sent to NACO]]="","",RFIActionRegister[[#This Row],[Date Sent to NACO]]+1)</f>
        <v/>
      </c>
      <c r="L178" s="16"/>
      <c r="M178" s="18" t="s">
        <v>80</v>
      </c>
      <c r="N178" s="17" t="s">
        <v>27</v>
      </c>
      <c r="O178" s="24"/>
      <c r="P178" s="20" t="s">
        <v>94</v>
      </c>
    </row>
    <row r="179" spans="1:16" ht="27.2" hidden="1" customHeight="1">
      <c r="A179" s="17" t="s">
        <v>394</v>
      </c>
      <c r="B179" s="18" t="s">
        <v>396</v>
      </c>
      <c r="C179" s="19" t="s">
        <v>397</v>
      </c>
      <c r="D179" s="17" t="s">
        <v>335</v>
      </c>
      <c r="E179" s="22" t="s">
        <v>30</v>
      </c>
      <c r="F179" s="41" t="s">
        <v>36</v>
      </c>
      <c r="G179" s="16">
        <v>46210</v>
      </c>
      <c r="H179" s="16">
        <f>RFIActionRegister[[#This Row],[Creation Date]]+3</f>
        <v>46213</v>
      </c>
      <c r="I179" s="16"/>
      <c r="J179" s="29">
        <v>46212</v>
      </c>
      <c r="K179" s="29">
        <f>IF(RFIActionRegister[[#This Row],[Date Sent to NACO]]="","",RFIActionRegister[[#This Row],[Date Sent to NACO]]+1)</f>
        <v>46213</v>
      </c>
      <c r="L179" s="29">
        <v>46272</v>
      </c>
      <c r="M179" s="18"/>
      <c r="N179" s="17" t="s">
        <v>27</v>
      </c>
      <c r="O179" s="24"/>
      <c r="P179" s="20"/>
    </row>
    <row r="180" spans="1:16" ht="27.2" hidden="1" customHeight="1">
      <c r="A180" s="17" t="s">
        <v>398</v>
      </c>
      <c r="B180" s="18" t="s">
        <v>80</v>
      </c>
      <c r="C180" s="19" t="s">
        <v>399</v>
      </c>
      <c r="D180" s="17" t="s">
        <v>335</v>
      </c>
      <c r="E180" s="16"/>
      <c r="F180" s="41" t="s">
        <v>100</v>
      </c>
      <c r="G180" s="16">
        <v>46149</v>
      </c>
      <c r="H180" s="16">
        <f>RFIActionRegister[[#This Row],[Creation Date]]+3</f>
        <v>46152</v>
      </c>
      <c r="I180" s="16">
        <v>46174</v>
      </c>
      <c r="J180" s="16"/>
      <c r="K180" s="16" t="str">
        <f>IF(RFIActionRegister[[#This Row],[Date Sent to NACO]]="","",RFIActionRegister[[#This Row],[Date Sent to NACO]]+1)</f>
        <v/>
      </c>
      <c r="L180" s="16"/>
      <c r="M180" s="18" t="s">
        <v>80</v>
      </c>
      <c r="N180" s="17" t="s">
        <v>27</v>
      </c>
      <c r="O180" s="24"/>
      <c r="P180" s="20" t="s">
        <v>97</v>
      </c>
    </row>
    <row r="181" spans="1:16" ht="27.2" hidden="1" customHeight="1">
      <c r="A181" s="17" t="s">
        <v>400</v>
      </c>
      <c r="B181" s="18">
        <v>0</v>
      </c>
      <c r="C181" s="19" t="s">
        <v>401</v>
      </c>
      <c r="D181" s="17" t="s">
        <v>335</v>
      </c>
      <c r="E181" s="18" t="s">
        <v>30</v>
      </c>
      <c r="F181" s="41" t="s">
        <v>36</v>
      </c>
      <c r="G181" s="16">
        <v>46156</v>
      </c>
      <c r="H181" s="16">
        <f>RFIActionRegister[[#This Row],[Creation Date]]+3</f>
        <v>46159</v>
      </c>
      <c r="I181" s="18"/>
      <c r="J181" s="18"/>
      <c r="K181" s="16" t="str">
        <f>IF(RFIActionRegister[[#This Row],[Date Sent to NACO]]="","",RFIActionRegister[[#This Row],[Date Sent to NACO]]+1)</f>
        <v/>
      </c>
      <c r="L181" s="18"/>
      <c r="M181" s="18">
        <v>0</v>
      </c>
      <c r="N181" s="17" t="s">
        <v>27</v>
      </c>
      <c r="O181" s="24"/>
      <c r="P181" s="20"/>
    </row>
    <row r="182" spans="1:16" ht="27.2" hidden="1" customHeight="1">
      <c r="A182" s="17" t="s">
        <v>402</v>
      </c>
      <c r="B182" s="18">
        <v>0</v>
      </c>
      <c r="C182" s="19" t="s">
        <v>403</v>
      </c>
      <c r="D182" s="17" t="s">
        <v>335</v>
      </c>
      <c r="E182" s="18" t="s">
        <v>30</v>
      </c>
      <c r="F182" s="41" t="s">
        <v>117</v>
      </c>
      <c r="G182" s="16">
        <v>46165</v>
      </c>
      <c r="H182" s="16">
        <f>RFIActionRegister[[#This Row],[Creation Date]]+3</f>
        <v>46168</v>
      </c>
      <c r="I182" s="16">
        <v>46176</v>
      </c>
      <c r="J182" s="16"/>
      <c r="K182" s="16" t="str">
        <f>IF(RFIActionRegister[[#This Row],[Date Sent to NACO]]="","",RFIActionRegister[[#This Row],[Date Sent to NACO]]+1)</f>
        <v/>
      </c>
      <c r="L182" s="16"/>
      <c r="M182" s="18" t="s">
        <v>404</v>
      </c>
      <c r="N182" s="17" t="s">
        <v>27</v>
      </c>
      <c r="O182" s="24"/>
      <c r="P182" s="20"/>
    </row>
    <row r="183" spans="1:16" ht="27.2" hidden="1" customHeight="1">
      <c r="A183" s="17" t="s">
        <v>405</v>
      </c>
      <c r="B183" s="18">
        <v>0</v>
      </c>
      <c r="C183" s="19" t="s">
        <v>406</v>
      </c>
      <c r="D183" s="17" t="s">
        <v>335</v>
      </c>
      <c r="E183" s="18" t="s">
        <v>105</v>
      </c>
      <c r="F183" s="41" t="s">
        <v>407</v>
      </c>
      <c r="G183" s="16">
        <v>46166</v>
      </c>
      <c r="H183" s="16">
        <f>RFIActionRegister[[#This Row],[Creation Date]]+3</f>
        <v>46169</v>
      </c>
      <c r="I183" s="16"/>
      <c r="J183" s="16"/>
      <c r="K183" s="16" t="str">
        <f>IF(RFIActionRegister[[#This Row],[Date Sent to NACO]]="","",RFIActionRegister[[#This Row],[Date Sent to NACO]]+1)</f>
        <v/>
      </c>
      <c r="L183" s="16"/>
      <c r="M183" s="18"/>
      <c r="N183" s="17" t="s">
        <v>27</v>
      </c>
      <c r="O183" s="24"/>
      <c r="P183" s="20"/>
    </row>
    <row r="184" spans="1:16" ht="27.2" hidden="1" customHeight="1">
      <c r="A184" s="17" t="s">
        <v>408</v>
      </c>
      <c r="B184" s="18">
        <v>0</v>
      </c>
      <c r="C184" s="19" t="s">
        <v>409</v>
      </c>
      <c r="D184" s="17" t="s">
        <v>335</v>
      </c>
      <c r="E184" s="18" t="s">
        <v>30</v>
      </c>
      <c r="F184" s="41" t="s">
        <v>117</v>
      </c>
      <c r="G184" s="16">
        <v>46166</v>
      </c>
      <c r="H184" s="16">
        <f>RFIActionRegister[[#This Row],[Creation Date]]+3</f>
        <v>46169</v>
      </c>
      <c r="I184" s="16">
        <v>46184</v>
      </c>
      <c r="J184" s="16"/>
      <c r="K184" s="16" t="str">
        <f>IF(RFIActionRegister[[#This Row],[Date Sent to NACO]]="","",RFIActionRegister[[#This Row],[Date Sent to NACO]]+1)</f>
        <v/>
      </c>
      <c r="L184" s="16"/>
      <c r="M184" s="18"/>
      <c r="N184" s="17" t="s">
        <v>27</v>
      </c>
      <c r="O184" s="46" t="s">
        <v>410</v>
      </c>
      <c r="P184" s="20"/>
    </row>
    <row r="185" spans="1:16" ht="27.2" hidden="1" customHeight="1">
      <c r="A185" s="17" t="s">
        <v>411</v>
      </c>
      <c r="B185" s="18">
        <v>0</v>
      </c>
      <c r="C185" s="19" t="s">
        <v>412</v>
      </c>
      <c r="D185" s="17" t="s">
        <v>335</v>
      </c>
      <c r="E185" s="18" t="s">
        <v>30</v>
      </c>
      <c r="F185" s="41" t="s">
        <v>117</v>
      </c>
      <c r="G185" s="16">
        <v>46182</v>
      </c>
      <c r="H185" s="16">
        <f>RFIActionRegister[[#This Row],[Creation Date]]+3</f>
        <v>46185</v>
      </c>
      <c r="I185" s="16"/>
      <c r="J185" s="16"/>
      <c r="K185" s="16" t="str">
        <f>IF(RFIActionRegister[[#This Row],[Date Sent to NACO]]="","",RFIActionRegister[[#This Row],[Date Sent to NACO]]+1)</f>
        <v/>
      </c>
      <c r="L185" s="16"/>
      <c r="M185" s="18"/>
      <c r="N185" s="17" t="s">
        <v>27</v>
      </c>
      <c r="O185" s="47" t="s">
        <v>413</v>
      </c>
      <c r="P185" s="20"/>
    </row>
    <row r="186" spans="1:16" ht="27.2" hidden="1" customHeight="1">
      <c r="A186" s="17" t="s">
        <v>414</v>
      </c>
      <c r="B186" s="18">
        <v>0</v>
      </c>
      <c r="C186" s="19" t="s">
        <v>415</v>
      </c>
      <c r="D186" s="17" t="s">
        <v>335</v>
      </c>
      <c r="E186" s="23" t="s">
        <v>30</v>
      </c>
      <c r="F186" s="41" t="s">
        <v>117</v>
      </c>
      <c r="G186" s="16">
        <v>46190</v>
      </c>
      <c r="H186" s="16">
        <f>RFIActionRegister[[#This Row],[Creation Date]]+3</f>
        <v>46193</v>
      </c>
      <c r="I186" s="16"/>
      <c r="J186" s="16">
        <v>46195</v>
      </c>
      <c r="K186" s="16">
        <f>IF(RFIActionRegister[[#This Row],[Date Sent to NACO]]="","",RFIActionRegister[[#This Row],[Date Sent to NACO]]+1)</f>
        <v>46196</v>
      </c>
      <c r="L186" s="16">
        <v>46199</v>
      </c>
      <c r="M186" s="18"/>
      <c r="N186" s="17" t="s">
        <v>27</v>
      </c>
      <c r="O186" s="24"/>
      <c r="P186" s="20"/>
    </row>
    <row r="187" spans="1:16" ht="27.2" hidden="1" customHeight="1">
      <c r="A187" s="17" t="s">
        <v>416</v>
      </c>
      <c r="B187" s="18">
        <v>0</v>
      </c>
      <c r="C187" s="19" t="s">
        <v>417</v>
      </c>
      <c r="D187" s="17" t="s">
        <v>335</v>
      </c>
      <c r="E187" s="23" t="s">
        <v>30</v>
      </c>
      <c r="F187" s="41" t="s">
        <v>117</v>
      </c>
      <c r="G187" s="16">
        <v>46196</v>
      </c>
      <c r="H187" s="16">
        <f>RFIActionRegister[[#This Row],[Creation Date]]+3</f>
        <v>46199</v>
      </c>
      <c r="I187" s="16"/>
      <c r="J187" s="16">
        <v>46202</v>
      </c>
      <c r="K187" s="16">
        <f>IF(RFIActionRegister[[#This Row],[Date Sent to NACO]]="","",RFIActionRegister[[#This Row],[Date Sent to NACO]]+1)</f>
        <v>46203</v>
      </c>
      <c r="L187" s="16">
        <v>46204</v>
      </c>
      <c r="M187" s="18"/>
      <c r="N187" s="17" t="s">
        <v>27</v>
      </c>
      <c r="O187" s="24"/>
      <c r="P187" s="20"/>
    </row>
    <row r="188" spans="1:16" ht="27.2" hidden="1" customHeight="1">
      <c r="A188" s="17" t="s">
        <v>418</v>
      </c>
      <c r="B188" s="18">
        <v>0</v>
      </c>
      <c r="C188" s="19" t="s">
        <v>419</v>
      </c>
      <c r="D188" s="17" t="s">
        <v>335</v>
      </c>
      <c r="E188" s="23" t="s">
        <v>30</v>
      </c>
      <c r="F188" s="41" t="s">
        <v>117</v>
      </c>
      <c r="G188" s="16">
        <v>46203</v>
      </c>
      <c r="H188" s="16">
        <f>RFIActionRegister[[#This Row],[Creation Date]]+3</f>
        <v>46206</v>
      </c>
      <c r="I188" s="16"/>
      <c r="J188" s="29">
        <v>46212</v>
      </c>
      <c r="K188" s="29">
        <f>IF(RFIActionRegister[[#This Row],[Date Sent to NACO]]="","",RFIActionRegister[[#This Row],[Date Sent to NACO]]+1)</f>
        <v>46213</v>
      </c>
      <c r="L188" s="29">
        <v>46212</v>
      </c>
      <c r="M188" s="18"/>
      <c r="N188" s="17" t="s">
        <v>27</v>
      </c>
      <c r="O188" s="24"/>
      <c r="P188" s="20"/>
    </row>
    <row r="189" spans="1:16" ht="27.2" hidden="1" customHeight="1">
      <c r="A189" s="17" t="s">
        <v>420</v>
      </c>
      <c r="B189" s="18">
        <v>0</v>
      </c>
      <c r="C189" s="19" t="s">
        <v>421</v>
      </c>
      <c r="D189" s="17" t="s">
        <v>335</v>
      </c>
      <c r="E189" s="23" t="s">
        <v>105</v>
      </c>
      <c r="F189" s="41" t="s">
        <v>43</v>
      </c>
      <c r="G189" s="16">
        <v>46235</v>
      </c>
      <c r="H189" s="16">
        <f>RFIActionRegister[[#This Row],[Creation Date]]+3</f>
        <v>46238</v>
      </c>
      <c r="I189" s="16">
        <v>46239</v>
      </c>
      <c r="J189" s="29"/>
      <c r="K189" s="29" t="str">
        <f>IF(RFIActionRegister[[#This Row],[Date Sent to NACO]]="","",RFIActionRegister[[#This Row],[Date Sent to NACO]]+1)</f>
        <v/>
      </c>
      <c r="L189" s="29"/>
      <c r="M189" s="18"/>
      <c r="N189" s="17" t="s">
        <v>27</v>
      </c>
      <c r="O189" s="24"/>
      <c r="P189" s="20"/>
    </row>
    <row r="190" spans="1:16" ht="27.2" hidden="1" customHeight="1">
      <c r="A190" s="17" t="s">
        <v>422</v>
      </c>
      <c r="B190" s="18">
        <v>0</v>
      </c>
      <c r="C190" s="19" t="s">
        <v>423</v>
      </c>
      <c r="D190" s="17" t="s">
        <v>335</v>
      </c>
      <c r="E190" s="23" t="s">
        <v>105</v>
      </c>
      <c r="F190" s="41" t="s">
        <v>43</v>
      </c>
      <c r="G190" s="16">
        <v>46254</v>
      </c>
      <c r="H190" s="16">
        <f>RFIActionRegister[[#This Row],[Creation Date]]+3</f>
        <v>46257</v>
      </c>
      <c r="I190" s="16">
        <v>46259</v>
      </c>
      <c r="J190" s="29"/>
      <c r="K190" s="29" t="str">
        <f>IF(RFIActionRegister[[#This Row],[Date Sent to NACO]]="","",RFIActionRegister[[#This Row],[Date Sent to NACO]]+1)</f>
        <v/>
      </c>
      <c r="L190" s="29"/>
      <c r="M190" s="18"/>
      <c r="N190" s="17" t="s">
        <v>27</v>
      </c>
      <c r="O190" s="24"/>
      <c r="P190" s="20"/>
    </row>
    <row r="191" spans="1:16" ht="27.2" hidden="1" customHeight="1">
      <c r="A191" s="17" t="s">
        <v>422</v>
      </c>
      <c r="B191" s="18">
        <v>1</v>
      </c>
      <c r="C191" s="19" t="s">
        <v>423</v>
      </c>
      <c r="D191" s="17" t="s">
        <v>335</v>
      </c>
      <c r="E191" s="23" t="s">
        <v>105</v>
      </c>
      <c r="F191" s="41" t="s">
        <v>43</v>
      </c>
      <c r="G191" s="16">
        <v>46271</v>
      </c>
      <c r="H191" s="16">
        <f>RFIActionRegister[[#This Row],[Creation Date]]+3</f>
        <v>46274</v>
      </c>
      <c r="I191" s="16">
        <v>46272</v>
      </c>
      <c r="J191" s="29"/>
      <c r="K191" s="29" t="str">
        <f>IF(RFIActionRegister[[#This Row],[Date Sent to NACO]]="","",RFIActionRegister[[#This Row],[Date Sent to NACO]]+1)</f>
        <v/>
      </c>
      <c r="L191" s="29"/>
      <c r="M191" s="18"/>
      <c r="N191" s="17" t="s">
        <v>27</v>
      </c>
      <c r="O191" s="24"/>
      <c r="P191" s="20"/>
    </row>
    <row r="192" spans="1:16" ht="27.2" hidden="1" customHeight="1">
      <c r="A192" s="17" t="s">
        <v>424</v>
      </c>
      <c r="B192" s="18">
        <v>0</v>
      </c>
      <c r="C192" s="19" t="s">
        <v>425</v>
      </c>
      <c r="D192" s="17" t="s">
        <v>335</v>
      </c>
      <c r="E192" s="23" t="s">
        <v>30</v>
      </c>
      <c r="F192" s="41" t="s">
        <v>36</v>
      </c>
      <c r="G192" s="16">
        <v>46257</v>
      </c>
      <c r="H192" s="16">
        <f>RFIActionRegister[[#This Row],[Creation Date]]+3</f>
        <v>46260</v>
      </c>
      <c r="I192" s="16">
        <v>46260</v>
      </c>
      <c r="J192" s="29">
        <v>46258</v>
      </c>
      <c r="K192" s="29">
        <f>IF(RFIActionRegister[[#This Row],[Date Sent to NACO]]="","",RFIActionRegister[[#This Row],[Date Sent to NACO]]+1)</f>
        <v>46259</v>
      </c>
      <c r="L192" s="29"/>
      <c r="M192" s="18"/>
      <c r="N192" s="17" t="s">
        <v>27</v>
      </c>
      <c r="O192" s="24"/>
      <c r="P192" s="20"/>
    </row>
    <row r="193" spans="1:16" ht="27.2" hidden="1" customHeight="1">
      <c r="A193" s="17" t="s">
        <v>426</v>
      </c>
      <c r="B193" s="18">
        <v>0</v>
      </c>
      <c r="C193" s="19" t="s">
        <v>427</v>
      </c>
      <c r="D193" s="17" t="s">
        <v>335</v>
      </c>
      <c r="E193" s="23" t="s">
        <v>30</v>
      </c>
      <c r="F193" s="41" t="s">
        <v>36</v>
      </c>
      <c r="G193" s="16">
        <v>46272</v>
      </c>
      <c r="H193" s="16">
        <f>RFIActionRegister[[#This Row],[Creation Date]]+3</f>
        <v>46275</v>
      </c>
      <c r="I193" s="16"/>
      <c r="J193" s="29">
        <v>46280</v>
      </c>
      <c r="K193" s="29">
        <f>IF(RFIActionRegister[[#This Row],[Date Sent to NACO]]="","",RFIActionRegister[[#This Row],[Date Sent to NACO]]+1)</f>
        <v>46281</v>
      </c>
      <c r="L193" s="29">
        <v>46280</v>
      </c>
      <c r="M193" s="18"/>
      <c r="N193" s="17" t="s">
        <v>27</v>
      </c>
      <c r="O193" s="24"/>
      <c r="P193" s="20"/>
    </row>
    <row r="194" spans="1:16" ht="27.2" hidden="1" customHeight="1">
      <c r="A194" s="17" t="s">
        <v>428</v>
      </c>
      <c r="B194" s="18">
        <v>0</v>
      </c>
      <c r="C194" s="19" t="s">
        <v>429</v>
      </c>
      <c r="D194" s="17" t="s">
        <v>335</v>
      </c>
      <c r="E194" s="23" t="s">
        <v>30</v>
      </c>
      <c r="F194" s="41" t="s">
        <v>36</v>
      </c>
      <c r="G194" s="16">
        <v>46272</v>
      </c>
      <c r="H194" s="16">
        <f>RFIActionRegister[[#This Row],[Creation Date]]+3</f>
        <v>46275</v>
      </c>
      <c r="I194" s="16"/>
      <c r="J194" s="29">
        <v>46273</v>
      </c>
      <c r="K194" s="29">
        <f>IF(RFIActionRegister[[#This Row],[Date Sent to NACO]]="","",RFIActionRegister[[#This Row],[Date Sent to NACO]]+1)</f>
        <v>46274</v>
      </c>
      <c r="L194" s="29">
        <v>46276</v>
      </c>
      <c r="M194" s="18"/>
      <c r="N194" s="17" t="s">
        <v>27</v>
      </c>
      <c r="O194" s="24"/>
      <c r="P194" s="20"/>
    </row>
    <row r="195" spans="1:16" ht="27.2" hidden="1" customHeight="1">
      <c r="A195" s="17" t="s">
        <v>430</v>
      </c>
      <c r="B195" s="18">
        <v>0</v>
      </c>
      <c r="C195" s="19" t="s">
        <v>431</v>
      </c>
      <c r="D195" s="17" t="s">
        <v>335</v>
      </c>
      <c r="E195" s="23" t="s">
        <v>105</v>
      </c>
      <c r="F195" s="41" t="s">
        <v>43</v>
      </c>
      <c r="G195" s="16">
        <v>46273</v>
      </c>
      <c r="H195" s="16">
        <f>RFIActionRegister[[#This Row],[Creation Date]]+3</f>
        <v>46276</v>
      </c>
      <c r="I195" s="16">
        <v>46280</v>
      </c>
      <c r="J195" s="29"/>
      <c r="K195" s="29" t="str">
        <f>IF(RFIActionRegister[[#This Row],[Date Sent to NACO]]="","",RFIActionRegister[[#This Row],[Date Sent to NACO]]+1)</f>
        <v/>
      </c>
      <c r="L195" s="29"/>
      <c r="M195" s="18" t="s">
        <v>432</v>
      </c>
      <c r="N195" s="17" t="s">
        <v>27</v>
      </c>
      <c r="O195" s="24"/>
      <c r="P195" s="20"/>
    </row>
    <row r="196" spans="1:16" ht="27.2" hidden="1" customHeight="1">
      <c r="A196" s="17" t="s">
        <v>433</v>
      </c>
      <c r="B196" s="18">
        <v>0</v>
      </c>
      <c r="C196" s="19" t="s">
        <v>434</v>
      </c>
      <c r="D196" s="17" t="s">
        <v>335</v>
      </c>
      <c r="E196" s="23" t="s">
        <v>105</v>
      </c>
      <c r="F196" s="41" t="s">
        <v>43</v>
      </c>
      <c r="G196" s="16">
        <v>46280</v>
      </c>
      <c r="H196" s="16">
        <f>RFIActionRegister[[#This Row],[Creation Date]]+3</f>
        <v>46283</v>
      </c>
      <c r="I196" s="16">
        <v>46281</v>
      </c>
      <c r="J196" s="29"/>
      <c r="K196" s="29" t="str">
        <f>IF(RFIActionRegister[[#This Row],[Date Sent to NACO]]="","",RFIActionRegister[[#This Row],[Date Sent to NACO]]+1)</f>
        <v/>
      </c>
      <c r="L196" s="29"/>
      <c r="M196" s="18"/>
      <c r="N196" s="17" t="s">
        <v>27</v>
      </c>
      <c r="O196" s="24"/>
      <c r="P196" s="20"/>
    </row>
    <row r="197" spans="1:16" ht="27.2" hidden="1" customHeight="1">
      <c r="A197" s="17" t="s">
        <v>435</v>
      </c>
      <c r="B197" s="18">
        <v>0</v>
      </c>
      <c r="C197" s="19" t="s">
        <v>436</v>
      </c>
      <c r="D197" s="17" t="s">
        <v>335</v>
      </c>
      <c r="E197" s="23" t="s">
        <v>105</v>
      </c>
      <c r="F197" s="41" t="s">
        <v>43</v>
      </c>
      <c r="G197" s="16">
        <v>46281</v>
      </c>
      <c r="H197" s="16">
        <f>RFIActionRegister[[#This Row],[Creation Date]]+3</f>
        <v>46284</v>
      </c>
      <c r="I197" s="16">
        <v>46293</v>
      </c>
      <c r="J197" s="29"/>
      <c r="K197" s="29" t="str">
        <f>IF(RFIActionRegister[[#This Row],[Date Sent to NACO]]="","",RFIActionRegister[[#This Row],[Date Sent to NACO]]+1)</f>
        <v/>
      </c>
      <c r="L197" s="29"/>
      <c r="M197" s="18"/>
      <c r="N197" s="17" t="s">
        <v>27</v>
      </c>
      <c r="O197" s="24"/>
      <c r="P197" s="20"/>
    </row>
    <row r="198" spans="1:16" ht="27.2" hidden="1" customHeight="1">
      <c r="A198" s="17" t="s">
        <v>437</v>
      </c>
      <c r="B198" s="18">
        <v>0</v>
      </c>
      <c r="C198" s="19" t="s">
        <v>438</v>
      </c>
      <c r="D198" s="17" t="s">
        <v>335</v>
      </c>
      <c r="E198" s="23" t="s">
        <v>105</v>
      </c>
      <c r="F198" s="41" t="s">
        <v>43</v>
      </c>
      <c r="G198" s="16">
        <v>46286</v>
      </c>
      <c r="H198" s="16">
        <f>RFIActionRegister[[#This Row],[Creation Date]]+3</f>
        <v>46289</v>
      </c>
      <c r="I198" s="16">
        <v>46293</v>
      </c>
      <c r="J198" s="29"/>
      <c r="K198" s="29" t="str">
        <f>IF(RFIActionRegister[[#This Row],[Date Sent to NACO]]="","",RFIActionRegister[[#This Row],[Date Sent to NACO]]+1)</f>
        <v/>
      </c>
      <c r="L198" s="29"/>
      <c r="M198" s="18"/>
      <c r="N198" s="17" t="s">
        <v>27</v>
      </c>
      <c r="O198" s="24"/>
      <c r="P198" s="20"/>
    </row>
    <row r="199" spans="1:16" ht="27.2" hidden="1" customHeight="1">
      <c r="A199" s="17" t="s">
        <v>439</v>
      </c>
      <c r="B199" s="18">
        <v>0</v>
      </c>
      <c r="C199" s="19" t="s">
        <v>440</v>
      </c>
      <c r="D199" s="17" t="s">
        <v>441</v>
      </c>
      <c r="E199" s="16"/>
      <c r="F199" s="41" t="s">
        <v>26</v>
      </c>
      <c r="G199" s="16">
        <v>45838</v>
      </c>
      <c r="H199" s="16">
        <f>RFIActionRegister[[#This Row],[Creation Date]]+3</f>
        <v>45841</v>
      </c>
      <c r="I199" s="16">
        <v>45859</v>
      </c>
      <c r="J199" s="16"/>
      <c r="K199" s="16" t="str">
        <f>IF(RFIActionRegister[[#This Row],[Date Sent to NACO]]="","",RFIActionRegister[[#This Row],[Date Sent to NACO]]+1)</f>
        <v/>
      </c>
      <c r="L199" s="16"/>
      <c r="M199" s="18">
        <v>0</v>
      </c>
      <c r="N199" s="17" t="s">
        <v>27</v>
      </c>
      <c r="O199" s="24"/>
      <c r="P199" s="20"/>
    </row>
    <row r="200" spans="1:16" ht="27.2" hidden="1" customHeight="1">
      <c r="A200" s="17" t="s">
        <v>439</v>
      </c>
      <c r="B200" s="18">
        <v>1</v>
      </c>
      <c r="C200" s="19" t="s">
        <v>442</v>
      </c>
      <c r="D200" s="17" t="s">
        <v>441</v>
      </c>
      <c r="E200" s="16"/>
      <c r="F200" s="41" t="s">
        <v>26</v>
      </c>
      <c r="G200" s="16">
        <v>45860</v>
      </c>
      <c r="H200" s="16">
        <f>RFIActionRegister[[#This Row],[Creation Date]]+3</f>
        <v>45863</v>
      </c>
      <c r="I200" s="16">
        <v>45861</v>
      </c>
      <c r="J200" s="16"/>
      <c r="K200" s="16" t="str">
        <f>IF(RFIActionRegister[[#This Row],[Date Sent to NACO]]="","",RFIActionRegister[[#This Row],[Date Sent to NACO]]+1)</f>
        <v/>
      </c>
      <c r="L200" s="16"/>
      <c r="M200" s="18">
        <v>1</v>
      </c>
      <c r="N200" s="17" t="s">
        <v>27</v>
      </c>
      <c r="O200" s="24"/>
      <c r="P200" s="20"/>
    </row>
    <row r="201" spans="1:16" ht="27.2" hidden="1" customHeight="1">
      <c r="A201" s="17" t="s">
        <v>443</v>
      </c>
      <c r="B201" s="18">
        <v>0</v>
      </c>
      <c r="C201" s="19" t="s">
        <v>444</v>
      </c>
      <c r="D201" s="17" t="s">
        <v>441</v>
      </c>
      <c r="E201" s="16"/>
      <c r="F201" s="41" t="s">
        <v>445</v>
      </c>
      <c r="G201" s="16">
        <v>45876</v>
      </c>
      <c r="H201" s="16">
        <f>RFIActionRegister[[#This Row],[Creation Date]]+3</f>
        <v>45879</v>
      </c>
      <c r="I201" s="16">
        <v>45921</v>
      </c>
      <c r="J201" s="16"/>
      <c r="K201" s="16" t="str">
        <f>IF(RFIActionRegister[[#This Row],[Date Sent to NACO]]="","",RFIActionRegister[[#This Row],[Date Sent to NACO]]+1)</f>
        <v/>
      </c>
      <c r="L201" s="16"/>
      <c r="M201" s="18">
        <v>0</v>
      </c>
      <c r="N201" s="17" t="s">
        <v>445</v>
      </c>
      <c r="O201" s="24"/>
      <c r="P201" s="20"/>
    </row>
    <row r="202" spans="1:16" ht="27.2" hidden="1" customHeight="1">
      <c r="A202" s="17" t="s">
        <v>446</v>
      </c>
      <c r="B202" s="18">
        <v>0</v>
      </c>
      <c r="C202" s="19" t="s">
        <v>447</v>
      </c>
      <c r="D202" s="17" t="s">
        <v>441</v>
      </c>
      <c r="E202" s="16"/>
      <c r="F202" s="41" t="s">
        <v>26</v>
      </c>
      <c r="G202" s="16">
        <v>45913</v>
      </c>
      <c r="H202" s="16">
        <f>RFIActionRegister[[#This Row],[Creation Date]]+3</f>
        <v>45916</v>
      </c>
      <c r="I202" s="16">
        <v>45922</v>
      </c>
      <c r="J202" s="16"/>
      <c r="K202" s="16" t="str">
        <f>IF(RFIActionRegister[[#This Row],[Date Sent to NACO]]="","",RFIActionRegister[[#This Row],[Date Sent to NACO]]+1)</f>
        <v/>
      </c>
      <c r="L202" s="16"/>
      <c r="M202" s="18">
        <v>0</v>
      </c>
      <c r="N202" s="17" t="s">
        <v>27</v>
      </c>
      <c r="O202" s="24"/>
      <c r="P202" s="20"/>
    </row>
    <row r="203" spans="1:16" s="33" customFormat="1" ht="27.2" hidden="1" customHeight="1">
      <c r="A203" s="17" t="s">
        <v>448</v>
      </c>
      <c r="B203" s="18">
        <v>0</v>
      </c>
      <c r="C203" s="19" t="s">
        <v>449</v>
      </c>
      <c r="D203" s="17" t="s">
        <v>441</v>
      </c>
      <c r="E203" s="16"/>
      <c r="F203" s="41" t="s">
        <v>26</v>
      </c>
      <c r="G203" s="16">
        <v>45916</v>
      </c>
      <c r="H203" s="16">
        <f>RFIActionRegister[[#This Row],[Creation Date]]+3</f>
        <v>45919</v>
      </c>
      <c r="I203" s="16">
        <v>45917</v>
      </c>
      <c r="J203" s="16"/>
      <c r="K203" s="16" t="str">
        <f>IF(RFIActionRegister[[#This Row],[Date Sent to NACO]]="","",RFIActionRegister[[#This Row],[Date Sent to NACO]]+1)</f>
        <v/>
      </c>
      <c r="L203" s="16"/>
      <c r="M203" s="18">
        <v>0</v>
      </c>
      <c r="N203" s="17" t="s">
        <v>27</v>
      </c>
      <c r="O203" s="24"/>
      <c r="P203" s="20"/>
    </row>
    <row r="204" spans="1:16" ht="27.2" hidden="1" customHeight="1">
      <c r="A204" s="17" t="s">
        <v>450</v>
      </c>
      <c r="B204" s="18">
        <v>0</v>
      </c>
      <c r="C204" s="19" t="s">
        <v>451</v>
      </c>
      <c r="D204" s="17" t="s">
        <v>441</v>
      </c>
      <c r="E204" s="16"/>
      <c r="F204" s="41" t="s">
        <v>26</v>
      </c>
      <c r="G204" s="16">
        <v>45920</v>
      </c>
      <c r="H204" s="16">
        <f>RFIActionRegister[[#This Row],[Creation Date]]+3</f>
        <v>45923</v>
      </c>
      <c r="I204" s="16">
        <v>45925</v>
      </c>
      <c r="J204" s="16"/>
      <c r="K204" s="16" t="str">
        <f>IF(RFIActionRegister[[#This Row],[Date Sent to NACO]]="","",RFIActionRegister[[#This Row],[Date Sent to NACO]]+1)</f>
        <v/>
      </c>
      <c r="L204" s="16"/>
      <c r="M204" s="18">
        <v>0</v>
      </c>
      <c r="N204" s="17" t="s">
        <v>27</v>
      </c>
      <c r="O204" s="24"/>
      <c r="P204" s="20"/>
    </row>
    <row r="205" spans="1:16" ht="27.2" hidden="1" customHeight="1">
      <c r="A205" s="17" t="s">
        <v>452</v>
      </c>
      <c r="B205" s="18">
        <v>0</v>
      </c>
      <c r="C205" s="19" t="s">
        <v>453</v>
      </c>
      <c r="D205" s="17" t="s">
        <v>441</v>
      </c>
      <c r="E205" s="16"/>
      <c r="F205" s="41" t="s">
        <v>26</v>
      </c>
      <c r="G205" s="16">
        <v>45937</v>
      </c>
      <c r="H205" s="16">
        <f>RFIActionRegister[[#This Row],[Creation Date]]+3</f>
        <v>45940</v>
      </c>
      <c r="I205" s="16">
        <v>45966</v>
      </c>
      <c r="J205" s="16"/>
      <c r="K205" s="16" t="str">
        <f>IF(RFIActionRegister[[#This Row],[Date Sent to NACO]]="","",RFIActionRegister[[#This Row],[Date Sent to NACO]]+1)</f>
        <v/>
      </c>
      <c r="L205" s="16"/>
      <c r="M205" s="18">
        <v>0</v>
      </c>
      <c r="N205" s="17" t="s">
        <v>27</v>
      </c>
      <c r="O205" s="24"/>
      <c r="P205" s="20"/>
    </row>
    <row r="206" spans="1:16" ht="27.2" hidden="1" customHeight="1">
      <c r="A206" s="17" t="s">
        <v>454</v>
      </c>
      <c r="B206" s="18">
        <v>0</v>
      </c>
      <c r="C206" s="19" t="s">
        <v>455</v>
      </c>
      <c r="D206" s="17" t="s">
        <v>441</v>
      </c>
      <c r="E206" s="16"/>
      <c r="F206" s="41" t="s">
        <v>26</v>
      </c>
      <c r="G206" s="16">
        <v>45943</v>
      </c>
      <c r="H206" s="16">
        <f>RFIActionRegister[[#This Row],[Creation Date]]+3</f>
        <v>45946</v>
      </c>
      <c r="I206" s="16">
        <v>45974</v>
      </c>
      <c r="J206" s="16"/>
      <c r="K206" s="16" t="str">
        <f>IF(RFIActionRegister[[#This Row],[Date Sent to NACO]]="","",RFIActionRegister[[#This Row],[Date Sent to NACO]]+1)</f>
        <v/>
      </c>
      <c r="L206" s="16"/>
      <c r="M206" s="18">
        <v>0</v>
      </c>
      <c r="N206" s="17" t="s">
        <v>27</v>
      </c>
      <c r="O206" s="24"/>
      <c r="P206" s="20"/>
    </row>
    <row r="207" spans="1:16" ht="27.2" hidden="1" customHeight="1">
      <c r="A207" s="17" t="s">
        <v>456</v>
      </c>
      <c r="B207" s="18">
        <v>0</v>
      </c>
      <c r="C207" s="19" t="s">
        <v>457</v>
      </c>
      <c r="D207" s="17" t="s">
        <v>441</v>
      </c>
      <c r="E207" s="16"/>
      <c r="F207" s="41" t="s">
        <v>26</v>
      </c>
      <c r="G207" s="16">
        <v>45945</v>
      </c>
      <c r="H207" s="16">
        <f>RFIActionRegister[[#This Row],[Creation Date]]+3</f>
        <v>45948</v>
      </c>
      <c r="I207" s="16">
        <v>45966</v>
      </c>
      <c r="J207" s="16"/>
      <c r="K207" s="16" t="str">
        <f>IF(RFIActionRegister[[#This Row],[Date Sent to NACO]]="","",RFIActionRegister[[#This Row],[Date Sent to NACO]]+1)</f>
        <v/>
      </c>
      <c r="L207" s="16"/>
      <c r="M207" s="18">
        <v>0</v>
      </c>
      <c r="N207" s="17" t="s">
        <v>27</v>
      </c>
      <c r="O207" s="24"/>
      <c r="P207" s="20"/>
    </row>
    <row r="208" spans="1:16" ht="27.2" hidden="1" customHeight="1">
      <c r="A208" s="17" t="s">
        <v>458</v>
      </c>
      <c r="B208" s="18">
        <v>0</v>
      </c>
      <c r="C208" s="19" t="s">
        <v>459</v>
      </c>
      <c r="D208" s="17" t="s">
        <v>441</v>
      </c>
      <c r="E208" s="16"/>
      <c r="F208" s="41" t="s">
        <v>26</v>
      </c>
      <c r="G208" s="16">
        <v>45945</v>
      </c>
      <c r="H208" s="16">
        <f>RFIActionRegister[[#This Row],[Creation Date]]+3</f>
        <v>45948</v>
      </c>
      <c r="I208" s="16">
        <v>45966</v>
      </c>
      <c r="J208" s="16"/>
      <c r="K208" s="16" t="str">
        <f>IF(RFIActionRegister[[#This Row],[Date Sent to NACO]]="","",RFIActionRegister[[#This Row],[Date Sent to NACO]]+1)</f>
        <v/>
      </c>
      <c r="L208" s="16"/>
      <c r="M208" s="18">
        <v>0</v>
      </c>
      <c r="N208" s="17" t="s">
        <v>27</v>
      </c>
      <c r="O208" s="24"/>
      <c r="P208" s="20"/>
    </row>
    <row r="209" spans="1:16" ht="27.2" hidden="1" customHeight="1">
      <c r="A209" s="17" t="s">
        <v>460</v>
      </c>
      <c r="B209" s="18">
        <v>0</v>
      </c>
      <c r="C209" s="19" t="s">
        <v>461</v>
      </c>
      <c r="D209" s="17" t="s">
        <v>441</v>
      </c>
      <c r="E209" s="16"/>
      <c r="F209" s="41" t="s">
        <v>26</v>
      </c>
      <c r="G209" s="16">
        <v>45950</v>
      </c>
      <c r="H209" s="16">
        <f>RFIActionRegister[[#This Row],[Creation Date]]+3</f>
        <v>45953</v>
      </c>
      <c r="I209" s="16">
        <v>45971</v>
      </c>
      <c r="J209" s="16"/>
      <c r="K209" s="16" t="str">
        <f>IF(RFIActionRegister[[#This Row],[Date Sent to NACO]]="","",RFIActionRegister[[#This Row],[Date Sent to NACO]]+1)</f>
        <v/>
      </c>
      <c r="L209" s="16"/>
      <c r="M209" s="18">
        <v>0</v>
      </c>
      <c r="N209" s="17" t="s">
        <v>27</v>
      </c>
      <c r="O209" s="24"/>
      <c r="P209" s="20"/>
    </row>
    <row r="210" spans="1:16" ht="27.2" hidden="1" customHeight="1">
      <c r="A210" s="17" t="s">
        <v>462</v>
      </c>
      <c r="B210" s="18">
        <v>0</v>
      </c>
      <c r="C210" s="19" t="s">
        <v>463</v>
      </c>
      <c r="D210" s="17" t="s">
        <v>441</v>
      </c>
      <c r="E210" s="16"/>
      <c r="F210" s="41" t="s">
        <v>26</v>
      </c>
      <c r="G210" s="16">
        <v>45951</v>
      </c>
      <c r="H210" s="16">
        <f>RFIActionRegister[[#This Row],[Creation Date]]+3</f>
        <v>45954</v>
      </c>
      <c r="I210" s="16">
        <v>45967</v>
      </c>
      <c r="J210" s="16"/>
      <c r="K210" s="16" t="str">
        <f>IF(RFIActionRegister[[#This Row],[Date Sent to NACO]]="","",RFIActionRegister[[#This Row],[Date Sent to NACO]]+1)</f>
        <v/>
      </c>
      <c r="L210" s="16"/>
      <c r="M210" s="18">
        <v>0</v>
      </c>
      <c r="N210" s="17" t="s">
        <v>27</v>
      </c>
      <c r="O210" s="24"/>
      <c r="P210" s="20"/>
    </row>
    <row r="211" spans="1:16" ht="27.2" hidden="1" customHeight="1">
      <c r="A211" s="17" t="s">
        <v>464</v>
      </c>
      <c r="B211" s="18">
        <v>0</v>
      </c>
      <c r="C211" s="19" t="s">
        <v>465</v>
      </c>
      <c r="D211" s="17" t="s">
        <v>441</v>
      </c>
      <c r="E211" s="16"/>
      <c r="F211" s="41" t="s">
        <v>26</v>
      </c>
      <c r="G211" s="16">
        <v>45962</v>
      </c>
      <c r="H211" s="16">
        <f>RFIActionRegister[[#This Row],[Creation Date]]+3</f>
        <v>45965</v>
      </c>
      <c r="I211" s="16">
        <v>45974</v>
      </c>
      <c r="J211" s="16"/>
      <c r="K211" s="16" t="str">
        <f>IF(RFIActionRegister[[#This Row],[Date Sent to NACO]]="","",RFIActionRegister[[#This Row],[Date Sent to NACO]]+1)</f>
        <v/>
      </c>
      <c r="L211" s="16"/>
      <c r="M211" s="18">
        <v>0</v>
      </c>
      <c r="N211" s="17" t="s">
        <v>27</v>
      </c>
      <c r="O211" s="24"/>
      <c r="P211" s="20"/>
    </row>
    <row r="212" spans="1:16" ht="27.2" hidden="1" customHeight="1">
      <c r="A212" s="17" t="s">
        <v>466</v>
      </c>
      <c r="B212" s="18">
        <v>0</v>
      </c>
      <c r="C212" s="19" t="s">
        <v>467</v>
      </c>
      <c r="D212" s="17" t="s">
        <v>441</v>
      </c>
      <c r="E212" s="16"/>
      <c r="F212" s="41" t="s">
        <v>26</v>
      </c>
      <c r="G212" s="16">
        <v>45974</v>
      </c>
      <c r="H212" s="16">
        <f>RFIActionRegister[[#This Row],[Creation Date]]+3</f>
        <v>45977</v>
      </c>
      <c r="I212" s="16">
        <v>45997</v>
      </c>
      <c r="J212" s="16"/>
      <c r="K212" s="16" t="str">
        <f>IF(RFIActionRegister[[#This Row],[Date Sent to NACO]]="","",RFIActionRegister[[#This Row],[Date Sent to NACO]]+1)</f>
        <v/>
      </c>
      <c r="L212" s="16"/>
      <c r="M212" s="18">
        <v>0</v>
      </c>
      <c r="N212" s="17" t="s">
        <v>27</v>
      </c>
      <c r="O212" s="24"/>
      <c r="P212" s="20"/>
    </row>
    <row r="213" spans="1:16" ht="27.2" hidden="1" customHeight="1">
      <c r="A213" s="17" t="s">
        <v>466</v>
      </c>
      <c r="B213" s="18">
        <v>1</v>
      </c>
      <c r="C213" s="19" t="s">
        <v>467</v>
      </c>
      <c r="D213" s="17" t="s">
        <v>441</v>
      </c>
      <c r="E213" s="16"/>
      <c r="F213" s="41" t="s">
        <v>26</v>
      </c>
      <c r="G213" s="16">
        <v>46005</v>
      </c>
      <c r="H213" s="16">
        <f>RFIActionRegister[[#This Row],[Creation Date]]+3</f>
        <v>46008</v>
      </c>
      <c r="I213" s="16">
        <v>46042</v>
      </c>
      <c r="J213" s="16"/>
      <c r="K213" s="16" t="str">
        <f>IF(RFIActionRegister[[#This Row],[Date Sent to NACO]]="","",RFIActionRegister[[#This Row],[Date Sent to NACO]]+1)</f>
        <v/>
      </c>
      <c r="L213" s="16"/>
      <c r="M213" s="18">
        <v>1</v>
      </c>
      <c r="N213" s="17" t="s">
        <v>27</v>
      </c>
      <c r="O213" s="24"/>
      <c r="P213" s="20"/>
    </row>
    <row r="214" spans="1:16" ht="27.2" hidden="1" customHeight="1">
      <c r="A214" s="17" t="s">
        <v>468</v>
      </c>
      <c r="B214" s="18">
        <v>0</v>
      </c>
      <c r="C214" s="19" t="s">
        <v>469</v>
      </c>
      <c r="D214" s="17" t="s">
        <v>441</v>
      </c>
      <c r="E214" s="16"/>
      <c r="F214" s="41" t="s">
        <v>26</v>
      </c>
      <c r="G214" s="16">
        <v>45987</v>
      </c>
      <c r="H214" s="16">
        <f>RFIActionRegister[[#This Row],[Creation Date]]+3</f>
        <v>45990</v>
      </c>
      <c r="I214" s="16">
        <v>46008</v>
      </c>
      <c r="J214" s="16"/>
      <c r="K214" s="16" t="str">
        <f>IF(RFIActionRegister[[#This Row],[Date Sent to NACO]]="","",RFIActionRegister[[#This Row],[Date Sent to NACO]]+1)</f>
        <v/>
      </c>
      <c r="L214" s="16"/>
      <c r="M214" s="18">
        <v>0</v>
      </c>
      <c r="N214" s="17" t="s">
        <v>27</v>
      </c>
      <c r="O214" s="24"/>
      <c r="P214" s="20"/>
    </row>
    <row r="215" spans="1:16" ht="27.2" hidden="1" customHeight="1">
      <c r="A215" s="17" t="s">
        <v>468</v>
      </c>
      <c r="B215" s="18">
        <v>1</v>
      </c>
      <c r="C215" s="19" t="s">
        <v>470</v>
      </c>
      <c r="D215" s="17" t="s">
        <v>441</v>
      </c>
      <c r="E215" s="16"/>
      <c r="F215" s="41" t="s">
        <v>26</v>
      </c>
      <c r="G215" s="16">
        <v>46013</v>
      </c>
      <c r="H215" s="16">
        <f>RFIActionRegister[[#This Row],[Creation Date]]+3</f>
        <v>46016</v>
      </c>
      <c r="I215" s="16">
        <v>46021</v>
      </c>
      <c r="J215" s="16"/>
      <c r="K215" s="16" t="str">
        <f>IF(RFIActionRegister[[#This Row],[Date Sent to NACO]]="","",RFIActionRegister[[#This Row],[Date Sent to NACO]]+1)</f>
        <v/>
      </c>
      <c r="L215" s="16"/>
      <c r="M215" s="18">
        <v>1</v>
      </c>
      <c r="N215" s="17" t="s">
        <v>27</v>
      </c>
      <c r="O215" s="24"/>
      <c r="P215" s="20"/>
    </row>
    <row r="216" spans="1:16" ht="27.2" hidden="1" customHeight="1">
      <c r="A216" s="17" t="s">
        <v>471</v>
      </c>
      <c r="B216" s="18">
        <v>0</v>
      </c>
      <c r="C216" s="19" t="s">
        <v>472</v>
      </c>
      <c r="D216" s="17" t="s">
        <v>441</v>
      </c>
      <c r="E216" s="16"/>
      <c r="F216" s="41" t="s">
        <v>26</v>
      </c>
      <c r="G216" s="16">
        <v>45991</v>
      </c>
      <c r="H216" s="16">
        <f>RFIActionRegister[[#This Row],[Creation Date]]+3</f>
        <v>45994</v>
      </c>
      <c r="I216" s="16">
        <v>45994</v>
      </c>
      <c r="J216" s="16"/>
      <c r="K216" s="16" t="str">
        <f>IF(RFIActionRegister[[#This Row],[Date Sent to NACO]]="","",RFIActionRegister[[#This Row],[Date Sent to NACO]]+1)</f>
        <v/>
      </c>
      <c r="L216" s="16"/>
      <c r="M216" s="18">
        <v>0</v>
      </c>
      <c r="N216" s="17" t="s">
        <v>27</v>
      </c>
      <c r="O216" s="24"/>
      <c r="P216" s="20"/>
    </row>
    <row r="217" spans="1:16" ht="27.2" hidden="1" customHeight="1">
      <c r="A217" s="17" t="s">
        <v>473</v>
      </c>
      <c r="B217" s="18">
        <v>0</v>
      </c>
      <c r="C217" s="19" t="s">
        <v>474</v>
      </c>
      <c r="D217" s="17" t="s">
        <v>441</v>
      </c>
      <c r="E217" s="16"/>
      <c r="F217" s="41" t="s">
        <v>26</v>
      </c>
      <c r="G217" s="16">
        <v>46006</v>
      </c>
      <c r="H217" s="16">
        <f>RFIActionRegister[[#This Row],[Creation Date]]+3</f>
        <v>46009</v>
      </c>
      <c r="I217" s="16">
        <v>46037</v>
      </c>
      <c r="J217" s="16"/>
      <c r="K217" s="16" t="str">
        <f>IF(RFIActionRegister[[#This Row],[Date Sent to NACO]]="","",RFIActionRegister[[#This Row],[Date Sent to NACO]]+1)</f>
        <v/>
      </c>
      <c r="L217" s="16"/>
      <c r="M217" s="18">
        <v>0</v>
      </c>
      <c r="N217" s="17" t="s">
        <v>27</v>
      </c>
      <c r="O217" s="24"/>
      <c r="P217" s="20"/>
    </row>
    <row r="218" spans="1:16" ht="27.2" hidden="1" customHeight="1">
      <c r="A218" s="17" t="s">
        <v>475</v>
      </c>
      <c r="B218" s="18">
        <v>0</v>
      </c>
      <c r="C218" s="19" t="s">
        <v>476</v>
      </c>
      <c r="D218" s="17" t="s">
        <v>441</v>
      </c>
      <c r="E218" s="16"/>
      <c r="F218" s="41" t="s">
        <v>26</v>
      </c>
      <c r="G218" s="16">
        <v>46006</v>
      </c>
      <c r="H218" s="16">
        <f>RFIActionRegister[[#This Row],[Creation Date]]+3</f>
        <v>46009</v>
      </c>
      <c r="I218" s="16">
        <v>46049</v>
      </c>
      <c r="J218" s="16"/>
      <c r="K218" s="16" t="str">
        <f>IF(RFIActionRegister[[#This Row],[Date Sent to NACO]]="","",RFIActionRegister[[#This Row],[Date Sent to NACO]]+1)</f>
        <v/>
      </c>
      <c r="L218" s="16"/>
      <c r="M218" s="18">
        <v>0</v>
      </c>
      <c r="N218" s="17" t="s">
        <v>27</v>
      </c>
      <c r="O218" s="24"/>
      <c r="P218" s="20"/>
    </row>
    <row r="219" spans="1:16" ht="27.2" hidden="1" customHeight="1">
      <c r="A219" s="17" t="s">
        <v>477</v>
      </c>
      <c r="B219" s="18">
        <v>0</v>
      </c>
      <c r="C219" s="19" t="s">
        <v>478</v>
      </c>
      <c r="D219" s="17" t="s">
        <v>441</v>
      </c>
      <c r="E219" s="16"/>
      <c r="F219" s="41" t="s">
        <v>26</v>
      </c>
      <c r="G219" s="16">
        <v>46019</v>
      </c>
      <c r="H219" s="16">
        <f>RFIActionRegister[[#This Row],[Creation Date]]+3</f>
        <v>46022</v>
      </c>
      <c r="I219" s="16">
        <v>46042</v>
      </c>
      <c r="J219" s="16"/>
      <c r="K219" s="16" t="str">
        <f>IF(RFIActionRegister[[#This Row],[Date Sent to NACO]]="","",RFIActionRegister[[#This Row],[Date Sent to NACO]]+1)</f>
        <v/>
      </c>
      <c r="L219" s="16"/>
      <c r="M219" s="18">
        <v>0</v>
      </c>
      <c r="N219" s="17" t="s">
        <v>27</v>
      </c>
      <c r="O219" s="24"/>
      <c r="P219" s="20"/>
    </row>
    <row r="220" spans="1:16" ht="27.2" hidden="1" customHeight="1">
      <c r="A220" s="17" t="s">
        <v>479</v>
      </c>
      <c r="B220" s="18">
        <v>0</v>
      </c>
      <c r="C220" s="19" t="s">
        <v>480</v>
      </c>
      <c r="D220" s="17" t="s">
        <v>441</v>
      </c>
      <c r="E220" s="16"/>
      <c r="F220" s="41" t="s">
        <v>26</v>
      </c>
      <c r="G220" s="16">
        <v>46019</v>
      </c>
      <c r="H220" s="16">
        <f>RFIActionRegister[[#This Row],[Creation Date]]+3</f>
        <v>46022</v>
      </c>
      <c r="I220" s="16">
        <v>46048</v>
      </c>
      <c r="J220" s="16"/>
      <c r="K220" s="16" t="str">
        <f>IF(RFIActionRegister[[#This Row],[Date Sent to NACO]]="","",RFIActionRegister[[#This Row],[Date Sent to NACO]]+1)</f>
        <v/>
      </c>
      <c r="L220" s="16"/>
      <c r="M220" s="18">
        <v>0</v>
      </c>
      <c r="N220" s="17" t="s">
        <v>27</v>
      </c>
      <c r="O220" s="24"/>
      <c r="P220" s="20"/>
    </row>
    <row r="221" spans="1:16" ht="27.2" hidden="1" customHeight="1">
      <c r="A221" s="17" t="s">
        <v>481</v>
      </c>
      <c r="B221" s="18">
        <v>0</v>
      </c>
      <c r="C221" s="19" t="s">
        <v>482</v>
      </c>
      <c r="D221" s="17" t="s">
        <v>441</v>
      </c>
      <c r="E221" s="16"/>
      <c r="F221" s="41" t="s">
        <v>26</v>
      </c>
      <c r="G221" s="16">
        <v>46021</v>
      </c>
      <c r="H221" s="16">
        <f>RFIActionRegister[[#This Row],[Creation Date]]+3</f>
        <v>46024</v>
      </c>
      <c r="I221" s="16">
        <v>46021</v>
      </c>
      <c r="J221" s="16"/>
      <c r="K221" s="16" t="str">
        <f>IF(RFIActionRegister[[#This Row],[Date Sent to NACO]]="","",RFIActionRegister[[#This Row],[Date Sent to NACO]]+1)</f>
        <v/>
      </c>
      <c r="L221" s="16"/>
      <c r="M221" s="18">
        <v>0</v>
      </c>
      <c r="N221" s="17" t="s">
        <v>27</v>
      </c>
      <c r="O221" s="24"/>
      <c r="P221" s="20"/>
    </row>
    <row r="222" spans="1:16" ht="27.2" hidden="1" customHeight="1">
      <c r="A222" s="17" t="s">
        <v>481</v>
      </c>
      <c r="B222" s="18">
        <v>1</v>
      </c>
      <c r="C222" s="19" t="s">
        <v>482</v>
      </c>
      <c r="D222" s="17" t="s">
        <v>441</v>
      </c>
      <c r="E222" s="16"/>
      <c r="F222" s="41" t="s">
        <v>26</v>
      </c>
      <c r="G222" s="16">
        <v>46022</v>
      </c>
      <c r="H222" s="16">
        <f>RFIActionRegister[[#This Row],[Creation Date]]+3</f>
        <v>46025</v>
      </c>
      <c r="I222" s="16">
        <v>46049</v>
      </c>
      <c r="J222" s="16"/>
      <c r="K222" s="16" t="str">
        <f>IF(RFIActionRegister[[#This Row],[Date Sent to NACO]]="","",RFIActionRegister[[#This Row],[Date Sent to NACO]]+1)</f>
        <v/>
      </c>
      <c r="L222" s="16"/>
      <c r="M222" s="18">
        <v>1</v>
      </c>
      <c r="N222" s="17" t="s">
        <v>27</v>
      </c>
      <c r="O222" s="24"/>
      <c r="P222" s="20"/>
    </row>
    <row r="223" spans="1:16" ht="27.2" hidden="1" customHeight="1">
      <c r="A223" s="17" t="s">
        <v>483</v>
      </c>
      <c r="B223" s="18">
        <v>0</v>
      </c>
      <c r="C223" s="19" t="s">
        <v>484</v>
      </c>
      <c r="D223" s="17" t="s">
        <v>441</v>
      </c>
      <c r="E223" s="16"/>
      <c r="F223" s="41" t="s">
        <v>26</v>
      </c>
      <c r="G223" s="16">
        <v>46027</v>
      </c>
      <c r="H223" s="16">
        <f>RFIActionRegister[[#This Row],[Creation Date]]+3</f>
        <v>46030</v>
      </c>
      <c r="I223" s="16">
        <v>46037</v>
      </c>
      <c r="J223" s="16"/>
      <c r="K223" s="16" t="str">
        <f>IF(RFIActionRegister[[#This Row],[Date Sent to NACO]]="","",RFIActionRegister[[#This Row],[Date Sent to NACO]]+1)</f>
        <v/>
      </c>
      <c r="L223" s="16"/>
      <c r="M223" s="18">
        <v>0</v>
      </c>
      <c r="N223" s="17" t="s">
        <v>27</v>
      </c>
      <c r="O223" s="24"/>
      <c r="P223" s="20"/>
    </row>
    <row r="224" spans="1:16" ht="27.2" hidden="1" customHeight="1">
      <c r="A224" s="17" t="s">
        <v>485</v>
      </c>
      <c r="B224" s="18">
        <v>0</v>
      </c>
      <c r="C224" s="19" t="s">
        <v>486</v>
      </c>
      <c r="D224" s="17" t="s">
        <v>441</v>
      </c>
      <c r="E224" s="16"/>
      <c r="F224" s="41" t="s">
        <v>26</v>
      </c>
      <c r="G224" s="16">
        <v>46028</v>
      </c>
      <c r="H224" s="16">
        <f>RFIActionRegister[[#This Row],[Creation Date]]+3</f>
        <v>46031</v>
      </c>
      <c r="I224" s="16">
        <v>46044</v>
      </c>
      <c r="J224" s="16"/>
      <c r="K224" s="16" t="str">
        <f>IF(RFIActionRegister[[#This Row],[Date Sent to NACO]]="","",RFIActionRegister[[#This Row],[Date Sent to NACO]]+1)</f>
        <v/>
      </c>
      <c r="L224" s="16"/>
      <c r="M224" s="18">
        <v>0</v>
      </c>
      <c r="N224" s="17" t="s">
        <v>27</v>
      </c>
      <c r="O224" s="24"/>
      <c r="P224" s="20"/>
    </row>
    <row r="225" spans="1:16" ht="27.2" hidden="1" customHeight="1">
      <c r="A225" s="17" t="s">
        <v>487</v>
      </c>
      <c r="B225" s="18">
        <v>0</v>
      </c>
      <c r="C225" s="19" t="s">
        <v>488</v>
      </c>
      <c r="D225" s="17" t="s">
        <v>441</v>
      </c>
      <c r="E225" s="16"/>
      <c r="F225" s="41" t="s">
        <v>26</v>
      </c>
      <c r="G225" s="16">
        <v>46041</v>
      </c>
      <c r="H225" s="16">
        <f>RFIActionRegister[[#This Row],[Creation Date]]+3</f>
        <v>46044</v>
      </c>
      <c r="I225" s="16">
        <v>46049</v>
      </c>
      <c r="J225" s="16"/>
      <c r="K225" s="16" t="str">
        <f>IF(RFIActionRegister[[#This Row],[Date Sent to NACO]]="","",RFIActionRegister[[#This Row],[Date Sent to NACO]]+1)</f>
        <v/>
      </c>
      <c r="L225" s="16"/>
      <c r="M225" s="18">
        <v>0</v>
      </c>
      <c r="N225" s="17" t="s">
        <v>27</v>
      </c>
      <c r="O225" s="24"/>
      <c r="P225" s="20"/>
    </row>
    <row r="226" spans="1:16" ht="27.2" hidden="1" customHeight="1">
      <c r="A226" s="17" t="s">
        <v>487</v>
      </c>
      <c r="B226" s="18">
        <v>1</v>
      </c>
      <c r="C226" s="19" t="s">
        <v>489</v>
      </c>
      <c r="D226" s="17" t="s">
        <v>441</v>
      </c>
      <c r="E226" s="16"/>
      <c r="F226" s="41" t="s">
        <v>26</v>
      </c>
      <c r="G226" s="16">
        <v>46070</v>
      </c>
      <c r="H226" s="16">
        <f>RFIActionRegister[[#This Row],[Creation Date]]+3</f>
        <v>46073</v>
      </c>
      <c r="I226" s="16">
        <v>46088</v>
      </c>
      <c r="J226" s="16"/>
      <c r="K226" s="16" t="str">
        <f>IF(RFIActionRegister[[#This Row],[Date Sent to NACO]]="","",RFIActionRegister[[#This Row],[Date Sent to NACO]]+1)</f>
        <v/>
      </c>
      <c r="L226" s="16"/>
      <c r="M226" s="18">
        <v>1</v>
      </c>
      <c r="N226" s="17" t="s">
        <v>27</v>
      </c>
      <c r="O226" s="24"/>
      <c r="P226" s="20"/>
    </row>
    <row r="227" spans="1:16" ht="27.2" hidden="1" customHeight="1">
      <c r="A227" s="17" t="s">
        <v>490</v>
      </c>
      <c r="B227" s="18">
        <v>0</v>
      </c>
      <c r="C227" s="19" t="s">
        <v>491</v>
      </c>
      <c r="D227" s="17" t="s">
        <v>441</v>
      </c>
      <c r="E227" s="16"/>
      <c r="F227" s="41" t="s">
        <v>26</v>
      </c>
      <c r="G227" s="16">
        <v>46042</v>
      </c>
      <c r="H227" s="16">
        <f>RFIActionRegister[[#This Row],[Creation Date]]+3</f>
        <v>46045</v>
      </c>
      <c r="I227" s="16">
        <v>46048</v>
      </c>
      <c r="J227" s="16"/>
      <c r="K227" s="16" t="str">
        <f>IF(RFIActionRegister[[#This Row],[Date Sent to NACO]]="","",RFIActionRegister[[#This Row],[Date Sent to NACO]]+1)</f>
        <v/>
      </c>
      <c r="L227" s="16"/>
      <c r="M227" s="18">
        <v>0</v>
      </c>
      <c r="N227" s="17" t="s">
        <v>27</v>
      </c>
      <c r="O227" s="24"/>
      <c r="P227" s="20"/>
    </row>
    <row r="228" spans="1:16" ht="27.2" hidden="1" customHeight="1">
      <c r="A228" s="17" t="s">
        <v>492</v>
      </c>
      <c r="B228" s="18">
        <v>0</v>
      </c>
      <c r="C228" s="19" t="s">
        <v>493</v>
      </c>
      <c r="D228" s="17" t="s">
        <v>441</v>
      </c>
      <c r="E228" s="16"/>
      <c r="F228" s="41" t="s">
        <v>26</v>
      </c>
      <c r="G228" s="16">
        <v>46043</v>
      </c>
      <c r="H228" s="16">
        <f>RFIActionRegister[[#This Row],[Creation Date]]+3</f>
        <v>46046</v>
      </c>
      <c r="I228" s="16">
        <v>46051</v>
      </c>
      <c r="J228" s="16"/>
      <c r="K228" s="16" t="str">
        <f>IF(RFIActionRegister[[#This Row],[Date Sent to NACO]]="","",RFIActionRegister[[#This Row],[Date Sent to NACO]]+1)</f>
        <v/>
      </c>
      <c r="L228" s="16"/>
      <c r="M228" s="18">
        <v>0</v>
      </c>
      <c r="N228" s="17" t="s">
        <v>27</v>
      </c>
      <c r="O228" s="24"/>
      <c r="P228" s="20"/>
    </row>
    <row r="229" spans="1:16" ht="27.2" hidden="1" customHeight="1">
      <c r="A229" s="17" t="s">
        <v>494</v>
      </c>
      <c r="B229" s="18">
        <v>0</v>
      </c>
      <c r="C229" s="19" t="s">
        <v>495</v>
      </c>
      <c r="D229" s="17" t="s">
        <v>441</v>
      </c>
      <c r="E229" s="16"/>
      <c r="F229" s="41" t="s">
        <v>26</v>
      </c>
      <c r="G229" s="16">
        <v>46043</v>
      </c>
      <c r="H229" s="16">
        <f>RFIActionRegister[[#This Row],[Creation Date]]+3</f>
        <v>46046</v>
      </c>
      <c r="I229" s="16">
        <v>46049</v>
      </c>
      <c r="J229" s="16"/>
      <c r="K229" s="16" t="str">
        <f>IF(RFIActionRegister[[#This Row],[Date Sent to NACO]]="","",RFIActionRegister[[#This Row],[Date Sent to NACO]]+1)</f>
        <v/>
      </c>
      <c r="L229" s="16"/>
      <c r="M229" s="18">
        <v>0</v>
      </c>
      <c r="N229" s="17" t="s">
        <v>27</v>
      </c>
      <c r="O229" s="24"/>
      <c r="P229" s="20"/>
    </row>
    <row r="230" spans="1:16" ht="27.2" hidden="1" customHeight="1">
      <c r="A230" s="17" t="s">
        <v>496</v>
      </c>
      <c r="B230" s="18">
        <v>0</v>
      </c>
      <c r="C230" s="19" t="s">
        <v>497</v>
      </c>
      <c r="D230" s="17" t="s">
        <v>441</v>
      </c>
      <c r="E230" s="16"/>
      <c r="F230" s="41" t="s">
        <v>26</v>
      </c>
      <c r="G230" s="16">
        <v>46051</v>
      </c>
      <c r="H230" s="16">
        <f>RFIActionRegister[[#This Row],[Creation Date]]+3</f>
        <v>46054</v>
      </c>
      <c r="I230" s="16">
        <v>46058</v>
      </c>
      <c r="J230" s="16"/>
      <c r="K230" s="16" t="str">
        <f>IF(RFIActionRegister[[#This Row],[Date Sent to NACO]]="","",RFIActionRegister[[#This Row],[Date Sent to NACO]]+1)</f>
        <v/>
      </c>
      <c r="L230" s="16"/>
      <c r="M230" s="18">
        <v>0</v>
      </c>
      <c r="N230" s="17" t="s">
        <v>27</v>
      </c>
      <c r="O230" s="24"/>
      <c r="P230" s="20"/>
    </row>
    <row r="231" spans="1:16" ht="27.2" hidden="1" customHeight="1">
      <c r="A231" s="17" t="s">
        <v>498</v>
      </c>
      <c r="B231" s="18">
        <v>0</v>
      </c>
      <c r="C231" s="19" t="s">
        <v>499</v>
      </c>
      <c r="D231" s="17" t="s">
        <v>441</v>
      </c>
      <c r="E231" s="36"/>
      <c r="F231" s="41" t="s">
        <v>26</v>
      </c>
      <c r="G231" s="16">
        <v>46051</v>
      </c>
      <c r="H231" s="16">
        <f>RFIActionRegister[[#This Row],[Creation Date]]+3</f>
        <v>46054</v>
      </c>
      <c r="I231" s="36">
        <v>46051</v>
      </c>
      <c r="J231" s="36"/>
      <c r="K231" s="36" t="str">
        <f>IF(RFIActionRegister[[#This Row],[Date Sent to NACO]]="","",RFIActionRegister[[#This Row],[Date Sent to NACO]]+1)</f>
        <v/>
      </c>
      <c r="L231" s="36"/>
      <c r="M231" s="18">
        <v>0</v>
      </c>
      <c r="N231" s="17" t="s">
        <v>27</v>
      </c>
      <c r="O231" s="24"/>
      <c r="P231" s="20"/>
    </row>
    <row r="232" spans="1:16" ht="27.2" hidden="1" customHeight="1">
      <c r="A232" s="17" t="s">
        <v>500</v>
      </c>
      <c r="B232" s="18">
        <v>0</v>
      </c>
      <c r="C232" s="19" t="s">
        <v>501</v>
      </c>
      <c r="D232" s="17" t="s">
        <v>441</v>
      </c>
      <c r="E232" s="22"/>
      <c r="F232" s="41" t="s">
        <v>26</v>
      </c>
      <c r="G232" s="16">
        <v>46056</v>
      </c>
      <c r="H232" s="16">
        <f>RFIActionRegister[[#This Row],[Creation Date]]+3</f>
        <v>46059</v>
      </c>
      <c r="I232" s="36">
        <v>46059</v>
      </c>
      <c r="J232" s="36"/>
      <c r="K232" s="36" t="str">
        <f>IF(RFIActionRegister[[#This Row],[Date Sent to NACO]]="","",RFIActionRegister[[#This Row],[Date Sent to NACO]]+1)</f>
        <v/>
      </c>
      <c r="L232" s="36"/>
      <c r="M232" s="18">
        <v>0</v>
      </c>
      <c r="N232" s="17" t="s">
        <v>27</v>
      </c>
      <c r="O232" s="24"/>
      <c r="P232" s="20"/>
    </row>
    <row r="233" spans="1:16" s="33" customFormat="1" ht="27.2" hidden="1" customHeight="1">
      <c r="A233" s="17" t="s">
        <v>502</v>
      </c>
      <c r="B233" s="18">
        <v>0</v>
      </c>
      <c r="C233" s="19" t="s">
        <v>503</v>
      </c>
      <c r="D233" s="17" t="s">
        <v>441</v>
      </c>
      <c r="E233" s="22"/>
      <c r="F233" s="41" t="s">
        <v>26</v>
      </c>
      <c r="G233" s="16">
        <v>46060</v>
      </c>
      <c r="H233" s="16">
        <f>RFIActionRegister[[#This Row],[Creation Date]]+3</f>
        <v>46063</v>
      </c>
      <c r="I233" s="36">
        <v>46078</v>
      </c>
      <c r="J233" s="36"/>
      <c r="K233" s="36" t="str">
        <f>IF(RFIActionRegister[[#This Row],[Date Sent to NACO]]="","",RFIActionRegister[[#This Row],[Date Sent to NACO]]+1)</f>
        <v/>
      </c>
      <c r="L233" s="36"/>
      <c r="M233" s="18">
        <v>0</v>
      </c>
      <c r="N233" s="17" t="s">
        <v>27</v>
      </c>
      <c r="O233" s="24"/>
      <c r="P233" s="20"/>
    </row>
    <row r="234" spans="1:16" ht="27.2" hidden="1" customHeight="1">
      <c r="A234" s="17" t="s">
        <v>504</v>
      </c>
      <c r="B234" s="18">
        <v>0</v>
      </c>
      <c r="C234" s="19" t="s">
        <v>505</v>
      </c>
      <c r="D234" s="17" t="s">
        <v>441</v>
      </c>
      <c r="E234" s="22"/>
      <c r="F234" s="41" t="s">
        <v>26</v>
      </c>
      <c r="G234" s="16">
        <v>46083</v>
      </c>
      <c r="H234" s="16">
        <f>RFIActionRegister[[#This Row],[Creation Date]]+3</f>
        <v>46086</v>
      </c>
      <c r="I234" s="36">
        <v>46099</v>
      </c>
      <c r="J234" s="36"/>
      <c r="K234" s="36" t="str">
        <f>IF(RFIActionRegister[[#This Row],[Date Sent to NACO]]="","",RFIActionRegister[[#This Row],[Date Sent to NACO]]+1)</f>
        <v/>
      </c>
      <c r="L234" s="36"/>
      <c r="M234" s="18">
        <v>0</v>
      </c>
      <c r="N234" s="17" t="s">
        <v>27</v>
      </c>
      <c r="O234" s="24"/>
      <c r="P234" s="20"/>
    </row>
    <row r="235" spans="1:16" ht="27.2" hidden="1" customHeight="1">
      <c r="A235" s="17" t="s">
        <v>506</v>
      </c>
      <c r="B235" s="18">
        <v>0</v>
      </c>
      <c r="C235" s="19" t="s">
        <v>507</v>
      </c>
      <c r="D235" s="17" t="s">
        <v>441</v>
      </c>
      <c r="E235" s="22"/>
      <c r="F235" s="41" t="s">
        <v>26</v>
      </c>
      <c r="G235" s="16">
        <v>46092</v>
      </c>
      <c r="H235" s="16">
        <f>RFIActionRegister[[#This Row],[Creation Date]]+3</f>
        <v>46095</v>
      </c>
      <c r="I235" s="36">
        <v>46098</v>
      </c>
      <c r="J235" s="36"/>
      <c r="K235" s="36" t="str">
        <f>IF(RFIActionRegister[[#This Row],[Date Sent to NACO]]="","",RFIActionRegister[[#This Row],[Date Sent to NACO]]+1)</f>
        <v/>
      </c>
      <c r="L235" s="36"/>
      <c r="M235" s="18">
        <v>0</v>
      </c>
      <c r="N235" s="17" t="s">
        <v>27</v>
      </c>
      <c r="O235" s="24"/>
      <c r="P235" s="20"/>
    </row>
    <row r="236" spans="1:16" ht="27.2" hidden="1" customHeight="1">
      <c r="A236" s="17" t="s">
        <v>508</v>
      </c>
      <c r="B236" s="18">
        <v>0</v>
      </c>
      <c r="C236" s="19" t="s">
        <v>509</v>
      </c>
      <c r="D236" s="17" t="s">
        <v>441</v>
      </c>
      <c r="E236" s="16"/>
      <c r="F236" s="41" t="s">
        <v>26</v>
      </c>
      <c r="G236" s="16">
        <v>46096</v>
      </c>
      <c r="H236" s="16">
        <f>RFIActionRegister[[#This Row],[Creation Date]]+3</f>
        <v>46099</v>
      </c>
      <c r="I236" s="16">
        <v>46098</v>
      </c>
      <c r="J236" s="16"/>
      <c r="K236" s="16" t="str">
        <f>IF(RFIActionRegister[[#This Row],[Date Sent to NACO]]="","",RFIActionRegister[[#This Row],[Date Sent to NACO]]+1)</f>
        <v/>
      </c>
      <c r="L236" s="16"/>
      <c r="M236" s="18">
        <v>0</v>
      </c>
      <c r="N236" s="17" t="s">
        <v>27</v>
      </c>
      <c r="O236" s="24"/>
      <c r="P236" s="20"/>
    </row>
    <row r="237" spans="1:16" ht="27.2" hidden="1" customHeight="1">
      <c r="A237" s="17" t="s">
        <v>510</v>
      </c>
      <c r="B237" s="18" t="s">
        <v>80</v>
      </c>
      <c r="C237" s="19" t="s">
        <v>511</v>
      </c>
      <c r="D237" s="17" t="s">
        <v>441</v>
      </c>
      <c r="E237" s="22"/>
      <c r="F237" s="41" t="s">
        <v>26</v>
      </c>
      <c r="G237" s="16">
        <v>46146</v>
      </c>
      <c r="H237" s="16">
        <f>RFIActionRegister[[#This Row],[Creation Date]]+3</f>
        <v>46149</v>
      </c>
      <c r="I237" s="36" t="s">
        <v>199</v>
      </c>
      <c r="J237" s="36"/>
      <c r="K237" s="36" t="str">
        <f>IF(RFIActionRegister[[#This Row],[Date Sent to NACO]]="","",RFIActionRegister[[#This Row],[Date Sent to NACO]]+1)</f>
        <v/>
      </c>
      <c r="L237" s="36"/>
      <c r="M237" s="18" t="s">
        <v>80</v>
      </c>
      <c r="N237" s="17" t="s">
        <v>27</v>
      </c>
      <c r="O237" s="24"/>
      <c r="P237" s="20"/>
    </row>
    <row r="238" spans="1:16" ht="27.2" hidden="1" customHeight="1">
      <c r="A238" s="17" t="s">
        <v>512</v>
      </c>
      <c r="B238" s="18" t="s">
        <v>80</v>
      </c>
      <c r="C238" s="19" t="s">
        <v>513</v>
      </c>
      <c r="D238" s="17" t="s">
        <v>441</v>
      </c>
      <c r="E238" s="22"/>
      <c r="F238" s="41" t="s">
        <v>26</v>
      </c>
      <c r="G238" s="16">
        <v>46146</v>
      </c>
      <c r="H238" s="16">
        <f>RFIActionRegister[[#This Row],[Creation Date]]+3</f>
        <v>46149</v>
      </c>
      <c r="I238" s="36" t="s">
        <v>199</v>
      </c>
      <c r="J238" s="36"/>
      <c r="K238" s="36" t="str">
        <f>IF(RFIActionRegister[[#This Row],[Date Sent to NACO]]="","",RFIActionRegister[[#This Row],[Date Sent to NACO]]+1)</f>
        <v/>
      </c>
      <c r="L238" s="36"/>
      <c r="M238" s="18" t="s">
        <v>80</v>
      </c>
      <c r="N238" s="17" t="s">
        <v>27</v>
      </c>
      <c r="O238" s="24"/>
      <c r="P238" s="20"/>
    </row>
    <row r="239" spans="1:16" ht="27.2" hidden="1" customHeight="1">
      <c r="A239" s="17" t="s">
        <v>514</v>
      </c>
      <c r="B239" s="18" t="s">
        <v>80</v>
      </c>
      <c r="C239" s="27" t="s">
        <v>515</v>
      </c>
      <c r="D239" s="17" t="s">
        <v>441</v>
      </c>
      <c r="E239" s="16"/>
      <c r="F239" s="45" t="s">
        <v>26</v>
      </c>
      <c r="G239" s="29">
        <v>46130</v>
      </c>
      <c r="H239" s="29">
        <f>RFIActionRegister[[#This Row],[Creation Date]]+3</f>
        <v>46133</v>
      </c>
      <c r="I239" s="29">
        <v>46132</v>
      </c>
      <c r="J239" s="29"/>
      <c r="K239" s="29" t="str">
        <f>IF(RFIActionRegister[[#This Row],[Date Sent to NACO]]="","",RFIActionRegister[[#This Row],[Date Sent to NACO]]+1)</f>
        <v/>
      </c>
      <c r="L239" s="29"/>
      <c r="M239" s="18" t="s">
        <v>80</v>
      </c>
      <c r="N239" s="17" t="s">
        <v>27</v>
      </c>
      <c r="O239" s="30" t="s">
        <v>516</v>
      </c>
      <c r="P239" s="20"/>
    </row>
    <row r="240" spans="1:16" ht="27.2" hidden="1" customHeight="1">
      <c r="A240" s="17" t="s">
        <v>517</v>
      </c>
      <c r="B240" s="18" t="s">
        <v>80</v>
      </c>
      <c r="C240" s="10" t="s">
        <v>518</v>
      </c>
      <c r="D240" s="26" t="s">
        <v>441</v>
      </c>
      <c r="E240" s="16"/>
      <c r="F240" s="45" t="s">
        <v>26</v>
      </c>
      <c r="G240" s="29">
        <v>46130</v>
      </c>
      <c r="H240" s="29">
        <f>RFIActionRegister[[#This Row],[Creation Date]]+3</f>
        <v>46133</v>
      </c>
      <c r="I240" s="29" t="s">
        <v>199</v>
      </c>
      <c r="J240" s="29"/>
      <c r="K240" s="29" t="str">
        <f>IF(RFIActionRegister[[#This Row],[Date Sent to NACO]]="","",RFIActionRegister[[#This Row],[Date Sent to NACO]]+1)</f>
        <v/>
      </c>
      <c r="L240" s="29"/>
      <c r="M240" s="18" t="s">
        <v>80</v>
      </c>
      <c r="N240" s="26" t="s">
        <v>27</v>
      </c>
      <c r="O240" s="30" t="s">
        <v>519</v>
      </c>
      <c r="P240" s="31"/>
    </row>
    <row r="241" spans="1:16" ht="27.2" hidden="1" customHeight="1">
      <c r="A241" s="17" t="s">
        <v>520</v>
      </c>
      <c r="B241" s="18" t="s">
        <v>80</v>
      </c>
      <c r="C241" s="27" t="s">
        <v>521</v>
      </c>
      <c r="D241" s="26" t="s">
        <v>441</v>
      </c>
      <c r="E241" s="34"/>
      <c r="F241" s="45" t="s">
        <v>26</v>
      </c>
      <c r="G241" s="29">
        <v>46131</v>
      </c>
      <c r="H241" s="29">
        <f>RFIActionRegister[[#This Row],[Creation Date]]+3</f>
        <v>46134</v>
      </c>
      <c r="I241" s="29">
        <v>46141</v>
      </c>
      <c r="J241" s="29"/>
      <c r="K241" s="29" t="str">
        <f>IF(RFIActionRegister[[#This Row],[Date Sent to NACO]]="","",RFIActionRegister[[#This Row],[Date Sent to NACO]]+1)</f>
        <v/>
      </c>
      <c r="L241" s="29"/>
      <c r="M241" s="18" t="s">
        <v>80</v>
      </c>
      <c r="N241" s="26" t="s">
        <v>27</v>
      </c>
      <c r="O241" s="30" t="s">
        <v>522</v>
      </c>
      <c r="P241" s="31"/>
    </row>
    <row r="242" spans="1:16" ht="27.2" hidden="1" customHeight="1">
      <c r="A242" s="17" t="s">
        <v>523</v>
      </c>
      <c r="B242" s="32" t="s">
        <v>80</v>
      </c>
      <c r="C242" s="27" t="s">
        <v>524</v>
      </c>
      <c r="D242" s="26" t="s">
        <v>441</v>
      </c>
      <c r="E242" s="34"/>
      <c r="F242" s="45" t="s">
        <v>26</v>
      </c>
      <c r="G242" s="29">
        <v>46133</v>
      </c>
      <c r="H242" s="29">
        <f>RFIActionRegister[[#This Row],[Creation Date]]+3</f>
        <v>46136</v>
      </c>
      <c r="I242" s="29">
        <v>46147</v>
      </c>
      <c r="J242" s="29"/>
      <c r="K242" s="29" t="str">
        <f>IF(RFIActionRegister[[#This Row],[Date Sent to NACO]]="","",RFIActionRegister[[#This Row],[Date Sent to NACO]]+1)</f>
        <v/>
      </c>
      <c r="L242" s="29"/>
      <c r="M242" s="32" t="s">
        <v>80</v>
      </c>
      <c r="N242" s="26" t="s">
        <v>27</v>
      </c>
      <c r="O242" s="30" t="s">
        <v>525</v>
      </c>
      <c r="P242" s="31"/>
    </row>
    <row r="243" spans="1:16" ht="27.2" hidden="1" customHeight="1">
      <c r="A243" s="17" t="s">
        <v>526</v>
      </c>
      <c r="B243" s="32" t="s">
        <v>80</v>
      </c>
      <c r="C243" s="27" t="s">
        <v>527</v>
      </c>
      <c r="D243" s="17" t="s">
        <v>441</v>
      </c>
      <c r="E243" s="34"/>
      <c r="F243" s="45" t="s">
        <v>26</v>
      </c>
      <c r="G243" s="29">
        <v>46133</v>
      </c>
      <c r="H243" s="29">
        <f>RFIActionRegister[[#This Row],[Creation Date]]+3</f>
        <v>46136</v>
      </c>
      <c r="I243" s="29">
        <v>46146</v>
      </c>
      <c r="J243" s="29"/>
      <c r="K243" s="29" t="str">
        <f>IF(RFIActionRegister[[#This Row],[Date Sent to NACO]]="","",RFIActionRegister[[#This Row],[Date Sent to NACO]]+1)</f>
        <v/>
      </c>
      <c r="L243" s="29"/>
      <c r="M243" s="32" t="s">
        <v>80</v>
      </c>
      <c r="N243" s="26" t="s">
        <v>27</v>
      </c>
      <c r="O243" s="30" t="s">
        <v>528</v>
      </c>
      <c r="P243" s="31"/>
    </row>
    <row r="244" spans="1:16" ht="27.2" hidden="1" customHeight="1">
      <c r="A244" s="17" t="s">
        <v>529</v>
      </c>
      <c r="B244" s="32">
        <v>1</v>
      </c>
      <c r="C244" s="27" t="s">
        <v>527</v>
      </c>
      <c r="D244" s="26" t="s">
        <v>441</v>
      </c>
      <c r="E244" s="34"/>
      <c r="F244" s="45" t="s">
        <v>36</v>
      </c>
      <c r="G244" s="29">
        <v>46148</v>
      </c>
      <c r="H244" s="29">
        <f>RFIActionRegister[[#This Row],[Creation Date]]+3</f>
        <v>46151</v>
      </c>
      <c r="I244" s="29"/>
      <c r="J244" s="29"/>
      <c r="K244" s="29" t="str">
        <f>IF(RFIActionRegister[[#This Row],[Date Sent to NACO]]="","",RFIActionRegister[[#This Row],[Date Sent to NACO]]+1)</f>
        <v/>
      </c>
      <c r="L244" s="29"/>
      <c r="M244" s="32">
        <v>1</v>
      </c>
      <c r="N244" s="26" t="s">
        <v>27</v>
      </c>
      <c r="O244" s="30"/>
      <c r="P244" s="31" t="s">
        <v>97</v>
      </c>
    </row>
    <row r="245" spans="1:16" ht="27.2" hidden="1" customHeight="1">
      <c r="A245" s="17" t="s">
        <v>530</v>
      </c>
      <c r="B245" s="32">
        <v>0</v>
      </c>
      <c r="C245" s="27" t="s">
        <v>531</v>
      </c>
      <c r="D245" s="26" t="s">
        <v>441</v>
      </c>
      <c r="E245" s="34"/>
      <c r="F245" s="45" t="s">
        <v>106</v>
      </c>
      <c r="G245" s="29">
        <v>46143</v>
      </c>
      <c r="H245" s="29">
        <f>RFIActionRegister[[#This Row],[Creation Date]]+3</f>
        <v>46146</v>
      </c>
      <c r="I245" s="29"/>
      <c r="J245" s="29"/>
      <c r="K245" s="29" t="str">
        <f>IF(RFIActionRegister[[#This Row],[Date Sent to NACO]]="","",RFIActionRegister[[#This Row],[Date Sent to NACO]]+1)</f>
        <v/>
      </c>
      <c r="L245" s="29"/>
      <c r="M245" s="32">
        <v>0</v>
      </c>
      <c r="N245" s="26" t="s">
        <v>27</v>
      </c>
      <c r="O245" s="30"/>
      <c r="P245" s="31" t="s">
        <v>97</v>
      </c>
    </row>
    <row r="246" spans="1:16" ht="27.2" hidden="1" customHeight="1">
      <c r="A246" s="17" t="s">
        <v>532</v>
      </c>
      <c r="B246" s="32">
        <v>0</v>
      </c>
      <c r="C246" s="27" t="s">
        <v>533</v>
      </c>
      <c r="D246" s="26" t="s">
        <v>441</v>
      </c>
      <c r="E246" s="34"/>
      <c r="F246" s="45" t="s">
        <v>100</v>
      </c>
      <c r="G246" s="29">
        <v>46144</v>
      </c>
      <c r="H246" s="29">
        <f>RFIActionRegister[[#This Row],[Creation Date]]+3</f>
        <v>46147</v>
      </c>
      <c r="I246" s="29"/>
      <c r="J246" s="29"/>
      <c r="K246" s="29" t="str">
        <f>IF(RFIActionRegister[[#This Row],[Date Sent to NACO]]="","",RFIActionRegister[[#This Row],[Date Sent to NACO]]+1)</f>
        <v/>
      </c>
      <c r="L246" s="29"/>
      <c r="M246" s="32">
        <v>0</v>
      </c>
      <c r="N246" s="26" t="s">
        <v>27</v>
      </c>
      <c r="O246" s="30"/>
      <c r="P246" s="31" t="s">
        <v>97</v>
      </c>
    </row>
    <row r="247" spans="1:16" ht="27.2" hidden="1" customHeight="1">
      <c r="A247" s="17" t="s">
        <v>534</v>
      </c>
      <c r="B247" s="32">
        <v>0</v>
      </c>
      <c r="C247" s="27" t="s">
        <v>535</v>
      </c>
      <c r="D247" s="26" t="s">
        <v>441</v>
      </c>
      <c r="E247" s="34" t="s">
        <v>105</v>
      </c>
      <c r="F247" s="45" t="s">
        <v>43</v>
      </c>
      <c r="G247" s="29">
        <v>46156</v>
      </c>
      <c r="H247" s="29">
        <f>RFIActionRegister[[#This Row],[Creation Date]]+3</f>
        <v>46159</v>
      </c>
      <c r="I247" s="29">
        <v>46162</v>
      </c>
      <c r="J247" s="29"/>
      <c r="K247" s="29" t="str">
        <f>IF(RFIActionRegister[[#This Row],[Date Sent to NACO]]="","",RFIActionRegister[[#This Row],[Date Sent to NACO]]+1)</f>
        <v/>
      </c>
      <c r="L247" s="29"/>
      <c r="M247" s="32">
        <v>0</v>
      </c>
      <c r="N247" s="26" t="s">
        <v>27</v>
      </c>
      <c r="O247" s="30" t="s">
        <v>536</v>
      </c>
      <c r="P247" s="31"/>
    </row>
    <row r="248" spans="1:16" ht="27.2" hidden="1" customHeight="1">
      <c r="A248" s="17" t="s">
        <v>537</v>
      </c>
      <c r="B248" s="32">
        <v>0</v>
      </c>
      <c r="C248" s="27" t="s">
        <v>538</v>
      </c>
      <c r="D248" s="26" t="s">
        <v>441</v>
      </c>
      <c r="E248" s="28"/>
      <c r="F248" s="45" t="s">
        <v>100</v>
      </c>
      <c r="G248" s="29">
        <v>46160</v>
      </c>
      <c r="H248" s="29">
        <f>RFIActionRegister[[#This Row],[Creation Date]]+3</f>
        <v>46163</v>
      </c>
      <c r="I248" s="32"/>
      <c r="J248" s="32"/>
      <c r="K248" s="29" t="str">
        <f>IF(RFIActionRegister[[#This Row],[Date Sent to NACO]]="","",RFIActionRegister[[#This Row],[Date Sent to NACO]]+1)</f>
        <v/>
      </c>
      <c r="L248" s="32"/>
      <c r="M248" s="32">
        <v>0</v>
      </c>
      <c r="N248" s="26" t="s">
        <v>27</v>
      </c>
      <c r="O248" s="30"/>
      <c r="P248" s="31" t="s">
        <v>97</v>
      </c>
    </row>
    <row r="249" spans="1:16" ht="28.5" hidden="1" customHeight="1">
      <c r="A249" s="17" t="s">
        <v>539</v>
      </c>
      <c r="B249" s="32">
        <v>0</v>
      </c>
      <c r="C249" s="27" t="s">
        <v>540</v>
      </c>
      <c r="D249" s="26" t="s">
        <v>441</v>
      </c>
      <c r="E249" s="28" t="s">
        <v>105</v>
      </c>
      <c r="F249" s="45" t="s">
        <v>43</v>
      </c>
      <c r="G249" s="29">
        <v>46163</v>
      </c>
      <c r="H249" s="29">
        <f>RFIActionRegister[[#This Row],[Creation Date]]+3</f>
        <v>46166</v>
      </c>
      <c r="I249" s="29">
        <v>46166</v>
      </c>
      <c r="J249" s="29"/>
      <c r="K249" s="29" t="str">
        <f>IF(RFIActionRegister[[#This Row],[Date Sent to NACO]]="","",RFIActionRegister[[#This Row],[Date Sent to NACO]]+1)</f>
        <v/>
      </c>
      <c r="L249" s="29"/>
      <c r="M249" s="32">
        <v>0</v>
      </c>
      <c r="N249" s="26" t="s">
        <v>27</v>
      </c>
      <c r="O249" s="30" t="s">
        <v>541</v>
      </c>
      <c r="P249" s="31"/>
    </row>
    <row r="250" spans="1:16" ht="28.5" hidden="1" customHeight="1">
      <c r="A250" s="17" t="s">
        <v>542</v>
      </c>
      <c r="B250" s="32">
        <v>0</v>
      </c>
      <c r="C250" s="19" t="s">
        <v>543</v>
      </c>
      <c r="D250" s="26" t="s">
        <v>441</v>
      </c>
      <c r="E250" s="28" t="s">
        <v>105</v>
      </c>
      <c r="F250" s="41" t="s">
        <v>43</v>
      </c>
      <c r="G250" s="16">
        <v>46246</v>
      </c>
      <c r="H250" s="16">
        <f>RFIActionRegister[[#This Row],[Creation Date]]+3</f>
        <v>46249</v>
      </c>
      <c r="I250" s="16">
        <v>46248</v>
      </c>
      <c r="J250" s="29"/>
      <c r="K250" s="29" t="str">
        <f>IF(RFIActionRegister[[#This Row],[Date Sent to NACO]]="","",RFIActionRegister[[#This Row],[Date Sent to NACO]]+1)</f>
        <v/>
      </c>
      <c r="L250" s="29"/>
      <c r="M250" s="18"/>
      <c r="N250" s="17" t="s">
        <v>27</v>
      </c>
      <c r="O250" s="24"/>
      <c r="P250" s="20"/>
    </row>
    <row r="251" spans="1:16" ht="28.5" hidden="1" customHeight="1">
      <c r="A251" s="17" t="s">
        <v>544</v>
      </c>
      <c r="B251" s="32">
        <v>0</v>
      </c>
      <c r="C251" s="19" t="s">
        <v>545</v>
      </c>
      <c r="D251" s="26" t="s">
        <v>441</v>
      </c>
      <c r="E251" s="28" t="s">
        <v>30</v>
      </c>
      <c r="F251" s="41" t="s">
        <v>36</v>
      </c>
      <c r="G251" s="16">
        <v>46253</v>
      </c>
      <c r="H251" s="16">
        <f>RFIActionRegister[[#This Row],[Creation Date]]+3</f>
        <v>46256</v>
      </c>
      <c r="I251" s="16"/>
      <c r="J251" s="29">
        <v>46258</v>
      </c>
      <c r="K251" s="29">
        <f>IF(RFIActionRegister[[#This Row],[Date Sent to NACO]]="","",RFIActionRegister[[#This Row],[Date Sent to NACO]]+1)</f>
        <v>46259</v>
      </c>
      <c r="L251" s="29">
        <v>46266</v>
      </c>
      <c r="M251" s="18"/>
      <c r="N251" s="17" t="s">
        <v>27</v>
      </c>
      <c r="O251" s="24"/>
      <c r="P251" s="20"/>
    </row>
    <row r="252" spans="1:16" ht="28.5" hidden="1" customHeight="1">
      <c r="A252" s="17" t="s">
        <v>546</v>
      </c>
      <c r="B252" s="32">
        <v>0</v>
      </c>
      <c r="C252" s="19" t="s">
        <v>547</v>
      </c>
      <c r="D252" s="26" t="s">
        <v>441</v>
      </c>
      <c r="E252" s="28" t="s">
        <v>30</v>
      </c>
      <c r="F252" s="41" t="s">
        <v>36</v>
      </c>
      <c r="G252" s="16">
        <v>46253</v>
      </c>
      <c r="H252" s="16">
        <f>RFIActionRegister[[#This Row],[Creation Date]]+3</f>
        <v>46256</v>
      </c>
      <c r="I252" s="16"/>
      <c r="J252" s="29">
        <v>46259</v>
      </c>
      <c r="K252" s="29">
        <f>IF(RFIActionRegister[[#This Row],[Date Sent to NACO]]="","",RFIActionRegister[[#This Row],[Date Sent to NACO]]+1)</f>
        <v>46260</v>
      </c>
      <c r="L252" s="29">
        <v>46266</v>
      </c>
      <c r="M252" s="18"/>
      <c r="N252" s="17" t="s">
        <v>27</v>
      </c>
      <c r="O252" s="24"/>
      <c r="P252" s="20"/>
    </row>
    <row r="253" spans="1:16" ht="27.75" hidden="1">
      <c r="A253" s="17" t="s">
        <v>548</v>
      </c>
      <c r="B253" s="32">
        <v>0</v>
      </c>
      <c r="C253" s="19" t="s">
        <v>549</v>
      </c>
      <c r="D253" s="26" t="s">
        <v>441</v>
      </c>
      <c r="E253" s="28" t="s">
        <v>105</v>
      </c>
      <c r="F253" s="41" t="s">
        <v>43</v>
      </c>
      <c r="G253" s="16">
        <v>46253</v>
      </c>
      <c r="H253" s="16">
        <f>RFIActionRegister[[#This Row],[Creation Date]]+3</f>
        <v>46256</v>
      </c>
      <c r="I253" s="16">
        <v>46257</v>
      </c>
      <c r="J253" s="29">
        <v>46257</v>
      </c>
      <c r="K253" s="29"/>
      <c r="L253" s="29"/>
      <c r="M253" s="18"/>
      <c r="N253" s="17" t="s">
        <v>27</v>
      </c>
      <c r="O253" s="24"/>
      <c r="P253" s="20"/>
    </row>
    <row r="254" spans="1:16" ht="21.75" hidden="1" customHeight="1">
      <c r="A254" s="17" t="s">
        <v>550</v>
      </c>
      <c r="B254" s="18">
        <v>0</v>
      </c>
      <c r="C254" s="19" t="s">
        <v>551</v>
      </c>
      <c r="D254" s="26" t="s">
        <v>441</v>
      </c>
      <c r="E254" s="28" t="s">
        <v>105</v>
      </c>
      <c r="F254" s="41" t="s">
        <v>39</v>
      </c>
      <c r="G254" s="16">
        <v>46303</v>
      </c>
      <c r="H254" s="16">
        <f>RFIActionRegister[[#This Row],[Creation Date]]+3</f>
        <v>46306</v>
      </c>
      <c r="I254" s="16">
        <v>46306</v>
      </c>
      <c r="J254" s="29"/>
      <c r="K254" s="29" t="str">
        <f>IF(RFIActionRegister[[#This Row],[Date Sent to NACO]]="","",RFIActionRegister[[#This Row],[Date Sent to NACO]]+1)</f>
        <v/>
      </c>
      <c r="L254" s="29"/>
      <c r="M254" s="18"/>
      <c r="N254" s="17" t="s">
        <v>27</v>
      </c>
      <c r="O254" s="24"/>
      <c r="P254" s="20"/>
    </row>
    <row r="255" spans="1:16" ht="14.25" customHeight="1">
      <c r="A255" s="7"/>
      <c r="B255" s="52"/>
      <c r="C255" s="10"/>
      <c r="D255" s="7"/>
      <c r="E255" s="52"/>
      <c r="F255" s="42"/>
      <c r="G255" s="53"/>
      <c r="H255" s="53"/>
      <c r="I255" s="53"/>
      <c r="J255" s="53"/>
      <c r="K255" s="53"/>
      <c r="L255" s="53"/>
      <c r="M255" s="52"/>
      <c r="N255" s="7"/>
      <c r="O255" s="52"/>
      <c r="P255" s="3"/>
    </row>
    <row r="256" spans="1:16" ht="14.25" customHeight="1">
      <c r="A256" s="7"/>
      <c r="B256" s="7"/>
      <c r="C256" s="10"/>
      <c r="D256" s="7"/>
      <c r="E256" s="3"/>
      <c r="F256" s="42"/>
      <c r="G256" s="7"/>
      <c r="H256" s="4"/>
      <c r="I256" s="4"/>
      <c r="J256" s="4"/>
      <c r="K256" s="4"/>
      <c r="L256" s="4"/>
      <c r="M256" s="3"/>
      <c r="N256" s="7"/>
      <c r="O256" s="7"/>
      <c r="P256" s="3"/>
    </row>
    <row r="257" spans="1:16" ht="14.25" customHeight="1">
      <c r="A257" s="7"/>
      <c r="B257" s="7"/>
      <c r="C257" s="10"/>
      <c r="D257" s="7"/>
      <c r="E257" s="3"/>
      <c r="F257" s="42"/>
      <c r="G257" s="7"/>
      <c r="H257" s="4"/>
      <c r="I257" s="4"/>
      <c r="J257" s="4"/>
      <c r="K257" s="4"/>
      <c r="L257" s="4"/>
      <c r="M257" s="3"/>
      <c r="N257" s="7"/>
      <c r="O257" s="7"/>
      <c r="P257" s="3"/>
    </row>
  </sheetData>
  <mergeCells count="2">
    <mergeCell ref="A1:P1"/>
    <mergeCell ref="A3:P3"/>
  </mergeCells>
  <phoneticPr fontId="6" type="noConversion"/>
  <conditionalFormatting sqref="H105 H108:L108 I117:L117 I120:L120 I122:L123 I126:L136 J137:L148 H239:L257">
    <cfRule type="expression" dxfId="19" priority="14">
      <formula>AND($H105&lt;TODAY(),$H105&lt;&gt;"",$N105&lt;&gt;"Closed",$N105&lt;&gt;"Cancelled")</formula>
    </cfRule>
  </conditionalFormatting>
  <conditionalFormatting sqref="N6:N102 N103:O148 N111:N252 N239:O257">
    <cfRule type="expression" dxfId="18" priority="10">
      <formula>N6="Open"</formula>
    </cfRule>
    <cfRule type="expression" dxfId="17" priority="11">
      <formula>N6="Closed"</formula>
    </cfRule>
    <cfRule type="expression" dxfId="16" priority="12">
      <formula>N6="Cancelled"</formula>
    </cfRule>
  </conditionalFormatting>
  <dataValidations count="3">
    <dataValidation type="list" sqref="O199:O252 O6:O26 N250:O250 O28:O183 N6:N255" xr:uid="{00000000-0002-0000-0000-000001000000}">
      <formula1>"Open,Closed,Cancelled,Pending,On Hold"</formula1>
    </dataValidation>
    <dataValidation type="list" sqref="E6:E255" xr:uid="{00000000-0002-0000-0000-000002000000}">
      <formula1>"TBC,Hill,NACO,Modon,OC,DC"</formula1>
    </dataValidation>
    <dataValidation type="list" showInputMessage="1" showErrorMessage="1" sqref="F6:F1048576" xr:uid="{37F0CC24-A07B-47A4-A80A-45A09C9D3A1C}">
      <formula1>$AB$6:$AB$9</formula1>
    </dataValidation>
  </dataValidations>
  <printOptions horizontalCentered="1" verticalCentered="1"/>
  <pageMargins left="0.7" right="0.7" top="0" bottom="0" header="0" footer="0"/>
  <pageSetup paperSize="9" scale="35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7"/>
  <sheetViews>
    <sheetView topLeftCell="D127" workbookViewId="0">
      <selection activeCell="E5" sqref="E5"/>
    </sheetView>
  </sheetViews>
  <sheetFormatPr defaultRowHeight="13.9"/>
  <cols>
    <col min="1" max="3" width="16" customWidth="1"/>
    <col min="4" max="4" width="50" customWidth="1"/>
    <col min="5" max="14" width="16" customWidth="1"/>
  </cols>
  <sheetData>
    <row r="1" spans="1:14" ht="41.45">
      <c r="A1" s="5" t="s">
        <v>552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 t="s">
        <v>553</v>
      </c>
      <c r="N1" s="5">
        <v>110</v>
      </c>
    </row>
    <row r="2" spans="1:1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 t="s">
        <v>2</v>
      </c>
      <c r="N2" s="5">
        <v>22</v>
      </c>
    </row>
    <row r="3" spans="1:14">
      <c r="A3" s="5"/>
      <c r="B3" s="5"/>
      <c r="C3" s="5"/>
      <c r="D3" s="5"/>
      <c r="E3" s="5"/>
      <c r="F3" s="5"/>
      <c r="G3" s="5"/>
      <c r="H3" s="5" t="s">
        <v>554</v>
      </c>
      <c r="I3" s="5"/>
      <c r="J3" s="5" t="s">
        <v>555</v>
      </c>
      <c r="K3" s="5"/>
      <c r="L3" s="5" t="s">
        <v>556</v>
      </c>
      <c r="M3" s="5" t="s">
        <v>557</v>
      </c>
      <c r="N3" s="5">
        <v>132</v>
      </c>
    </row>
    <row r="4" spans="1:14">
      <c r="A4" s="5" t="s">
        <v>558</v>
      </c>
      <c r="B4" s="5" t="s">
        <v>7</v>
      </c>
      <c r="C4" s="5" t="s">
        <v>559</v>
      </c>
      <c r="D4" s="5" t="s">
        <v>9</v>
      </c>
      <c r="E4" s="5" t="s">
        <v>560</v>
      </c>
      <c r="F4" s="5" t="s">
        <v>10</v>
      </c>
      <c r="G4" s="5" t="s">
        <v>561</v>
      </c>
      <c r="H4" s="5" t="s">
        <v>558</v>
      </c>
      <c r="I4" s="5" t="s">
        <v>562</v>
      </c>
      <c r="J4" s="5" t="s">
        <v>558</v>
      </c>
      <c r="K4" s="5" t="s">
        <v>562</v>
      </c>
      <c r="L4" s="5"/>
      <c r="M4" s="5" t="s">
        <v>563</v>
      </c>
      <c r="N4" s="5"/>
    </row>
    <row r="5" spans="1:14" ht="27.6">
      <c r="A5" s="6" t="s">
        <v>564</v>
      </c>
      <c r="B5" s="6" t="s">
        <v>439</v>
      </c>
      <c r="C5" s="6">
        <v>0</v>
      </c>
      <c r="D5" s="6" t="s">
        <v>442</v>
      </c>
      <c r="E5" s="6">
        <v>45838</v>
      </c>
      <c r="F5" s="6" t="s">
        <v>441</v>
      </c>
      <c r="G5" s="6"/>
      <c r="H5" s="6"/>
      <c r="I5" s="6"/>
      <c r="J5" s="6"/>
      <c r="K5" s="6">
        <v>45859</v>
      </c>
      <c r="L5" s="6"/>
      <c r="M5" s="6" t="s">
        <v>553</v>
      </c>
      <c r="N5" s="6"/>
    </row>
    <row r="6" spans="1:14" ht="27.6">
      <c r="A6" s="6" t="s">
        <v>565</v>
      </c>
      <c r="B6" s="6" t="s">
        <v>439</v>
      </c>
      <c r="C6" s="6">
        <v>1</v>
      </c>
      <c r="D6" s="6" t="s">
        <v>442</v>
      </c>
      <c r="E6" s="6">
        <v>45860</v>
      </c>
      <c r="F6" s="6" t="s">
        <v>441</v>
      </c>
      <c r="G6" s="6"/>
      <c r="H6" s="6"/>
      <c r="I6" s="6"/>
      <c r="J6" s="6"/>
      <c r="K6" s="6">
        <v>45861</v>
      </c>
      <c r="L6" s="6"/>
      <c r="M6" s="6" t="s">
        <v>553</v>
      </c>
      <c r="N6" s="6"/>
    </row>
    <row r="7" spans="1:14" ht="27.6">
      <c r="A7" s="6"/>
      <c r="B7" s="6" t="s">
        <v>443</v>
      </c>
      <c r="C7" s="6">
        <v>0</v>
      </c>
      <c r="D7" s="6" t="s">
        <v>444</v>
      </c>
      <c r="E7" s="6">
        <v>45876</v>
      </c>
      <c r="F7" s="6" t="s">
        <v>441</v>
      </c>
      <c r="G7" s="6"/>
      <c r="H7" s="6"/>
      <c r="I7" s="6"/>
      <c r="J7" s="6"/>
      <c r="K7" s="6">
        <v>45921</v>
      </c>
      <c r="L7" s="6"/>
      <c r="M7" s="6" t="s">
        <v>445</v>
      </c>
      <c r="N7" s="6"/>
    </row>
    <row r="8" spans="1:14" ht="27.6">
      <c r="A8" s="6"/>
      <c r="B8" s="6" t="s">
        <v>446</v>
      </c>
      <c r="C8" s="6">
        <v>0</v>
      </c>
      <c r="D8" s="6" t="s">
        <v>447</v>
      </c>
      <c r="E8" s="6">
        <v>45913</v>
      </c>
      <c r="F8" s="6" t="s">
        <v>441</v>
      </c>
      <c r="G8" s="6"/>
      <c r="H8" s="6"/>
      <c r="I8" s="6"/>
      <c r="J8" s="6"/>
      <c r="K8" s="6">
        <v>45922</v>
      </c>
      <c r="L8" s="6"/>
      <c r="M8" s="6" t="s">
        <v>553</v>
      </c>
      <c r="N8" s="6"/>
    </row>
    <row r="9" spans="1:14" ht="27.6">
      <c r="A9" s="6"/>
      <c r="B9" s="6" t="s">
        <v>448</v>
      </c>
      <c r="C9" s="6">
        <v>0</v>
      </c>
      <c r="D9" s="6" t="s">
        <v>449</v>
      </c>
      <c r="E9" s="6">
        <v>45916</v>
      </c>
      <c r="F9" s="6" t="s">
        <v>441</v>
      </c>
      <c r="G9" s="6"/>
      <c r="H9" s="6"/>
      <c r="I9" s="6"/>
      <c r="J9" s="6"/>
      <c r="K9" s="6">
        <v>45917</v>
      </c>
      <c r="L9" s="6"/>
      <c r="M9" s="6" t="s">
        <v>553</v>
      </c>
      <c r="N9" s="6"/>
    </row>
    <row r="10" spans="1:14" ht="41.45">
      <c r="A10" s="6"/>
      <c r="B10" s="6" t="s">
        <v>450</v>
      </c>
      <c r="C10" s="6">
        <v>0</v>
      </c>
      <c r="D10" s="6" t="s">
        <v>451</v>
      </c>
      <c r="E10" s="6">
        <v>45920</v>
      </c>
      <c r="F10" s="6" t="s">
        <v>441</v>
      </c>
      <c r="G10" s="6"/>
      <c r="H10" s="6"/>
      <c r="I10" s="6"/>
      <c r="J10" s="6"/>
      <c r="K10" s="6">
        <v>45925</v>
      </c>
      <c r="L10" s="6"/>
      <c r="M10" s="6" t="s">
        <v>553</v>
      </c>
      <c r="N10" s="6"/>
    </row>
    <row r="11" spans="1:14" ht="27.6">
      <c r="A11" s="6"/>
      <c r="B11" s="6" t="s">
        <v>452</v>
      </c>
      <c r="C11" s="6">
        <v>0</v>
      </c>
      <c r="D11" s="6" t="s">
        <v>453</v>
      </c>
      <c r="E11" s="6">
        <v>45937</v>
      </c>
      <c r="F11" s="6" t="s">
        <v>441</v>
      </c>
      <c r="G11" s="6"/>
      <c r="H11" s="6"/>
      <c r="I11" s="6"/>
      <c r="J11" s="6"/>
      <c r="K11" s="6">
        <v>45966</v>
      </c>
      <c r="L11" s="6"/>
      <c r="M11" s="6" t="s">
        <v>553</v>
      </c>
      <c r="N11" s="6"/>
    </row>
    <row r="12" spans="1:14" ht="27.6">
      <c r="A12" s="6"/>
      <c r="B12" s="6" t="s">
        <v>454</v>
      </c>
      <c r="C12" s="6">
        <v>0</v>
      </c>
      <c r="D12" s="6" t="s">
        <v>455</v>
      </c>
      <c r="E12" s="6">
        <v>45943</v>
      </c>
      <c r="F12" s="6" t="s">
        <v>441</v>
      </c>
      <c r="G12" s="6"/>
      <c r="H12" s="6"/>
      <c r="I12" s="6"/>
      <c r="J12" s="6"/>
      <c r="K12" s="6">
        <v>45974</v>
      </c>
      <c r="L12" s="6"/>
      <c r="M12" s="6" t="s">
        <v>553</v>
      </c>
      <c r="N12" s="6"/>
    </row>
    <row r="13" spans="1:14" ht="41.45">
      <c r="A13" s="6"/>
      <c r="B13" s="6" t="s">
        <v>456</v>
      </c>
      <c r="C13" s="6">
        <v>0</v>
      </c>
      <c r="D13" s="6" t="s">
        <v>457</v>
      </c>
      <c r="E13" s="6">
        <v>45945</v>
      </c>
      <c r="F13" s="6" t="s">
        <v>441</v>
      </c>
      <c r="G13" s="6"/>
      <c r="H13" s="6"/>
      <c r="I13" s="6"/>
      <c r="J13" s="6"/>
      <c r="K13" s="6">
        <v>45966</v>
      </c>
      <c r="L13" s="6"/>
      <c r="M13" s="6" t="s">
        <v>553</v>
      </c>
      <c r="N13" s="6"/>
    </row>
    <row r="14" spans="1:14" ht="27.6">
      <c r="A14" s="6"/>
      <c r="B14" s="6" t="s">
        <v>458</v>
      </c>
      <c r="C14" s="6">
        <v>0</v>
      </c>
      <c r="D14" s="6" t="s">
        <v>459</v>
      </c>
      <c r="E14" s="6">
        <v>45945</v>
      </c>
      <c r="F14" s="6" t="s">
        <v>441</v>
      </c>
      <c r="G14" s="6"/>
      <c r="H14" s="6"/>
      <c r="I14" s="6"/>
      <c r="J14" s="6"/>
      <c r="K14" s="6">
        <v>45966</v>
      </c>
      <c r="L14" s="6"/>
      <c r="M14" s="6" t="s">
        <v>553</v>
      </c>
      <c r="N14" s="6"/>
    </row>
    <row r="15" spans="1:14" ht="41.45">
      <c r="A15" s="6"/>
      <c r="B15" s="6" t="s">
        <v>460</v>
      </c>
      <c r="C15" s="6">
        <v>0</v>
      </c>
      <c r="D15" s="6" t="s">
        <v>461</v>
      </c>
      <c r="E15" s="6">
        <v>45950</v>
      </c>
      <c r="F15" s="6" t="s">
        <v>441</v>
      </c>
      <c r="G15" s="6"/>
      <c r="H15" s="6"/>
      <c r="I15" s="6"/>
      <c r="J15" s="6"/>
      <c r="K15" s="6">
        <v>45971</v>
      </c>
      <c r="L15" s="6"/>
      <c r="M15" s="6" t="s">
        <v>553</v>
      </c>
      <c r="N15" s="6"/>
    </row>
    <row r="16" spans="1:14" ht="27.6">
      <c r="A16" s="6"/>
      <c r="B16" s="6" t="s">
        <v>462</v>
      </c>
      <c r="C16" s="6">
        <v>0</v>
      </c>
      <c r="D16" s="6" t="s">
        <v>463</v>
      </c>
      <c r="E16" s="6">
        <v>45951</v>
      </c>
      <c r="F16" s="6" t="s">
        <v>441</v>
      </c>
      <c r="G16" s="6"/>
      <c r="H16" s="6"/>
      <c r="I16" s="6"/>
      <c r="J16" s="6"/>
      <c r="K16" s="6">
        <v>45967</v>
      </c>
      <c r="L16" s="6"/>
      <c r="M16" s="6" t="s">
        <v>553</v>
      </c>
      <c r="N16" s="6"/>
    </row>
    <row r="17" spans="1:14" ht="27.6">
      <c r="A17" s="6"/>
      <c r="B17" s="6" t="s">
        <v>464</v>
      </c>
      <c r="C17" s="6">
        <v>0</v>
      </c>
      <c r="D17" s="6" t="s">
        <v>465</v>
      </c>
      <c r="E17" s="6">
        <v>45962</v>
      </c>
      <c r="F17" s="6" t="s">
        <v>441</v>
      </c>
      <c r="G17" s="6"/>
      <c r="H17" s="6"/>
      <c r="I17" s="6"/>
      <c r="J17" s="6"/>
      <c r="K17" s="6">
        <v>45974</v>
      </c>
      <c r="L17" s="6"/>
      <c r="M17" s="6" t="s">
        <v>553</v>
      </c>
      <c r="N17" s="6"/>
    </row>
    <row r="18" spans="1:14" ht="27.6">
      <c r="A18" s="6"/>
      <c r="B18" s="6" t="s">
        <v>466</v>
      </c>
      <c r="C18" s="6">
        <v>0</v>
      </c>
      <c r="D18" s="6" t="s">
        <v>467</v>
      </c>
      <c r="E18" s="6">
        <v>45974</v>
      </c>
      <c r="F18" s="6" t="s">
        <v>441</v>
      </c>
      <c r="G18" s="6"/>
      <c r="H18" s="6"/>
      <c r="I18" s="6"/>
      <c r="J18" s="6"/>
      <c r="K18" s="6">
        <v>45997</v>
      </c>
      <c r="L18" s="6"/>
      <c r="M18" s="6" t="s">
        <v>553</v>
      </c>
      <c r="N18" s="6"/>
    </row>
    <row r="19" spans="1:14" ht="27.6">
      <c r="A19" s="6"/>
      <c r="B19" s="6" t="s">
        <v>466</v>
      </c>
      <c r="C19" s="6">
        <v>1</v>
      </c>
      <c r="D19" s="6" t="s">
        <v>467</v>
      </c>
      <c r="E19" s="6">
        <v>46005</v>
      </c>
      <c r="F19" s="6" t="s">
        <v>441</v>
      </c>
      <c r="G19" s="6"/>
      <c r="H19" s="6"/>
      <c r="I19" s="6"/>
      <c r="J19" s="6"/>
      <c r="K19" s="6">
        <v>46042</v>
      </c>
      <c r="L19" s="6"/>
      <c r="M19" s="6" t="s">
        <v>553</v>
      </c>
      <c r="N19" s="6"/>
    </row>
    <row r="20" spans="1:14" ht="27.6">
      <c r="A20" s="6"/>
      <c r="B20" s="6" t="s">
        <v>468</v>
      </c>
      <c r="C20" s="6">
        <v>0</v>
      </c>
      <c r="D20" s="6" t="s">
        <v>469</v>
      </c>
      <c r="E20" s="6">
        <v>45987</v>
      </c>
      <c r="F20" s="6" t="s">
        <v>441</v>
      </c>
      <c r="G20" s="6"/>
      <c r="H20" s="6"/>
      <c r="I20" s="6"/>
      <c r="J20" s="6"/>
      <c r="K20" s="6">
        <v>46008</v>
      </c>
      <c r="L20" s="6"/>
      <c r="M20" s="6" t="s">
        <v>553</v>
      </c>
      <c r="N20" s="6"/>
    </row>
    <row r="21" spans="1:14" ht="27.6">
      <c r="A21" s="6"/>
      <c r="B21" s="6" t="s">
        <v>468</v>
      </c>
      <c r="C21" s="6">
        <v>1</v>
      </c>
      <c r="D21" s="6" t="s">
        <v>470</v>
      </c>
      <c r="E21" s="6">
        <v>46013</v>
      </c>
      <c r="F21" s="6" t="s">
        <v>441</v>
      </c>
      <c r="G21" s="6"/>
      <c r="H21" s="6"/>
      <c r="I21" s="6"/>
      <c r="J21" s="6"/>
      <c r="K21" s="6">
        <v>46021</v>
      </c>
      <c r="L21" s="6"/>
      <c r="M21" s="6" t="s">
        <v>553</v>
      </c>
      <c r="N21" s="6"/>
    </row>
    <row r="22" spans="1:14" ht="27.6">
      <c r="A22" s="6"/>
      <c r="B22" s="6" t="s">
        <v>471</v>
      </c>
      <c r="C22" s="6">
        <v>0</v>
      </c>
      <c r="D22" s="6" t="s">
        <v>472</v>
      </c>
      <c r="E22" s="6">
        <v>45991</v>
      </c>
      <c r="F22" s="6" t="s">
        <v>441</v>
      </c>
      <c r="G22" s="6"/>
      <c r="H22" s="6"/>
      <c r="I22" s="6"/>
      <c r="J22" s="6"/>
      <c r="K22" s="6">
        <v>45994</v>
      </c>
      <c r="L22" s="6"/>
      <c r="M22" s="6" t="s">
        <v>553</v>
      </c>
      <c r="N22" s="6"/>
    </row>
    <row r="23" spans="1:14" ht="41.45">
      <c r="A23" s="6"/>
      <c r="B23" s="6" t="s">
        <v>473</v>
      </c>
      <c r="C23" s="6">
        <v>0</v>
      </c>
      <c r="D23" s="6" t="s">
        <v>474</v>
      </c>
      <c r="E23" s="6">
        <v>46006</v>
      </c>
      <c r="F23" s="6" t="s">
        <v>441</v>
      </c>
      <c r="G23" s="6"/>
      <c r="H23" s="6"/>
      <c r="I23" s="6"/>
      <c r="J23" s="6"/>
      <c r="K23" s="6">
        <v>46037</v>
      </c>
      <c r="L23" s="6"/>
      <c r="M23" s="6" t="s">
        <v>553</v>
      </c>
      <c r="N23" s="6"/>
    </row>
    <row r="24" spans="1:14" ht="27.6">
      <c r="A24" s="6"/>
      <c r="B24" s="6" t="s">
        <v>475</v>
      </c>
      <c r="C24" s="6">
        <v>0</v>
      </c>
      <c r="D24" s="6" t="s">
        <v>476</v>
      </c>
      <c r="E24" s="6">
        <v>46006</v>
      </c>
      <c r="F24" s="6" t="s">
        <v>441</v>
      </c>
      <c r="G24" s="6"/>
      <c r="H24" s="6"/>
      <c r="I24" s="6"/>
      <c r="J24" s="6"/>
      <c r="K24" s="6">
        <v>46049</v>
      </c>
      <c r="L24" s="6"/>
      <c r="M24" s="6" t="s">
        <v>553</v>
      </c>
      <c r="N24" s="6"/>
    </row>
    <row r="25" spans="1:14" ht="27.6">
      <c r="A25" s="6"/>
      <c r="B25" s="6" t="s">
        <v>477</v>
      </c>
      <c r="C25" s="6">
        <v>0</v>
      </c>
      <c r="D25" s="6" t="s">
        <v>478</v>
      </c>
      <c r="E25" s="6">
        <v>46019</v>
      </c>
      <c r="F25" s="6" t="s">
        <v>441</v>
      </c>
      <c r="G25" s="6"/>
      <c r="H25" s="6"/>
      <c r="I25" s="6"/>
      <c r="J25" s="6"/>
      <c r="K25" s="6">
        <v>46042</v>
      </c>
      <c r="L25" s="6"/>
      <c r="M25" s="6" t="s">
        <v>553</v>
      </c>
      <c r="N25" s="6"/>
    </row>
    <row r="26" spans="1:14" ht="27.6">
      <c r="A26" s="6"/>
      <c r="B26" s="6" t="s">
        <v>479</v>
      </c>
      <c r="C26" s="6">
        <v>0</v>
      </c>
      <c r="D26" s="6" t="s">
        <v>480</v>
      </c>
      <c r="E26" s="6">
        <v>46019</v>
      </c>
      <c r="F26" s="6" t="s">
        <v>441</v>
      </c>
      <c r="G26" s="6"/>
      <c r="H26" s="6"/>
      <c r="I26" s="6"/>
      <c r="J26" s="6"/>
      <c r="K26" s="6">
        <v>46048</v>
      </c>
      <c r="L26" s="6"/>
      <c r="M26" s="6" t="s">
        <v>553</v>
      </c>
      <c r="N26" s="6"/>
    </row>
    <row r="27" spans="1:14" ht="27.6">
      <c r="A27" s="6"/>
      <c r="B27" s="6" t="s">
        <v>481</v>
      </c>
      <c r="C27" s="6">
        <v>0</v>
      </c>
      <c r="D27" s="6" t="s">
        <v>482</v>
      </c>
      <c r="E27" s="6">
        <v>46021</v>
      </c>
      <c r="F27" s="6" t="s">
        <v>441</v>
      </c>
      <c r="G27" s="6"/>
      <c r="H27" s="6"/>
      <c r="I27" s="6"/>
      <c r="J27" s="6"/>
      <c r="K27" s="6">
        <v>46021</v>
      </c>
      <c r="L27" s="6"/>
      <c r="M27" s="6" t="s">
        <v>553</v>
      </c>
      <c r="N27" s="6"/>
    </row>
    <row r="28" spans="1:14" ht="27.6">
      <c r="A28" s="6"/>
      <c r="B28" s="6" t="s">
        <v>481</v>
      </c>
      <c r="C28" s="6">
        <v>1</v>
      </c>
      <c r="D28" s="6" t="s">
        <v>482</v>
      </c>
      <c r="E28" s="6">
        <v>46022</v>
      </c>
      <c r="F28" s="6" t="s">
        <v>441</v>
      </c>
      <c r="G28" s="6"/>
      <c r="H28" s="6"/>
      <c r="I28" s="6"/>
      <c r="J28" s="6"/>
      <c r="K28" s="6">
        <v>46049</v>
      </c>
      <c r="L28" s="6"/>
      <c r="M28" s="6" t="s">
        <v>553</v>
      </c>
      <c r="N28" s="6"/>
    </row>
    <row r="29" spans="1:14" ht="27.6">
      <c r="A29" s="6"/>
      <c r="B29" s="6" t="s">
        <v>483</v>
      </c>
      <c r="C29" s="6">
        <v>0</v>
      </c>
      <c r="D29" s="6" t="s">
        <v>484</v>
      </c>
      <c r="E29" s="6">
        <v>46027</v>
      </c>
      <c r="F29" s="6" t="s">
        <v>441</v>
      </c>
      <c r="G29" s="6"/>
      <c r="H29" s="6"/>
      <c r="I29" s="6"/>
      <c r="J29" s="6"/>
      <c r="K29" s="6">
        <v>46037</v>
      </c>
      <c r="L29" s="6"/>
      <c r="M29" s="6" t="s">
        <v>553</v>
      </c>
      <c r="N29" s="6"/>
    </row>
    <row r="30" spans="1:14" ht="27.6">
      <c r="A30" s="6"/>
      <c r="B30" s="6" t="s">
        <v>485</v>
      </c>
      <c r="C30" s="6">
        <v>0</v>
      </c>
      <c r="D30" s="6" t="s">
        <v>486</v>
      </c>
      <c r="E30" s="6">
        <v>46028</v>
      </c>
      <c r="F30" s="6" t="s">
        <v>441</v>
      </c>
      <c r="G30" s="6"/>
      <c r="H30" s="6"/>
      <c r="I30" s="6"/>
      <c r="J30" s="6"/>
      <c r="K30" s="6">
        <v>46044</v>
      </c>
      <c r="L30" s="6"/>
      <c r="M30" s="6" t="s">
        <v>553</v>
      </c>
      <c r="N30" s="6"/>
    </row>
    <row r="31" spans="1:14" ht="27.6">
      <c r="A31" s="6"/>
      <c r="B31" s="6" t="s">
        <v>487</v>
      </c>
      <c r="C31" s="6">
        <v>0</v>
      </c>
      <c r="D31" s="6" t="s">
        <v>488</v>
      </c>
      <c r="E31" s="6">
        <v>46041</v>
      </c>
      <c r="F31" s="6" t="s">
        <v>441</v>
      </c>
      <c r="G31" s="6"/>
      <c r="H31" s="6"/>
      <c r="I31" s="6"/>
      <c r="J31" s="6"/>
      <c r="K31" s="6">
        <v>46049</v>
      </c>
      <c r="L31" s="6"/>
      <c r="M31" s="6" t="s">
        <v>553</v>
      </c>
      <c r="N31" s="6"/>
    </row>
    <row r="32" spans="1:14" ht="27.6">
      <c r="A32" s="6"/>
      <c r="B32" s="6" t="s">
        <v>487</v>
      </c>
      <c r="C32" s="6">
        <v>1</v>
      </c>
      <c r="D32" s="6" t="s">
        <v>489</v>
      </c>
      <c r="E32" s="6">
        <v>46070</v>
      </c>
      <c r="F32" s="6" t="s">
        <v>441</v>
      </c>
      <c r="G32" s="6"/>
      <c r="H32" s="6"/>
      <c r="I32" s="6"/>
      <c r="J32" s="6"/>
      <c r="K32" s="6">
        <v>46088</v>
      </c>
      <c r="L32" s="6"/>
      <c r="M32" s="6" t="s">
        <v>553</v>
      </c>
      <c r="N32" s="6"/>
    </row>
    <row r="33" spans="1:14" ht="41.45">
      <c r="A33" s="6"/>
      <c r="B33" s="6" t="s">
        <v>490</v>
      </c>
      <c r="C33" s="6">
        <v>0</v>
      </c>
      <c r="D33" s="6" t="s">
        <v>491</v>
      </c>
      <c r="E33" s="6">
        <v>46042</v>
      </c>
      <c r="F33" s="6" t="s">
        <v>441</v>
      </c>
      <c r="G33" s="6"/>
      <c r="H33" s="6"/>
      <c r="I33" s="6"/>
      <c r="J33" s="6"/>
      <c r="K33" s="6">
        <v>46048</v>
      </c>
      <c r="L33" s="6"/>
      <c r="M33" s="6" t="s">
        <v>553</v>
      </c>
      <c r="N33" s="6"/>
    </row>
    <row r="34" spans="1:14" ht="27.6">
      <c r="A34" s="6"/>
      <c r="B34" s="6" t="s">
        <v>492</v>
      </c>
      <c r="C34" s="6">
        <v>0</v>
      </c>
      <c r="D34" s="6" t="s">
        <v>493</v>
      </c>
      <c r="E34" s="6">
        <v>46043</v>
      </c>
      <c r="F34" s="6" t="s">
        <v>441</v>
      </c>
      <c r="G34" s="6"/>
      <c r="H34" s="6"/>
      <c r="I34" s="6"/>
      <c r="J34" s="6"/>
      <c r="K34" s="6">
        <v>46051</v>
      </c>
      <c r="L34" s="6"/>
      <c r="M34" s="6" t="s">
        <v>553</v>
      </c>
      <c r="N34" s="6"/>
    </row>
    <row r="35" spans="1:14" ht="27.6">
      <c r="A35" s="6"/>
      <c r="B35" s="6" t="s">
        <v>494</v>
      </c>
      <c r="C35" s="6">
        <v>0</v>
      </c>
      <c r="D35" s="6" t="s">
        <v>495</v>
      </c>
      <c r="E35" s="6">
        <v>46043</v>
      </c>
      <c r="F35" s="6" t="s">
        <v>441</v>
      </c>
      <c r="G35" s="6"/>
      <c r="H35" s="6"/>
      <c r="I35" s="6"/>
      <c r="J35" s="6"/>
      <c r="K35" s="6">
        <v>46049</v>
      </c>
      <c r="L35" s="6"/>
      <c r="M35" s="6" t="s">
        <v>553</v>
      </c>
      <c r="N35" s="6"/>
    </row>
    <row r="36" spans="1:14" ht="27.6">
      <c r="A36" s="6"/>
      <c r="B36" s="6" t="s">
        <v>496</v>
      </c>
      <c r="C36" s="6">
        <v>0</v>
      </c>
      <c r="D36" s="6" t="s">
        <v>497</v>
      </c>
      <c r="E36" s="6">
        <v>46051</v>
      </c>
      <c r="F36" s="6" t="s">
        <v>441</v>
      </c>
      <c r="G36" s="6"/>
      <c r="H36" s="6"/>
      <c r="I36" s="6"/>
      <c r="J36" s="6"/>
      <c r="K36" s="6">
        <v>46058</v>
      </c>
      <c r="L36" s="6"/>
      <c r="M36" s="6" t="s">
        <v>553</v>
      </c>
      <c r="N36" s="6"/>
    </row>
    <row r="37" spans="1:14" ht="41.45">
      <c r="A37" s="6"/>
      <c r="B37" s="6" t="s">
        <v>498</v>
      </c>
      <c r="C37" s="6">
        <v>0</v>
      </c>
      <c r="D37" s="6" t="s">
        <v>499</v>
      </c>
      <c r="E37" s="6">
        <v>46051</v>
      </c>
      <c r="F37" s="6" t="s">
        <v>441</v>
      </c>
      <c r="G37" s="6"/>
      <c r="H37" s="6"/>
      <c r="I37" s="6"/>
      <c r="J37" s="6"/>
      <c r="K37" s="6">
        <v>46051</v>
      </c>
      <c r="L37" s="6"/>
      <c r="M37" s="6" t="s">
        <v>553</v>
      </c>
      <c r="N37" s="6"/>
    </row>
    <row r="38" spans="1:14" ht="27.6">
      <c r="A38" s="6"/>
      <c r="B38" s="6" t="s">
        <v>500</v>
      </c>
      <c r="C38" s="6">
        <v>0</v>
      </c>
      <c r="D38" s="6" t="s">
        <v>501</v>
      </c>
      <c r="E38" s="6">
        <v>46056</v>
      </c>
      <c r="F38" s="6" t="s">
        <v>441</v>
      </c>
      <c r="G38" s="6"/>
      <c r="H38" s="6"/>
      <c r="I38" s="6"/>
      <c r="J38" s="6"/>
      <c r="K38" s="6">
        <v>46059</v>
      </c>
      <c r="L38" s="6"/>
      <c r="M38" s="6" t="s">
        <v>553</v>
      </c>
      <c r="N38" s="6"/>
    </row>
    <row r="39" spans="1:14" ht="27.6">
      <c r="A39" s="6"/>
      <c r="B39" s="6" t="s">
        <v>502</v>
      </c>
      <c r="C39" s="6">
        <v>0</v>
      </c>
      <c r="D39" s="6" t="s">
        <v>503</v>
      </c>
      <c r="E39" s="6">
        <v>46060</v>
      </c>
      <c r="F39" s="6" t="s">
        <v>441</v>
      </c>
      <c r="G39" s="6"/>
      <c r="H39" s="6"/>
      <c r="I39" s="6"/>
      <c r="J39" s="6"/>
      <c r="K39" s="6">
        <v>46078</v>
      </c>
      <c r="L39" s="6"/>
      <c r="M39" s="6" t="s">
        <v>553</v>
      </c>
      <c r="N39" s="6"/>
    </row>
    <row r="40" spans="1:14" ht="27.6">
      <c r="A40" s="6"/>
      <c r="B40" s="6" t="s">
        <v>504</v>
      </c>
      <c r="C40" s="6">
        <v>0</v>
      </c>
      <c r="D40" s="6" t="s">
        <v>505</v>
      </c>
      <c r="E40" s="6">
        <v>46083</v>
      </c>
      <c r="F40" s="6" t="s">
        <v>441</v>
      </c>
      <c r="G40" s="6"/>
      <c r="H40" s="6"/>
      <c r="I40" s="6"/>
      <c r="J40" s="6"/>
      <c r="K40" s="6">
        <v>46099</v>
      </c>
      <c r="L40" s="6"/>
      <c r="M40" s="6" t="s">
        <v>553</v>
      </c>
      <c r="N40" s="6"/>
    </row>
    <row r="41" spans="1:14" ht="27.6">
      <c r="A41" s="6"/>
      <c r="B41" s="6" t="s">
        <v>506</v>
      </c>
      <c r="C41" s="6">
        <v>0</v>
      </c>
      <c r="D41" s="6" t="s">
        <v>507</v>
      </c>
      <c r="E41" s="6">
        <v>46092</v>
      </c>
      <c r="F41" s="6" t="s">
        <v>441</v>
      </c>
      <c r="G41" s="6"/>
      <c r="H41" s="6"/>
      <c r="I41" s="6"/>
      <c r="J41" s="6"/>
      <c r="K41" s="6">
        <v>46098</v>
      </c>
      <c r="L41" s="6"/>
      <c r="M41" s="6" t="s">
        <v>553</v>
      </c>
      <c r="N41" s="6"/>
    </row>
    <row r="42" spans="1:14" ht="27.6">
      <c r="A42" s="6"/>
      <c r="B42" s="6" t="s">
        <v>508</v>
      </c>
      <c r="C42" s="6">
        <v>0</v>
      </c>
      <c r="D42" s="6" t="s">
        <v>509</v>
      </c>
      <c r="E42" s="6">
        <v>46096</v>
      </c>
      <c r="F42" s="6" t="s">
        <v>441</v>
      </c>
      <c r="G42" s="6"/>
      <c r="H42" s="6"/>
      <c r="I42" s="6"/>
      <c r="J42" s="6"/>
      <c r="K42" s="6">
        <v>46098</v>
      </c>
      <c r="L42" s="6"/>
      <c r="M42" s="6" t="s">
        <v>553</v>
      </c>
      <c r="N42" s="6"/>
    </row>
    <row r="43" spans="1:14" ht="41.45">
      <c r="A43" s="6"/>
      <c r="B43" s="6" t="s">
        <v>510</v>
      </c>
      <c r="C43" s="6" t="s">
        <v>80</v>
      </c>
      <c r="D43" s="6" t="s">
        <v>511</v>
      </c>
      <c r="E43" s="6">
        <v>46146</v>
      </c>
      <c r="F43" s="6" t="s">
        <v>441</v>
      </c>
      <c r="G43" s="6"/>
      <c r="H43" s="6"/>
      <c r="I43" s="6"/>
      <c r="J43" s="6"/>
      <c r="K43" s="6" t="s">
        <v>199</v>
      </c>
      <c r="L43" s="6"/>
      <c r="M43" s="6" t="s">
        <v>553</v>
      </c>
      <c r="N43" s="6"/>
    </row>
    <row r="44" spans="1:14" ht="27.6">
      <c r="A44" s="6"/>
      <c r="B44" s="6" t="s">
        <v>512</v>
      </c>
      <c r="C44" s="6" t="s">
        <v>80</v>
      </c>
      <c r="D44" s="6" t="s">
        <v>513</v>
      </c>
      <c r="E44" s="6">
        <v>46146</v>
      </c>
      <c r="F44" s="6" t="s">
        <v>441</v>
      </c>
      <c r="G44" s="6"/>
      <c r="H44" s="6"/>
      <c r="I44" s="6"/>
      <c r="J44" s="6"/>
      <c r="K44" s="6" t="s">
        <v>199</v>
      </c>
      <c r="L44" s="6"/>
      <c r="M44" s="6" t="s">
        <v>553</v>
      </c>
      <c r="N44" s="6"/>
    </row>
    <row r="45" spans="1:14" ht="27.6">
      <c r="A45" s="6"/>
      <c r="B45" s="6" t="s">
        <v>514</v>
      </c>
      <c r="C45" s="6" t="s">
        <v>80</v>
      </c>
      <c r="D45" s="6" t="s">
        <v>515</v>
      </c>
      <c r="E45" s="6">
        <v>46130</v>
      </c>
      <c r="F45" s="6" t="s">
        <v>441</v>
      </c>
      <c r="G45" s="6"/>
      <c r="H45" s="6"/>
      <c r="I45" s="6"/>
      <c r="J45" s="6" t="s">
        <v>516</v>
      </c>
      <c r="K45" s="6">
        <v>46132</v>
      </c>
      <c r="L45" s="6"/>
      <c r="M45" s="6" t="s">
        <v>553</v>
      </c>
      <c r="N45" s="6"/>
    </row>
    <row r="46" spans="1:14" ht="27.6">
      <c r="A46" s="6"/>
      <c r="B46" s="6" t="s">
        <v>517</v>
      </c>
      <c r="C46" s="6" t="s">
        <v>80</v>
      </c>
      <c r="D46" s="6" t="s">
        <v>518</v>
      </c>
      <c r="E46" s="6">
        <v>46130</v>
      </c>
      <c r="F46" s="6" t="s">
        <v>441</v>
      </c>
      <c r="G46" s="6"/>
      <c r="H46" s="6"/>
      <c r="I46" s="6"/>
      <c r="J46" s="6" t="s">
        <v>519</v>
      </c>
      <c r="K46" s="6" t="s">
        <v>199</v>
      </c>
      <c r="L46" s="6"/>
      <c r="M46" s="6" t="s">
        <v>553</v>
      </c>
      <c r="N46" s="6"/>
    </row>
    <row r="47" spans="1:14" ht="27.6">
      <c r="A47" s="6"/>
      <c r="B47" s="6" t="s">
        <v>520</v>
      </c>
      <c r="C47" s="6" t="s">
        <v>80</v>
      </c>
      <c r="D47" s="6" t="s">
        <v>521</v>
      </c>
      <c r="E47" s="6">
        <v>46131</v>
      </c>
      <c r="F47" s="6" t="s">
        <v>441</v>
      </c>
      <c r="G47" s="6"/>
      <c r="H47" s="6"/>
      <c r="I47" s="6"/>
      <c r="J47" s="6" t="s">
        <v>522</v>
      </c>
      <c r="K47" s="6">
        <v>46141</v>
      </c>
      <c r="L47" s="6"/>
      <c r="M47" s="6" t="s">
        <v>553</v>
      </c>
      <c r="N47" s="6"/>
    </row>
    <row r="48" spans="1:14" ht="27.6">
      <c r="A48" s="6"/>
      <c r="B48" s="6" t="s">
        <v>523</v>
      </c>
      <c r="C48" s="6" t="s">
        <v>80</v>
      </c>
      <c r="D48" s="6" t="s">
        <v>524</v>
      </c>
      <c r="E48" s="6">
        <v>46133</v>
      </c>
      <c r="F48" s="6" t="s">
        <v>441</v>
      </c>
      <c r="G48" s="6"/>
      <c r="H48" s="6"/>
      <c r="I48" s="6"/>
      <c r="J48" s="6" t="s">
        <v>525</v>
      </c>
      <c r="K48" s="6">
        <v>46147</v>
      </c>
      <c r="L48" s="6"/>
      <c r="M48" s="6" t="s">
        <v>553</v>
      </c>
      <c r="N48" s="6"/>
    </row>
    <row r="49" spans="1:14" ht="27.6">
      <c r="A49" s="6"/>
      <c r="B49" s="6" t="s">
        <v>526</v>
      </c>
      <c r="C49" s="6" t="s">
        <v>80</v>
      </c>
      <c r="D49" s="6" t="s">
        <v>527</v>
      </c>
      <c r="E49" s="6">
        <v>46133</v>
      </c>
      <c r="F49" s="6" t="s">
        <v>441</v>
      </c>
      <c r="G49" s="6"/>
      <c r="H49" s="6"/>
      <c r="I49" s="6"/>
      <c r="J49" s="6" t="s">
        <v>528</v>
      </c>
      <c r="K49" s="6">
        <v>46146</v>
      </c>
      <c r="L49" s="6"/>
      <c r="M49" s="6" t="s">
        <v>553</v>
      </c>
      <c r="N49" s="6"/>
    </row>
    <row r="50" spans="1:14" ht="27.6">
      <c r="A50" s="6"/>
      <c r="B50" s="6" t="s">
        <v>526</v>
      </c>
      <c r="C50" s="6">
        <v>1</v>
      </c>
      <c r="D50" s="6" t="s">
        <v>527</v>
      </c>
      <c r="E50" s="6">
        <v>46148</v>
      </c>
      <c r="F50" s="6" t="s">
        <v>441</v>
      </c>
      <c r="G50" s="6"/>
      <c r="H50" s="6"/>
      <c r="I50" s="6"/>
      <c r="J50" s="6"/>
      <c r="K50" s="6"/>
      <c r="L50" s="6"/>
      <c r="M50" s="6" t="s">
        <v>2</v>
      </c>
      <c r="N50" s="6"/>
    </row>
    <row r="51" spans="1:14" ht="27.6">
      <c r="A51" s="6"/>
      <c r="B51" s="6" t="s">
        <v>530</v>
      </c>
      <c r="C51" s="6">
        <v>0</v>
      </c>
      <c r="D51" s="6" t="s">
        <v>531</v>
      </c>
      <c r="E51" s="6">
        <v>46143</v>
      </c>
      <c r="F51" s="6" t="s">
        <v>441</v>
      </c>
      <c r="G51" s="6"/>
      <c r="H51" s="6"/>
      <c r="I51" s="6"/>
      <c r="J51" s="6"/>
      <c r="K51" s="6"/>
      <c r="L51" s="6"/>
      <c r="M51" s="6" t="s">
        <v>2</v>
      </c>
      <c r="N51" s="6"/>
    </row>
    <row r="52" spans="1:14" ht="27.6">
      <c r="A52" s="6"/>
      <c r="B52" s="6" t="s">
        <v>532</v>
      </c>
      <c r="C52" s="6">
        <v>0</v>
      </c>
      <c r="D52" s="6" t="s">
        <v>533</v>
      </c>
      <c r="E52" s="6">
        <v>46144</v>
      </c>
      <c r="F52" s="6" t="s">
        <v>441</v>
      </c>
      <c r="G52" s="6"/>
      <c r="H52" s="6"/>
      <c r="I52" s="6"/>
      <c r="J52" s="6"/>
      <c r="K52" s="6"/>
      <c r="L52" s="6"/>
      <c r="M52" s="6" t="s">
        <v>2</v>
      </c>
      <c r="N52" s="6"/>
    </row>
    <row r="53" spans="1:14" ht="41.45">
      <c r="A53" s="6"/>
      <c r="B53" s="6" t="s">
        <v>333</v>
      </c>
      <c r="C53" s="6">
        <v>0</v>
      </c>
      <c r="D53" s="6" t="s">
        <v>334</v>
      </c>
      <c r="E53" s="6">
        <v>45949</v>
      </c>
      <c r="F53" s="6" t="s">
        <v>335</v>
      </c>
      <c r="G53" s="6"/>
      <c r="H53" s="6"/>
      <c r="I53" s="6"/>
      <c r="J53" s="6"/>
      <c r="K53" s="6">
        <v>45958</v>
      </c>
      <c r="L53" s="6"/>
      <c r="M53" s="6" t="s">
        <v>553</v>
      </c>
      <c r="N53" s="6"/>
    </row>
    <row r="54" spans="1:14" ht="41.45">
      <c r="A54" s="6"/>
      <c r="B54" s="6" t="s">
        <v>336</v>
      </c>
      <c r="C54" s="6">
        <v>0</v>
      </c>
      <c r="D54" s="6" t="s">
        <v>337</v>
      </c>
      <c r="E54" s="6">
        <v>45950</v>
      </c>
      <c r="F54" s="6" t="s">
        <v>335</v>
      </c>
      <c r="G54" s="6"/>
      <c r="H54" s="6"/>
      <c r="I54" s="6"/>
      <c r="J54" s="6"/>
      <c r="K54" s="6">
        <v>45967</v>
      </c>
      <c r="L54" s="6"/>
      <c r="M54" s="6" t="s">
        <v>553</v>
      </c>
      <c r="N54" s="6"/>
    </row>
    <row r="55" spans="1:14" ht="41.45">
      <c r="A55" s="6"/>
      <c r="B55" s="6" t="s">
        <v>338</v>
      </c>
      <c r="C55" s="6">
        <v>0</v>
      </c>
      <c r="D55" s="6" t="s">
        <v>339</v>
      </c>
      <c r="E55" s="6">
        <v>45950</v>
      </c>
      <c r="F55" s="6" t="s">
        <v>335</v>
      </c>
      <c r="G55" s="6"/>
      <c r="H55" s="6"/>
      <c r="I55" s="6"/>
      <c r="J55" s="6"/>
      <c r="K55" s="6">
        <v>45965</v>
      </c>
      <c r="L55" s="6"/>
      <c r="M55" s="6" t="s">
        <v>553</v>
      </c>
      <c r="N55" s="6"/>
    </row>
    <row r="56" spans="1:14" ht="41.45">
      <c r="A56" s="6"/>
      <c r="B56" s="6" t="s">
        <v>340</v>
      </c>
      <c r="C56" s="6">
        <v>0</v>
      </c>
      <c r="D56" s="6" t="s">
        <v>341</v>
      </c>
      <c r="E56" s="6">
        <v>46019</v>
      </c>
      <c r="F56" s="6" t="s">
        <v>335</v>
      </c>
      <c r="G56" s="6"/>
      <c r="H56" s="6"/>
      <c r="I56" s="6"/>
      <c r="J56" s="6"/>
      <c r="K56" s="6">
        <v>46025</v>
      </c>
      <c r="L56" s="6"/>
      <c r="M56" s="6" t="s">
        <v>553</v>
      </c>
      <c r="N56" s="6"/>
    </row>
    <row r="57" spans="1:14" ht="41.45">
      <c r="A57" s="6"/>
      <c r="B57" s="6" t="s">
        <v>342</v>
      </c>
      <c r="C57" s="6">
        <v>0</v>
      </c>
      <c r="D57" s="6" t="s">
        <v>343</v>
      </c>
      <c r="E57" s="6">
        <v>46050</v>
      </c>
      <c r="F57" s="6" t="s">
        <v>335</v>
      </c>
      <c r="G57" s="6"/>
      <c r="H57" s="6"/>
      <c r="I57" s="6"/>
      <c r="J57" s="6"/>
      <c r="K57" s="6">
        <v>46059</v>
      </c>
      <c r="L57" s="6"/>
      <c r="M57" s="6" t="s">
        <v>553</v>
      </c>
      <c r="N57" s="6"/>
    </row>
    <row r="58" spans="1:14" ht="41.45">
      <c r="A58" s="6"/>
      <c r="B58" s="6" t="s">
        <v>344</v>
      </c>
      <c r="C58" s="6">
        <v>0</v>
      </c>
      <c r="D58" s="6" t="s">
        <v>345</v>
      </c>
      <c r="E58" s="6">
        <v>46054</v>
      </c>
      <c r="F58" s="6" t="s">
        <v>335</v>
      </c>
      <c r="G58" s="6"/>
      <c r="H58" s="6"/>
      <c r="I58" s="6"/>
      <c r="J58" s="6"/>
      <c r="K58" s="6">
        <v>46056</v>
      </c>
      <c r="L58" s="6"/>
      <c r="M58" s="6" t="s">
        <v>553</v>
      </c>
      <c r="N58" s="6"/>
    </row>
    <row r="59" spans="1:14" ht="41.45">
      <c r="A59" s="6"/>
      <c r="B59" s="6" t="s">
        <v>346</v>
      </c>
      <c r="C59" s="6">
        <v>0</v>
      </c>
      <c r="D59" s="6" t="s">
        <v>347</v>
      </c>
      <c r="E59" s="6">
        <v>46057</v>
      </c>
      <c r="F59" s="6" t="s">
        <v>335</v>
      </c>
      <c r="G59" s="6"/>
      <c r="H59" s="6"/>
      <c r="I59" s="6"/>
      <c r="J59" s="6"/>
      <c r="K59" s="6">
        <v>46063</v>
      </c>
      <c r="L59" s="6"/>
      <c r="M59" s="6" t="s">
        <v>553</v>
      </c>
      <c r="N59" s="6"/>
    </row>
    <row r="60" spans="1:14" ht="41.45">
      <c r="A60" s="6"/>
      <c r="B60" s="6" t="s">
        <v>348</v>
      </c>
      <c r="C60" s="6">
        <v>0</v>
      </c>
      <c r="D60" s="6" t="s">
        <v>349</v>
      </c>
      <c r="E60" s="6">
        <v>46060</v>
      </c>
      <c r="F60" s="6" t="s">
        <v>335</v>
      </c>
      <c r="G60" s="6"/>
      <c r="H60" s="6"/>
      <c r="I60" s="6"/>
      <c r="J60" s="6"/>
      <c r="K60" s="6">
        <v>46078</v>
      </c>
      <c r="L60" s="6"/>
      <c r="M60" s="6" t="s">
        <v>553</v>
      </c>
      <c r="N60" s="6"/>
    </row>
    <row r="61" spans="1:14" ht="41.45">
      <c r="A61" s="6"/>
      <c r="B61" s="6" t="s">
        <v>350</v>
      </c>
      <c r="C61" s="6">
        <v>0</v>
      </c>
      <c r="D61" s="6" t="s">
        <v>351</v>
      </c>
      <c r="E61" s="6">
        <v>46062</v>
      </c>
      <c r="F61" s="6" t="s">
        <v>335</v>
      </c>
      <c r="G61" s="6"/>
      <c r="H61" s="6"/>
      <c r="I61" s="6"/>
      <c r="J61" s="6"/>
      <c r="K61" s="6">
        <v>46078</v>
      </c>
      <c r="L61" s="6"/>
      <c r="M61" s="6" t="s">
        <v>553</v>
      </c>
      <c r="N61" s="6"/>
    </row>
    <row r="62" spans="1:14" ht="41.45">
      <c r="A62" s="6"/>
      <c r="B62" s="6" t="s">
        <v>352</v>
      </c>
      <c r="C62" s="6">
        <v>0</v>
      </c>
      <c r="D62" s="6" t="s">
        <v>351</v>
      </c>
      <c r="E62" s="6">
        <v>46062</v>
      </c>
      <c r="F62" s="6" t="s">
        <v>335</v>
      </c>
      <c r="G62" s="6"/>
      <c r="H62" s="6"/>
      <c r="I62" s="6"/>
      <c r="J62" s="6"/>
      <c r="K62" s="6">
        <v>46079</v>
      </c>
      <c r="L62" s="6"/>
      <c r="M62" s="6" t="s">
        <v>553</v>
      </c>
      <c r="N62" s="6"/>
    </row>
    <row r="63" spans="1:14" ht="41.45">
      <c r="A63" s="6"/>
      <c r="B63" s="6" t="s">
        <v>353</v>
      </c>
      <c r="C63" s="6">
        <v>0</v>
      </c>
      <c r="D63" s="6" t="s">
        <v>354</v>
      </c>
      <c r="E63" s="6">
        <v>46063</v>
      </c>
      <c r="F63" s="6" t="s">
        <v>335</v>
      </c>
      <c r="G63" s="6"/>
      <c r="H63" s="6"/>
      <c r="I63" s="6"/>
      <c r="J63" s="6"/>
      <c r="K63" s="6">
        <v>46082</v>
      </c>
      <c r="L63" s="6"/>
      <c r="M63" s="6" t="s">
        <v>553</v>
      </c>
      <c r="N63" s="6"/>
    </row>
    <row r="64" spans="1:14" ht="41.45">
      <c r="A64" s="6"/>
      <c r="B64" s="6" t="s">
        <v>355</v>
      </c>
      <c r="C64" s="6" t="s">
        <v>80</v>
      </c>
      <c r="D64" s="6" t="s">
        <v>356</v>
      </c>
      <c r="E64" s="6">
        <v>46070</v>
      </c>
      <c r="F64" s="6" t="s">
        <v>335</v>
      </c>
      <c r="G64" s="6"/>
      <c r="H64" s="6"/>
      <c r="I64" s="6"/>
      <c r="J64" s="6"/>
      <c r="K64" s="6">
        <v>46079</v>
      </c>
      <c r="L64" s="6"/>
      <c r="M64" s="6" t="s">
        <v>553</v>
      </c>
      <c r="N64" s="6"/>
    </row>
    <row r="65" spans="1:14" ht="41.45">
      <c r="A65" s="6"/>
      <c r="B65" s="6" t="s">
        <v>357</v>
      </c>
      <c r="C65" s="6" t="s">
        <v>80</v>
      </c>
      <c r="D65" s="6" t="s">
        <v>358</v>
      </c>
      <c r="E65" s="6">
        <v>46120</v>
      </c>
      <c r="F65" s="6" t="s">
        <v>335</v>
      </c>
      <c r="G65" s="6"/>
      <c r="H65" s="6"/>
      <c r="I65" s="6"/>
      <c r="J65" s="6"/>
      <c r="K65" s="6">
        <v>46138</v>
      </c>
      <c r="L65" s="6"/>
      <c r="M65" s="6" t="s">
        <v>553</v>
      </c>
      <c r="N65" s="6"/>
    </row>
    <row r="66" spans="1:14" ht="41.45">
      <c r="A66" s="6"/>
      <c r="B66" s="6" t="s">
        <v>359</v>
      </c>
      <c r="C66" s="6">
        <v>0</v>
      </c>
      <c r="D66" s="6" t="s">
        <v>360</v>
      </c>
      <c r="E66" s="6">
        <v>46121</v>
      </c>
      <c r="F66" s="6" t="s">
        <v>335</v>
      </c>
      <c r="G66" s="6"/>
      <c r="H66" s="6"/>
      <c r="I66" s="6"/>
      <c r="J66" s="6"/>
      <c r="K66" s="6">
        <v>46124</v>
      </c>
      <c r="L66" s="6"/>
      <c r="M66" s="6" t="s">
        <v>553</v>
      </c>
      <c r="N66" s="6"/>
    </row>
    <row r="67" spans="1:14" ht="41.45">
      <c r="A67" s="6"/>
      <c r="B67" s="6" t="s">
        <v>361</v>
      </c>
      <c r="C67" s="6" t="s">
        <v>80</v>
      </c>
      <c r="D67" s="6" t="s">
        <v>362</v>
      </c>
      <c r="E67" s="6">
        <v>46121</v>
      </c>
      <c r="F67" s="6" t="s">
        <v>335</v>
      </c>
      <c r="G67" s="6"/>
      <c r="H67" s="6"/>
      <c r="I67" s="6"/>
      <c r="J67" s="6"/>
      <c r="K67" s="6" t="s">
        <v>214</v>
      </c>
      <c r="L67" s="6"/>
      <c r="M67" s="6" t="s">
        <v>553</v>
      </c>
      <c r="N67" s="6"/>
    </row>
    <row r="68" spans="1:14" ht="41.45">
      <c r="A68" s="6"/>
      <c r="B68" s="6" t="s">
        <v>363</v>
      </c>
      <c r="C68" s="6" t="s">
        <v>80</v>
      </c>
      <c r="D68" s="6" t="s">
        <v>364</v>
      </c>
      <c r="E68" s="6">
        <v>46130</v>
      </c>
      <c r="F68" s="6" t="s">
        <v>335</v>
      </c>
      <c r="G68" s="6"/>
      <c r="H68" s="6"/>
      <c r="I68" s="6"/>
      <c r="J68" s="6"/>
      <c r="K68" s="6">
        <v>46147</v>
      </c>
      <c r="L68" s="6"/>
      <c r="M68" s="6" t="s">
        <v>553</v>
      </c>
      <c r="N68" s="6" t="s">
        <v>30</v>
      </c>
    </row>
    <row r="69" spans="1:14" ht="41.45">
      <c r="A69" s="6"/>
      <c r="B69" s="6" t="s">
        <v>365</v>
      </c>
      <c r="C69" s="6" t="s">
        <v>80</v>
      </c>
      <c r="D69" s="6" t="s">
        <v>366</v>
      </c>
      <c r="E69" s="6">
        <v>46130</v>
      </c>
      <c r="F69" s="6" t="s">
        <v>335</v>
      </c>
      <c r="G69" s="6"/>
      <c r="H69" s="6"/>
      <c r="I69" s="6"/>
      <c r="J69" s="6"/>
      <c r="K69" s="6"/>
      <c r="L69" s="6"/>
      <c r="M69" s="6" t="s">
        <v>2</v>
      </c>
      <c r="N69" s="6"/>
    </row>
    <row r="70" spans="1:14" ht="41.45">
      <c r="A70" s="6"/>
      <c r="B70" s="6" t="s">
        <v>367</v>
      </c>
      <c r="C70" s="6" t="s">
        <v>80</v>
      </c>
      <c r="D70" s="6" t="s">
        <v>368</v>
      </c>
      <c r="E70" s="6">
        <v>46132</v>
      </c>
      <c r="F70" s="6" t="s">
        <v>335</v>
      </c>
      <c r="G70" s="6"/>
      <c r="H70" s="6"/>
      <c r="I70" s="6"/>
      <c r="J70" s="6" t="s">
        <v>369</v>
      </c>
      <c r="K70" s="6">
        <v>46142</v>
      </c>
      <c r="L70" s="6"/>
      <c r="M70" s="6" t="s">
        <v>553</v>
      </c>
      <c r="N70" s="6"/>
    </row>
    <row r="71" spans="1:14" ht="41.45">
      <c r="A71" s="6"/>
      <c r="B71" s="6" t="s">
        <v>370</v>
      </c>
      <c r="C71" s="6" t="s">
        <v>80</v>
      </c>
      <c r="D71" s="6" t="s">
        <v>371</v>
      </c>
      <c r="E71" s="6">
        <v>46132</v>
      </c>
      <c r="F71" s="6" t="s">
        <v>335</v>
      </c>
      <c r="G71" s="6"/>
      <c r="H71" s="6"/>
      <c r="I71" s="6"/>
      <c r="J71" s="6"/>
      <c r="K71" s="6"/>
      <c r="L71" s="6"/>
      <c r="M71" s="6" t="s">
        <v>2</v>
      </c>
      <c r="N71" s="6"/>
    </row>
    <row r="72" spans="1:14" ht="41.45">
      <c r="A72" s="6"/>
      <c r="B72" s="6" t="s">
        <v>372</v>
      </c>
      <c r="C72" s="6" t="s">
        <v>80</v>
      </c>
      <c r="D72" s="6" t="s">
        <v>373</v>
      </c>
      <c r="E72" s="6">
        <v>46132</v>
      </c>
      <c r="F72" s="6" t="s">
        <v>335</v>
      </c>
      <c r="G72" s="6"/>
      <c r="H72" s="6"/>
      <c r="I72" s="6"/>
      <c r="J72" s="6"/>
      <c r="K72" s="6"/>
      <c r="L72" s="6"/>
      <c r="M72" s="6" t="s">
        <v>2</v>
      </c>
      <c r="N72" s="6"/>
    </row>
    <row r="73" spans="1:14" ht="41.45">
      <c r="A73" s="6"/>
      <c r="B73" s="6" t="s">
        <v>374</v>
      </c>
      <c r="C73" s="6" t="s">
        <v>80</v>
      </c>
      <c r="D73" s="6" t="s">
        <v>375</v>
      </c>
      <c r="E73" s="6">
        <v>46132</v>
      </c>
      <c r="F73" s="6" t="s">
        <v>335</v>
      </c>
      <c r="G73" s="6"/>
      <c r="H73" s="6"/>
      <c r="I73" s="6"/>
      <c r="J73" s="6"/>
      <c r="K73" s="6"/>
      <c r="L73" s="6"/>
      <c r="M73" s="6" t="s">
        <v>2</v>
      </c>
      <c r="N73" s="6"/>
    </row>
    <row r="74" spans="1:14" ht="41.45">
      <c r="A74" s="6"/>
      <c r="B74" s="6" t="s">
        <v>376</v>
      </c>
      <c r="C74" s="6" t="s">
        <v>80</v>
      </c>
      <c r="D74" s="6" t="s">
        <v>377</v>
      </c>
      <c r="E74" s="6">
        <v>46132</v>
      </c>
      <c r="F74" s="6" t="s">
        <v>335</v>
      </c>
      <c r="G74" s="6"/>
      <c r="H74" s="6"/>
      <c r="I74" s="6"/>
      <c r="J74" s="6"/>
      <c r="K74" s="6"/>
      <c r="L74" s="6"/>
      <c r="M74" s="6" t="s">
        <v>2</v>
      </c>
      <c r="N74" s="6"/>
    </row>
    <row r="75" spans="1:14" ht="41.45">
      <c r="A75" s="6"/>
      <c r="B75" s="6" t="s">
        <v>378</v>
      </c>
      <c r="C75" s="6" t="s">
        <v>80</v>
      </c>
      <c r="D75" s="6" t="s">
        <v>379</v>
      </c>
      <c r="E75" s="6">
        <v>46132</v>
      </c>
      <c r="F75" s="6" t="s">
        <v>335</v>
      </c>
      <c r="G75" s="6"/>
      <c r="H75" s="6"/>
      <c r="I75" s="6"/>
      <c r="J75" s="6"/>
      <c r="K75" s="6"/>
      <c r="L75" s="6"/>
      <c r="M75" s="6" t="s">
        <v>2</v>
      </c>
      <c r="N75" s="6"/>
    </row>
    <row r="76" spans="1:14" ht="41.45">
      <c r="A76" s="6"/>
      <c r="B76" s="6" t="s">
        <v>380</v>
      </c>
      <c r="C76" s="6" t="s">
        <v>80</v>
      </c>
      <c r="D76" s="6" t="s">
        <v>381</v>
      </c>
      <c r="E76" s="6">
        <v>46132</v>
      </c>
      <c r="F76" s="6" t="s">
        <v>335</v>
      </c>
      <c r="G76" s="6"/>
      <c r="H76" s="6"/>
      <c r="I76" s="6"/>
      <c r="J76" s="6"/>
      <c r="K76" s="6"/>
      <c r="L76" s="6"/>
      <c r="M76" s="6" t="s">
        <v>2</v>
      </c>
      <c r="N76" s="6"/>
    </row>
    <row r="77" spans="1:14" ht="41.45">
      <c r="A77" s="6"/>
      <c r="B77" s="6" t="s">
        <v>382</v>
      </c>
      <c r="C77" s="6" t="s">
        <v>80</v>
      </c>
      <c r="D77" s="6" t="s">
        <v>383</v>
      </c>
      <c r="E77" s="6">
        <v>46134</v>
      </c>
      <c r="F77" s="6" t="s">
        <v>335</v>
      </c>
      <c r="G77" s="6"/>
      <c r="H77" s="6"/>
      <c r="I77" s="6"/>
      <c r="J77" s="6" t="s">
        <v>384</v>
      </c>
      <c r="K77" s="6">
        <v>46142</v>
      </c>
      <c r="L77" s="6"/>
      <c r="M77" s="6" t="s">
        <v>553</v>
      </c>
      <c r="N77" s="6"/>
    </row>
    <row r="78" spans="1:14" ht="41.45">
      <c r="A78" s="6"/>
      <c r="B78" s="6" t="s">
        <v>385</v>
      </c>
      <c r="C78" s="6" t="s">
        <v>80</v>
      </c>
      <c r="D78" s="6" t="s">
        <v>386</v>
      </c>
      <c r="E78" s="6">
        <v>46138</v>
      </c>
      <c r="F78" s="6" t="s">
        <v>335</v>
      </c>
      <c r="G78" s="6"/>
      <c r="H78" s="6"/>
      <c r="I78" s="6"/>
      <c r="J78" s="6" t="s">
        <v>387</v>
      </c>
      <c r="K78" s="6">
        <v>46146</v>
      </c>
      <c r="L78" s="6"/>
      <c r="M78" s="6" t="s">
        <v>553</v>
      </c>
      <c r="N78" s="6"/>
    </row>
    <row r="79" spans="1:14" ht="41.45">
      <c r="A79" s="6"/>
      <c r="B79" s="6" t="s">
        <v>388</v>
      </c>
      <c r="C79" s="6" t="s">
        <v>80</v>
      </c>
      <c r="D79" s="6" t="s">
        <v>389</v>
      </c>
      <c r="E79" s="6">
        <v>46142</v>
      </c>
      <c r="F79" s="6" t="s">
        <v>335</v>
      </c>
      <c r="G79" s="6"/>
      <c r="H79" s="6"/>
      <c r="I79" s="6"/>
      <c r="J79" s="6"/>
      <c r="K79" s="6"/>
      <c r="L79" s="6"/>
      <c r="M79" s="6" t="s">
        <v>2</v>
      </c>
      <c r="N79" s="6"/>
    </row>
    <row r="80" spans="1:14" ht="41.45">
      <c r="A80" s="6"/>
      <c r="B80" s="6" t="s">
        <v>390</v>
      </c>
      <c r="C80" s="6" t="s">
        <v>80</v>
      </c>
      <c r="D80" s="6" t="s">
        <v>391</v>
      </c>
      <c r="E80" s="6">
        <v>46142</v>
      </c>
      <c r="F80" s="6" t="s">
        <v>335</v>
      </c>
      <c r="G80" s="6"/>
      <c r="H80" s="6"/>
      <c r="I80" s="6"/>
      <c r="J80" s="6"/>
      <c r="K80" s="6"/>
      <c r="L80" s="6"/>
      <c r="M80" s="6" t="s">
        <v>2</v>
      </c>
      <c r="N80" s="6"/>
    </row>
    <row r="81" spans="1:14" ht="41.45">
      <c r="A81" s="6"/>
      <c r="B81" s="6" t="s">
        <v>392</v>
      </c>
      <c r="C81" s="6">
        <v>0</v>
      </c>
      <c r="D81" s="6" t="s">
        <v>393</v>
      </c>
      <c r="E81" s="6">
        <v>46142</v>
      </c>
      <c r="F81" s="6" t="s">
        <v>335</v>
      </c>
      <c r="G81" s="6"/>
      <c r="H81" s="6"/>
      <c r="I81" s="6"/>
      <c r="J81" s="6"/>
      <c r="K81" s="6"/>
      <c r="L81" s="6"/>
      <c r="M81" s="6" t="s">
        <v>2</v>
      </c>
      <c r="N81" s="6"/>
    </row>
    <row r="82" spans="1:14" ht="41.45">
      <c r="A82" s="6"/>
      <c r="B82" s="6" t="s">
        <v>394</v>
      </c>
      <c r="C82" s="6" t="s">
        <v>80</v>
      </c>
      <c r="D82" s="6" t="s">
        <v>395</v>
      </c>
      <c r="E82" s="6">
        <v>46148</v>
      </c>
      <c r="F82" s="6" t="s">
        <v>335</v>
      </c>
      <c r="G82" s="6"/>
      <c r="H82" s="6"/>
      <c r="I82" s="6"/>
      <c r="J82" s="6"/>
      <c r="K82" s="6"/>
      <c r="L82" s="6"/>
      <c r="M82" s="6" t="s">
        <v>2</v>
      </c>
      <c r="N82" s="6"/>
    </row>
    <row r="83" spans="1:14" ht="41.45">
      <c r="A83" s="6"/>
      <c r="B83" s="6" t="s">
        <v>398</v>
      </c>
      <c r="C83" s="6" t="s">
        <v>80</v>
      </c>
      <c r="D83" s="6" t="s">
        <v>399</v>
      </c>
      <c r="E83" s="6">
        <v>46149</v>
      </c>
      <c r="F83" s="6" t="s">
        <v>335</v>
      </c>
      <c r="G83" s="6"/>
      <c r="H83" s="6"/>
      <c r="I83" s="6"/>
      <c r="J83" s="6"/>
      <c r="K83" s="6"/>
      <c r="L83" s="6"/>
      <c r="M83" s="6" t="s">
        <v>2</v>
      </c>
      <c r="N83" s="6"/>
    </row>
    <row r="84" spans="1:14" ht="27.6">
      <c r="A84" s="6"/>
      <c r="B84" s="6" t="s">
        <v>163</v>
      </c>
      <c r="C84" s="6">
        <v>0</v>
      </c>
      <c r="D84" s="6" t="s">
        <v>164</v>
      </c>
      <c r="E84" s="6">
        <v>45954</v>
      </c>
      <c r="F84" s="6" t="s">
        <v>165</v>
      </c>
      <c r="G84" s="6"/>
      <c r="H84" s="6"/>
      <c r="I84" s="6"/>
      <c r="J84" s="6"/>
      <c r="K84" s="6">
        <v>45959</v>
      </c>
      <c r="L84" s="6"/>
      <c r="M84" s="6" t="s">
        <v>553</v>
      </c>
      <c r="N84" s="6"/>
    </row>
    <row r="85" spans="1:14" ht="27.6">
      <c r="A85" s="6"/>
      <c r="B85" s="6" t="s">
        <v>166</v>
      </c>
      <c r="C85" s="6">
        <v>0</v>
      </c>
      <c r="D85" s="6" t="s">
        <v>167</v>
      </c>
      <c r="E85" s="6">
        <v>46015</v>
      </c>
      <c r="F85" s="6" t="s">
        <v>165</v>
      </c>
      <c r="G85" s="6"/>
      <c r="H85" s="6"/>
      <c r="I85" s="6"/>
      <c r="J85" s="6"/>
      <c r="K85" s="6">
        <v>46034</v>
      </c>
      <c r="L85" s="6"/>
      <c r="M85" s="6" t="s">
        <v>553</v>
      </c>
      <c r="N85" s="6"/>
    </row>
    <row r="86" spans="1:14" ht="27.6">
      <c r="A86" s="6"/>
      <c r="B86" s="6" t="s">
        <v>168</v>
      </c>
      <c r="C86" s="6">
        <v>0</v>
      </c>
      <c r="D86" s="6" t="s">
        <v>169</v>
      </c>
      <c r="E86" s="6">
        <v>46019</v>
      </c>
      <c r="F86" s="6" t="s">
        <v>165</v>
      </c>
      <c r="G86" s="6"/>
      <c r="H86" s="6"/>
      <c r="I86" s="6"/>
      <c r="J86" s="6"/>
      <c r="K86" s="6">
        <v>46034</v>
      </c>
      <c r="L86" s="6"/>
      <c r="M86" s="6" t="s">
        <v>553</v>
      </c>
      <c r="N86" s="6"/>
    </row>
    <row r="87" spans="1:14" ht="27.6">
      <c r="A87" s="6"/>
      <c r="B87" s="6" t="s">
        <v>170</v>
      </c>
      <c r="C87" s="6">
        <v>0</v>
      </c>
      <c r="D87" s="6" t="s">
        <v>171</v>
      </c>
      <c r="E87" s="6">
        <v>46027</v>
      </c>
      <c r="F87" s="6" t="s">
        <v>165</v>
      </c>
      <c r="G87" s="6"/>
      <c r="H87" s="6"/>
      <c r="I87" s="6"/>
      <c r="J87" s="6"/>
      <c r="K87" s="6">
        <v>46034</v>
      </c>
      <c r="L87" s="6"/>
      <c r="M87" s="6" t="s">
        <v>553</v>
      </c>
      <c r="N87" s="6"/>
    </row>
    <row r="88" spans="1:14" ht="27.6">
      <c r="A88" s="6"/>
      <c r="B88" s="6" t="s">
        <v>172</v>
      </c>
      <c r="C88" s="6">
        <v>0</v>
      </c>
      <c r="D88" s="6" t="s">
        <v>173</v>
      </c>
      <c r="E88" s="6">
        <v>46041</v>
      </c>
      <c r="F88" s="6" t="s">
        <v>165</v>
      </c>
      <c r="G88" s="6"/>
      <c r="H88" s="6"/>
      <c r="I88" s="6"/>
      <c r="J88" s="6"/>
      <c r="K88" s="6">
        <v>46051</v>
      </c>
      <c r="L88" s="6"/>
      <c r="M88" s="6" t="s">
        <v>553</v>
      </c>
      <c r="N88" s="6"/>
    </row>
    <row r="89" spans="1:14" ht="27.6">
      <c r="A89" s="6"/>
      <c r="B89" s="6" t="s">
        <v>172</v>
      </c>
      <c r="C89" s="6">
        <v>1</v>
      </c>
      <c r="D89" s="6" t="s">
        <v>174</v>
      </c>
      <c r="E89" s="6">
        <v>46097</v>
      </c>
      <c r="F89" s="6" t="s">
        <v>165</v>
      </c>
      <c r="G89" s="6"/>
      <c r="H89" s="6"/>
      <c r="I89" s="6"/>
      <c r="J89" s="6"/>
      <c r="K89" s="6">
        <v>46099</v>
      </c>
      <c r="L89" s="6"/>
      <c r="M89" s="6" t="s">
        <v>553</v>
      </c>
      <c r="N89" s="6"/>
    </row>
    <row r="90" spans="1:14" ht="27.6">
      <c r="A90" s="6"/>
      <c r="B90" s="6" t="s">
        <v>175</v>
      </c>
      <c r="C90" s="6">
        <v>0</v>
      </c>
      <c r="D90" s="6" t="s">
        <v>176</v>
      </c>
      <c r="E90" s="6">
        <v>46056</v>
      </c>
      <c r="F90" s="6" t="s">
        <v>165</v>
      </c>
      <c r="G90" s="6"/>
      <c r="H90" s="6"/>
      <c r="I90" s="6"/>
      <c r="J90" s="6"/>
      <c r="K90" s="6">
        <v>46058</v>
      </c>
      <c r="L90" s="6"/>
      <c r="M90" s="6" t="s">
        <v>553</v>
      </c>
      <c r="N90" s="6"/>
    </row>
    <row r="91" spans="1:14" ht="27.6">
      <c r="A91" s="6"/>
      <c r="B91" s="6" t="s">
        <v>177</v>
      </c>
      <c r="C91" s="6">
        <v>0</v>
      </c>
      <c r="D91" s="6" t="s">
        <v>178</v>
      </c>
      <c r="E91" s="6">
        <v>46057</v>
      </c>
      <c r="F91" s="6" t="s">
        <v>165</v>
      </c>
      <c r="G91" s="6"/>
      <c r="H91" s="6"/>
      <c r="I91" s="6"/>
      <c r="J91" s="6"/>
      <c r="K91" s="6">
        <v>46063</v>
      </c>
      <c r="L91" s="6"/>
      <c r="M91" s="6" t="s">
        <v>553</v>
      </c>
      <c r="N91" s="6"/>
    </row>
    <row r="92" spans="1:14" ht="27.6">
      <c r="A92" s="6"/>
      <c r="B92" s="6" t="s">
        <v>179</v>
      </c>
      <c r="C92" s="6">
        <v>0</v>
      </c>
      <c r="D92" s="6" t="s">
        <v>180</v>
      </c>
      <c r="E92" s="6">
        <v>46064</v>
      </c>
      <c r="F92" s="6" t="s">
        <v>165</v>
      </c>
      <c r="G92" s="6"/>
      <c r="H92" s="6"/>
      <c r="I92" s="6"/>
      <c r="J92" s="6"/>
      <c r="K92" s="6">
        <v>46078</v>
      </c>
      <c r="L92" s="6"/>
      <c r="M92" s="6" t="s">
        <v>553</v>
      </c>
      <c r="N92" s="6"/>
    </row>
    <row r="93" spans="1:14" ht="27.6">
      <c r="A93" s="6"/>
      <c r="B93" s="6" t="s">
        <v>181</v>
      </c>
      <c r="C93" s="6">
        <v>0</v>
      </c>
      <c r="D93" s="6" t="s">
        <v>182</v>
      </c>
      <c r="E93" s="6">
        <v>46064</v>
      </c>
      <c r="F93" s="6" t="s">
        <v>165</v>
      </c>
      <c r="G93" s="6"/>
      <c r="H93" s="6"/>
      <c r="I93" s="6"/>
      <c r="J93" s="6"/>
      <c r="K93" s="6">
        <v>46078</v>
      </c>
      <c r="L93" s="6"/>
      <c r="M93" s="6" t="s">
        <v>553</v>
      </c>
      <c r="N93" s="6"/>
    </row>
    <row r="94" spans="1:14" ht="27.6">
      <c r="A94" s="6"/>
      <c r="B94" s="6" t="s">
        <v>183</v>
      </c>
      <c r="C94" s="6">
        <v>0</v>
      </c>
      <c r="D94" s="6" t="s">
        <v>184</v>
      </c>
      <c r="E94" s="6">
        <v>46064</v>
      </c>
      <c r="F94" s="6" t="s">
        <v>165</v>
      </c>
      <c r="G94" s="6"/>
      <c r="H94" s="6"/>
      <c r="I94" s="6"/>
      <c r="J94" s="6"/>
      <c r="K94" s="6">
        <v>46088</v>
      </c>
      <c r="L94" s="6"/>
      <c r="M94" s="6" t="s">
        <v>553</v>
      </c>
      <c r="N94" s="6"/>
    </row>
    <row r="95" spans="1:14" ht="27.6">
      <c r="A95" s="6"/>
      <c r="B95" s="6" t="s">
        <v>185</v>
      </c>
      <c r="C95" s="6">
        <v>0</v>
      </c>
      <c r="D95" s="6" t="s">
        <v>186</v>
      </c>
      <c r="E95" s="6">
        <v>46068</v>
      </c>
      <c r="F95" s="6" t="s">
        <v>165</v>
      </c>
      <c r="G95" s="6"/>
      <c r="H95" s="6"/>
      <c r="I95" s="6"/>
      <c r="J95" s="6"/>
      <c r="K95" s="6">
        <v>46088</v>
      </c>
      <c r="L95" s="6"/>
      <c r="M95" s="6" t="s">
        <v>553</v>
      </c>
      <c r="N95" s="6"/>
    </row>
    <row r="96" spans="1:14" ht="27.6">
      <c r="A96" s="6"/>
      <c r="B96" s="6" t="s">
        <v>188</v>
      </c>
      <c r="C96" s="6">
        <v>0</v>
      </c>
      <c r="D96" s="6" t="s">
        <v>189</v>
      </c>
      <c r="E96" s="6">
        <v>46070</v>
      </c>
      <c r="F96" s="6" t="s">
        <v>165</v>
      </c>
      <c r="G96" s="6"/>
      <c r="H96" s="6"/>
      <c r="I96" s="6"/>
      <c r="J96" s="6"/>
      <c r="K96" s="6">
        <v>46082</v>
      </c>
      <c r="L96" s="6"/>
      <c r="M96" s="6" t="s">
        <v>553</v>
      </c>
      <c r="N96" s="6"/>
    </row>
    <row r="97" spans="1:14" ht="27.6">
      <c r="A97" s="6"/>
      <c r="B97" s="6" t="s">
        <v>190</v>
      </c>
      <c r="C97" s="6">
        <v>0</v>
      </c>
      <c r="D97" s="6" t="s">
        <v>191</v>
      </c>
      <c r="E97" s="6">
        <v>46075</v>
      </c>
      <c r="F97" s="6" t="s">
        <v>165</v>
      </c>
      <c r="G97" s="6"/>
      <c r="H97" s="6"/>
      <c r="I97" s="6"/>
      <c r="J97" s="6"/>
      <c r="K97" s="6">
        <v>46105</v>
      </c>
      <c r="L97" s="6"/>
      <c r="M97" s="6" t="s">
        <v>553</v>
      </c>
      <c r="N97" s="6"/>
    </row>
    <row r="98" spans="1:14" ht="27.6">
      <c r="A98" s="6"/>
      <c r="B98" s="6" t="s">
        <v>192</v>
      </c>
      <c r="C98" s="6">
        <v>0</v>
      </c>
      <c r="D98" s="6" t="s">
        <v>193</v>
      </c>
      <c r="E98" s="6">
        <v>46075</v>
      </c>
      <c r="F98" s="6" t="s">
        <v>165</v>
      </c>
      <c r="G98" s="6"/>
      <c r="H98" s="6"/>
      <c r="I98" s="6"/>
      <c r="J98" s="6"/>
      <c r="K98" s="6">
        <v>46114</v>
      </c>
      <c r="L98" s="6"/>
      <c r="M98" s="6" t="s">
        <v>553</v>
      </c>
      <c r="N98" s="6"/>
    </row>
    <row r="99" spans="1:14" ht="27.6">
      <c r="A99" s="6"/>
      <c r="B99" s="6" t="s">
        <v>195</v>
      </c>
      <c r="C99" s="6">
        <v>0</v>
      </c>
      <c r="D99" s="6" t="s">
        <v>196</v>
      </c>
      <c r="E99" s="6">
        <v>46097</v>
      </c>
      <c r="F99" s="6" t="s">
        <v>165</v>
      </c>
      <c r="G99" s="6"/>
      <c r="H99" s="6"/>
      <c r="I99" s="6"/>
      <c r="J99" s="6"/>
      <c r="K99" s="6">
        <v>46105</v>
      </c>
      <c r="L99" s="6"/>
      <c r="M99" s="6" t="s">
        <v>553</v>
      </c>
      <c r="N99" s="6"/>
    </row>
    <row r="100" spans="1:14" ht="41.45">
      <c r="A100" s="6"/>
      <c r="B100" s="6" t="s">
        <v>197</v>
      </c>
      <c r="C100" s="6">
        <v>0</v>
      </c>
      <c r="D100" s="6" t="s">
        <v>198</v>
      </c>
      <c r="E100" s="6">
        <v>46113</v>
      </c>
      <c r="F100" s="6" t="s">
        <v>165</v>
      </c>
      <c r="G100" s="6"/>
      <c r="H100" s="6"/>
      <c r="I100" s="6"/>
      <c r="J100" s="6"/>
      <c r="K100" s="6" t="s">
        <v>199</v>
      </c>
      <c r="L100" s="6"/>
      <c r="M100" s="6" t="s">
        <v>553</v>
      </c>
      <c r="N100" s="6"/>
    </row>
    <row r="101" spans="1:14" ht="27.6">
      <c r="A101" s="6"/>
      <c r="B101" s="6" t="s">
        <v>200</v>
      </c>
      <c r="C101" s="6">
        <v>0</v>
      </c>
      <c r="D101" s="6" t="s">
        <v>201</v>
      </c>
      <c r="E101" s="6">
        <v>46114</v>
      </c>
      <c r="F101" s="6" t="s">
        <v>165</v>
      </c>
      <c r="G101" s="6"/>
      <c r="H101" s="6"/>
      <c r="I101" s="6"/>
      <c r="J101" s="6"/>
      <c r="K101" s="6" t="s">
        <v>202</v>
      </c>
      <c r="L101" s="6"/>
      <c r="M101" s="6" t="s">
        <v>553</v>
      </c>
      <c r="N101" s="6"/>
    </row>
    <row r="102" spans="1:14" ht="41.45">
      <c r="A102" s="6"/>
      <c r="B102" s="6" t="s">
        <v>203</v>
      </c>
      <c r="C102" s="6">
        <v>0</v>
      </c>
      <c r="D102" s="6" t="s">
        <v>204</v>
      </c>
      <c r="E102" s="6">
        <v>46121</v>
      </c>
      <c r="F102" s="6" t="s">
        <v>165</v>
      </c>
      <c r="G102" s="6"/>
      <c r="H102" s="6"/>
      <c r="I102" s="6"/>
      <c r="J102" s="6"/>
      <c r="K102" s="6" t="s">
        <v>205</v>
      </c>
      <c r="L102" s="6"/>
      <c r="M102" s="6" t="s">
        <v>553</v>
      </c>
      <c r="N102" s="6"/>
    </row>
    <row r="103" spans="1:14" ht="41.45">
      <c r="A103" s="6"/>
      <c r="B103" s="6" t="s">
        <v>206</v>
      </c>
      <c r="C103" s="6">
        <v>0</v>
      </c>
      <c r="D103" s="6" t="s">
        <v>566</v>
      </c>
      <c r="E103" s="6">
        <v>46123</v>
      </c>
      <c r="F103" s="6" t="s">
        <v>165</v>
      </c>
      <c r="G103" s="6"/>
      <c r="H103" s="6"/>
      <c r="I103" s="6"/>
      <c r="J103" s="6"/>
      <c r="K103" s="6"/>
      <c r="L103" s="6"/>
      <c r="M103" s="6" t="s">
        <v>2</v>
      </c>
      <c r="N103" s="6"/>
    </row>
    <row r="104" spans="1:14" ht="55.15">
      <c r="A104" s="6"/>
      <c r="B104" s="6" t="s">
        <v>209</v>
      </c>
      <c r="C104" s="6">
        <v>0</v>
      </c>
      <c r="D104" s="6" t="s">
        <v>210</v>
      </c>
      <c r="E104" s="6">
        <v>46126</v>
      </c>
      <c r="F104" s="6" t="s">
        <v>165</v>
      </c>
      <c r="G104" s="6"/>
      <c r="H104" s="6"/>
      <c r="I104" s="6"/>
      <c r="J104" s="6" t="s">
        <v>211</v>
      </c>
      <c r="K104" s="6">
        <v>46141</v>
      </c>
      <c r="L104" s="6"/>
      <c r="M104" s="6" t="s">
        <v>553</v>
      </c>
      <c r="N104" s="6"/>
    </row>
    <row r="105" spans="1:14" ht="27.6">
      <c r="A105" s="6"/>
      <c r="B105" s="6" t="s">
        <v>212</v>
      </c>
      <c r="C105" s="6">
        <v>0</v>
      </c>
      <c r="D105" s="6" t="s">
        <v>213</v>
      </c>
      <c r="E105" s="6">
        <v>46126</v>
      </c>
      <c r="F105" s="6" t="s">
        <v>165</v>
      </c>
      <c r="G105" s="6"/>
      <c r="H105" s="6"/>
      <c r="I105" s="6"/>
      <c r="J105" s="6"/>
      <c r="K105" s="6" t="s">
        <v>214</v>
      </c>
      <c r="L105" s="6"/>
      <c r="M105" s="6" t="s">
        <v>553</v>
      </c>
      <c r="N105" s="6"/>
    </row>
    <row r="106" spans="1:14" ht="27.6">
      <c r="A106" s="6"/>
      <c r="B106" s="6" t="s">
        <v>215</v>
      </c>
      <c r="C106" s="6">
        <v>0</v>
      </c>
      <c r="D106" s="6" t="s">
        <v>216</v>
      </c>
      <c r="E106" s="6">
        <v>46135</v>
      </c>
      <c r="F106" s="6" t="s">
        <v>165</v>
      </c>
      <c r="G106" s="6"/>
      <c r="H106" s="6"/>
      <c r="I106" s="6"/>
      <c r="J106" s="6" t="s">
        <v>217</v>
      </c>
      <c r="K106" s="6">
        <v>46145</v>
      </c>
      <c r="L106" s="6"/>
      <c r="M106" s="6" t="s">
        <v>553</v>
      </c>
      <c r="N106" s="6"/>
    </row>
    <row r="107" spans="1:14" ht="27.6">
      <c r="A107" s="6"/>
      <c r="B107" s="6" t="s">
        <v>218</v>
      </c>
      <c r="C107" s="6">
        <v>0</v>
      </c>
      <c r="D107" s="6" t="s">
        <v>219</v>
      </c>
      <c r="E107" s="6">
        <v>46137</v>
      </c>
      <c r="F107" s="6" t="s">
        <v>165</v>
      </c>
      <c r="G107" s="6"/>
      <c r="H107" s="6"/>
      <c r="I107" s="6"/>
      <c r="J107" s="6" t="s">
        <v>220</v>
      </c>
      <c r="K107" s="6">
        <v>46141</v>
      </c>
      <c r="L107" s="6"/>
      <c r="M107" s="6" t="s">
        <v>553</v>
      </c>
      <c r="N107" s="6"/>
    </row>
    <row r="108" spans="1:14" ht="41.45">
      <c r="A108" s="6"/>
      <c r="B108" s="6" t="s">
        <v>221</v>
      </c>
      <c r="C108" s="6">
        <v>0</v>
      </c>
      <c r="D108" s="6" t="s">
        <v>222</v>
      </c>
      <c r="E108" s="6">
        <v>46138</v>
      </c>
      <c r="F108" s="6" t="s">
        <v>165</v>
      </c>
      <c r="G108" s="6"/>
      <c r="H108" s="6"/>
      <c r="I108" s="6"/>
      <c r="J108" s="6"/>
      <c r="K108" s="6">
        <v>46152</v>
      </c>
      <c r="L108" s="6"/>
      <c r="M108" s="6" t="s">
        <v>553</v>
      </c>
      <c r="N108" s="6"/>
    </row>
    <row r="109" spans="1:14" ht="27.6">
      <c r="A109" s="6"/>
      <c r="B109" s="6" t="s">
        <v>223</v>
      </c>
      <c r="C109" s="6">
        <v>0</v>
      </c>
      <c r="D109" s="6" t="s">
        <v>224</v>
      </c>
      <c r="E109" s="6">
        <v>46145</v>
      </c>
      <c r="F109" s="6" t="s">
        <v>165</v>
      </c>
      <c r="G109" s="6"/>
      <c r="H109" s="6"/>
      <c r="I109" s="6"/>
      <c r="J109" s="6"/>
      <c r="K109" s="6"/>
      <c r="L109" s="6"/>
      <c r="M109" s="6" t="s">
        <v>567</v>
      </c>
      <c r="N109" s="6"/>
    </row>
    <row r="110" spans="1:14" ht="27.6">
      <c r="A110" s="6"/>
      <c r="B110" s="6" t="s">
        <v>225</v>
      </c>
      <c r="C110" s="6">
        <v>0</v>
      </c>
      <c r="D110" s="6" t="s">
        <v>226</v>
      </c>
      <c r="E110" s="6">
        <v>46147</v>
      </c>
      <c r="F110" s="6" t="s">
        <v>165</v>
      </c>
      <c r="G110" s="6"/>
      <c r="H110" s="6"/>
      <c r="I110" s="6"/>
      <c r="J110" s="6" t="s">
        <v>227</v>
      </c>
      <c r="K110" s="6">
        <v>46155</v>
      </c>
      <c r="L110" s="6"/>
      <c r="M110" s="6" t="s">
        <v>553</v>
      </c>
      <c r="N110" s="6"/>
    </row>
    <row r="111" spans="1:14" ht="27.6">
      <c r="A111" s="6"/>
      <c r="B111" s="6" t="s">
        <v>228</v>
      </c>
      <c r="C111" s="6">
        <v>0</v>
      </c>
      <c r="D111" s="6" t="s">
        <v>229</v>
      </c>
      <c r="E111" s="6">
        <v>46149</v>
      </c>
      <c r="F111" s="6" t="s">
        <v>165</v>
      </c>
      <c r="G111" s="6"/>
      <c r="H111" s="6"/>
      <c r="I111" s="6"/>
      <c r="J111" s="6" t="s">
        <v>230</v>
      </c>
      <c r="K111" s="6">
        <v>46159</v>
      </c>
      <c r="L111" s="6"/>
      <c r="M111" s="6" t="s">
        <v>553</v>
      </c>
      <c r="N111" s="6"/>
    </row>
    <row r="112" spans="1:14" ht="41.45">
      <c r="A112" s="6"/>
      <c r="B112" s="6" t="s">
        <v>23</v>
      </c>
      <c r="C112" s="6">
        <v>0</v>
      </c>
      <c r="D112" s="6" t="s">
        <v>24</v>
      </c>
      <c r="E112" s="6">
        <v>46015</v>
      </c>
      <c r="F112" s="6" t="s">
        <v>25</v>
      </c>
      <c r="G112" s="6"/>
      <c r="H112" s="6"/>
      <c r="I112" s="6"/>
      <c r="J112" s="6" t="s">
        <v>28</v>
      </c>
      <c r="K112" s="6">
        <v>46088</v>
      </c>
      <c r="L112" s="6"/>
      <c r="M112" s="6" t="s">
        <v>553</v>
      </c>
      <c r="N112" s="6"/>
    </row>
    <row r="113" spans="1:14" ht="41.45">
      <c r="A113" s="6"/>
      <c r="B113" s="6" t="s">
        <v>32</v>
      </c>
      <c r="C113" s="6">
        <v>0</v>
      </c>
      <c r="D113" s="6" t="s">
        <v>33</v>
      </c>
      <c r="E113" s="6">
        <v>46024</v>
      </c>
      <c r="F113" s="6" t="s">
        <v>25</v>
      </c>
      <c r="G113" s="6"/>
      <c r="H113" s="6"/>
      <c r="I113" s="6"/>
      <c r="J113" s="6"/>
      <c r="K113" s="6">
        <v>46042</v>
      </c>
      <c r="L113" s="6"/>
      <c r="M113" s="6" t="s">
        <v>553</v>
      </c>
      <c r="N113" s="6"/>
    </row>
    <row r="114" spans="1:14" ht="41.45">
      <c r="A114" s="6"/>
      <c r="B114" s="6" t="s">
        <v>37</v>
      </c>
      <c r="C114" s="6">
        <v>0</v>
      </c>
      <c r="D114" s="6" t="s">
        <v>38</v>
      </c>
      <c r="E114" s="6">
        <v>46051</v>
      </c>
      <c r="F114" s="6" t="s">
        <v>25</v>
      </c>
      <c r="G114" s="6"/>
      <c r="H114" s="6"/>
      <c r="I114" s="6"/>
      <c r="J114" s="6" t="s">
        <v>28</v>
      </c>
      <c r="K114" s="6">
        <v>46063</v>
      </c>
      <c r="L114" s="6"/>
      <c r="M114" s="6" t="s">
        <v>553</v>
      </c>
      <c r="N114" s="6"/>
    </row>
    <row r="115" spans="1:14" ht="41.45">
      <c r="A115" s="6"/>
      <c r="B115" s="6" t="s">
        <v>40</v>
      </c>
      <c r="C115" s="6">
        <v>0</v>
      </c>
      <c r="D115" s="6" t="s">
        <v>41</v>
      </c>
      <c r="E115" s="6">
        <v>46054</v>
      </c>
      <c r="F115" s="6" t="s">
        <v>25</v>
      </c>
      <c r="G115" s="6"/>
      <c r="H115" s="6"/>
      <c r="I115" s="6"/>
      <c r="J115" s="6" t="s">
        <v>42</v>
      </c>
      <c r="K115" s="6">
        <v>46088</v>
      </c>
      <c r="L115" s="6"/>
      <c r="M115" s="6" t="s">
        <v>553</v>
      </c>
      <c r="N115" s="6"/>
    </row>
    <row r="116" spans="1:14" ht="41.45">
      <c r="A116" s="6"/>
      <c r="B116" s="6" t="s">
        <v>44</v>
      </c>
      <c r="C116" s="6">
        <v>0</v>
      </c>
      <c r="D116" s="6" t="s">
        <v>45</v>
      </c>
      <c r="E116" s="6">
        <v>46064</v>
      </c>
      <c r="F116" s="6" t="s">
        <v>25</v>
      </c>
      <c r="G116" s="6"/>
      <c r="H116" s="6"/>
      <c r="I116" s="6"/>
      <c r="J116" s="6" t="s">
        <v>46</v>
      </c>
      <c r="K116" s="6">
        <v>46082</v>
      </c>
      <c r="L116" s="6"/>
      <c r="M116" s="6" t="s">
        <v>553</v>
      </c>
      <c r="N116" s="6"/>
    </row>
    <row r="117" spans="1:14" ht="41.45">
      <c r="A117" s="6"/>
      <c r="B117" s="6" t="s">
        <v>44</v>
      </c>
      <c r="C117" s="6">
        <v>1</v>
      </c>
      <c r="D117" s="6" t="s">
        <v>45</v>
      </c>
      <c r="E117" s="6">
        <v>46086</v>
      </c>
      <c r="F117" s="6" t="s">
        <v>25</v>
      </c>
      <c r="G117" s="6"/>
      <c r="H117" s="6"/>
      <c r="I117" s="6"/>
      <c r="J117" s="6" t="s">
        <v>47</v>
      </c>
      <c r="K117" s="6">
        <v>46098</v>
      </c>
      <c r="L117" s="6"/>
      <c r="M117" s="6" t="s">
        <v>553</v>
      </c>
      <c r="N117" s="6"/>
    </row>
    <row r="118" spans="1:14" ht="41.45">
      <c r="A118" s="6"/>
      <c r="B118" s="6" t="s">
        <v>48</v>
      </c>
      <c r="C118" s="6">
        <v>0</v>
      </c>
      <c r="D118" s="6" t="s">
        <v>49</v>
      </c>
      <c r="E118" s="6">
        <v>46064</v>
      </c>
      <c r="F118" s="6" t="s">
        <v>25</v>
      </c>
      <c r="G118" s="6"/>
      <c r="H118" s="6"/>
      <c r="I118" s="6"/>
      <c r="J118" s="6" t="s">
        <v>50</v>
      </c>
      <c r="K118" s="6">
        <v>46078</v>
      </c>
      <c r="L118" s="6"/>
      <c r="M118" s="6" t="s">
        <v>553</v>
      </c>
      <c r="N118" s="6"/>
    </row>
    <row r="119" spans="1:14" ht="41.45">
      <c r="A119" s="6"/>
      <c r="B119" s="6" t="s">
        <v>51</v>
      </c>
      <c r="C119" s="6">
        <v>0</v>
      </c>
      <c r="D119" s="6" t="s">
        <v>52</v>
      </c>
      <c r="E119" s="6">
        <v>46067</v>
      </c>
      <c r="F119" s="6" t="s">
        <v>25</v>
      </c>
      <c r="G119" s="6"/>
      <c r="H119" s="6"/>
      <c r="I119" s="6"/>
      <c r="J119" s="6" t="s">
        <v>53</v>
      </c>
      <c r="K119" s="6">
        <v>46082</v>
      </c>
      <c r="L119" s="6"/>
      <c r="M119" s="6" t="s">
        <v>553</v>
      </c>
      <c r="N119" s="6"/>
    </row>
    <row r="120" spans="1:14" ht="41.45">
      <c r="A120" s="6"/>
      <c r="B120" s="6" t="s">
        <v>54</v>
      </c>
      <c r="C120" s="6">
        <v>0</v>
      </c>
      <c r="D120" s="6" t="s">
        <v>55</v>
      </c>
      <c r="E120" s="6">
        <v>46068</v>
      </c>
      <c r="F120" s="6" t="s">
        <v>25</v>
      </c>
      <c r="G120" s="6"/>
      <c r="H120" s="6"/>
      <c r="I120" s="6"/>
      <c r="J120" s="6" t="s">
        <v>56</v>
      </c>
      <c r="K120" s="6">
        <v>46078</v>
      </c>
      <c r="L120" s="6"/>
      <c r="M120" s="6" t="s">
        <v>553</v>
      </c>
      <c r="N120" s="6"/>
    </row>
    <row r="121" spans="1:14" ht="41.45">
      <c r="A121" s="6"/>
      <c r="B121" s="6" t="s">
        <v>57</v>
      </c>
      <c r="C121" s="6">
        <v>0</v>
      </c>
      <c r="D121" s="6" t="s">
        <v>58</v>
      </c>
      <c r="E121" s="6">
        <v>46085</v>
      </c>
      <c r="F121" s="6" t="s">
        <v>25</v>
      </c>
      <c r="G121" s="6"/>
      <c r="H121" s="6"/>
      <c r="I121" s="6"/>
      <c r="J121" s="6" t="s">
        <v>59</v>
      </c>
      <c r="K121" s="6">
        <v>46107</v>
      </c>
      <c r="L121" s="6"/>
      <c r="M121" s="6" t="s">
        <v>553</v>
      </c>
      <c r="N121" s="6"/>
    </row>
    <row r="122" spans="1:14" ht="41.45">
      <c r="A122" s="6"/>
      <c r="B122" s="6" t="s">
        <v>61</v>
      </c>
      <c r="C122" s="6">
        <v>0</v>
      </c>
      <c r="D122" s="6" t="s">
        <v>62</v>
      </c>
      <c r="E122" s="6">
        <v>46089</v>
      </c>
      <c r="F122" s="6" t="s">
        <v>25</v>
      </c>
      <c r="G122" s="6"/>
      <c r="H122" s="6"/>
      <c r="I122" s="6"/>
      <c r="J122" s="6" t="s">
        <v>63</v>
      </c>
      <c r="K122" s="6">
        <v>46107</v>
      </c>
      <c r="L122" s="6"/>
      <c r="M122" s="6" t="s">
        <v>553</v>
      </c>
      <c r="N122" s="6"/>
    </row>
    <row r="123" spans="1:14" ht="41.45">
      <c r="A123" s="6"/>
      <c r="B123" s="6" t="s">
        <v>64</v>
      </c>
      <c r="C123" s="6">
        <v>0</v>
      </c>
      <c r="D123" s="6" t="s">
        <v>65</v>
      </c>
      <c r="E123" s="6">
        <v>46096</v>
      </c>
      <c r="F123" s="6" t="s">
        <v>25</v>
      </c>
      <c r="G123" s="6"/>
      <c r="H123" s="6"/>
      <c r="I123" s="6"/>
      <c r="J123" s="6" t="s">
        <v>66</v>
      </c>
      <c r="K123" s="6">
        <v>46098</v>
      </c>
      <c r="L123" s="6"/>
      <c r="M123" s="6" t="s">
        <v>553</v>
      </c>
      <c r="N123" s="6"/>
    </row>
    <row r="124" spans="1:14" ht="41.45">
      <c r="A124" s="6"/>
      <c r="B124" s="6" t="s">
        <v>67</v>
      </c>
      <c r="C124" s="6">
        <v>0</v>
      </c>
      <c r="D124" s="6" t="s">
        <v>68</v>
      </c>
      <c r="E124" s="6">
        <v>46096</v>
      </c>
      <c r="F124" s="6" t="s">
        <v>25</v>
      </c>
      <c r="G124" s="6"/>
      <c r="H124" s="6"/>
      <c r="I124" s="6"/>
      <c r="J124" s="6" t="s">
        <v>69</v>
      </c>
      <c r="K124" s="6">
        <v>46098</v>
      </c>
      <c r="L124" s="6"/>
      <c r="M124" s="6" t="s">
        <v>553</v>
      </c>
      <c r="N124" s="6"/>
    </row>
    <row r="125" spans="1:14" ht="41.45">
      <c r="A125" s="6"/>
      <c r="B125" s="6" t="s">
        <v>70</v>
      </c>
      <c r="C125" s="6">
        <v>0</v>
      </c>
      <c r="D125" s="6" t="s">
        <v>71</v>
      </c>
      <c r="E125" s="6">
        <v>46096</v>
      </c>
      <c r="F125" s="6" t="s">
        <v>25</v>
      </c>
      <c r="G125" s="6"/>
      <c r="H125" s="6"/>
      <c r="I125" s="6"/>
      <c r="J125" s="6" t="s">
        <v>72</v>
      </c>
      <c r="K125" s="6">
        <v>46098</v>
      </c>
      <c r="L125" s="6"/>
      <c r="M125" s="6" t="s">
        <v>553</v>
      </c>
      <c r="N125" s="6"/>
    </row>
    <row r="126" spans="1:14" ht="41.45">
      <c r="A126" s="6"/>
      <c r="B126" s="6" t="s">
        <v>73</v>
      </c>
      <c r="C126" s="6">
        <v>0</v>
      </c>
      <c r="D126" s="6" t="s">
        <v>74</v>
      </c>
      <c r="E126" s="6">
        <v>46096</v>
      </c>
      <c r="F126" s="6" t="s">
        <v>25</v>
      </c>
      <c r="G126" s="6"/>
      <c r="H126" s="6"/>
      <c r="I126" s="6"/>
      <c r="J126" s="6" t="s">
        <v>75</v>
      </c>
      <c r="K126" s="6">
        <v>46098</v>
      </c>
      <c r="L126" s="6"/>
      <c r="M126" s="6" t="s">
        <v>553</v>
      </c>
      <c r="N126" s="6"/>
    </row>
    <row r="127" spans="1:14" ht="41.45">
      <c r="A127" s="6"/>
      <c r="B127" s="6" t="s">
        <v>76</v>
      </c>
      <c r="C127" s="6">
        <v>0</v>
      </c>
      <c r="D127" s="6" t="s">
        <v>77</v>
      </c>
      <c r="E127" s="6">
        <v>46107</v>
      </c>
      <c r="F127" s="6" t="s">
        <v>25</v>
      </c>
      <c r="G127" s="6"/>
      <c r="H127" s="6"/>
      <c r="I127" s="6"/>
      <c r="J127" s="6" t="s">
        <v>78</v>
      </c>
      <c r="K127" s="6">
        <v>46117</v>
      </c>
      <c r="L127" s="6"/>
      <c r="M127" s="6" t="s">
        <v>553</v>
      </c>
      <c r="N127" s="6"/>
    </row>
    <row r="128" spans="1:14" ht="41.45">
      <c r="A128" s="6"/>
      <c r="B128" s="6" t="s">
        <v>79</v>
      </c>
      <c r="C128" s="6" t="s">
        <v>80</v>
      </c>
      <c r="D128" s="6" t="s">
        <v>81</v>
      </c>
      <c r="E128" s="6">
        <v>46134</v>
      </c>
      <c r="F128" s="6" t="s">
        <v>25</v>
      </c>
      <c r="G128" s="6"/>
      <c r="H128" s="6"/>
      <c r="I128" s="6"/>
      <c r="J128" s="6" t="s">
        <v>82</v>
      </c>
      <c r="K128" s="6">
        <v>46142</v>
      </c>
      <c r="L128" s="6"/>
      <c r="M128" s="6" t="s">
        <v>553</v>
      </c>
      <c r="N128" s="6"/>
    </row>
    <row r="129" spans="1:14" ht="41.45">
      <c r="A129" s="6"/>
      <c r="B129" s="6" t="s">
        <v>83</v>
      </c>
      <c r="C129" s="6">
        <v>0</v>
      </c>
      <c r="D129" s="6" t="s">
        <v>84</v>
      </c>
      <c r="E129" s="6">
        <v>46138</v>
      </c>
      <c r="F129" s="6" t="s">
        <v>25</v>
      </c>
      <c r="G129" s="6"/>
      <c r="H129" s="6"/>
      <c r="I129" s="6"/>
      <c r="J129" s="6" t="s">
        <v>85</v>
      </c>
      <c r="K129" s="6">
        <v>46148</v>
      </c>
      <c r="L129" s="6"/>
      <c r="M129" s="6" t="s">
        <v>553</v>
      </c>
      <c r="N129" s="6"/>
    </row>
    <row r="130" spans="1:14" ht="41.45">
      <c r="A130" s="6"/>
      <c r="B130" s="6" t="s">
        <v>86</v>
      </c>
      <c r="C130" s="6">
        <v>0</v>
      </c>
      <c r="D130" s="6" t="s">
        <v>87</v>
      </c>
      <c r="E130" s="6">
        <v>46140</v>
      </c>
      <c r="F130" s="6" t="s">
        <v>25</v>
      </c>
      <c r="G130" s="6"/>
      <c r="H130" s="6"/>
      <c r="I130" s="6"/>
      <c r="J130" s="6" t="s">
        <v>568</v>
      </c>
      <c r="K130" s="6">
        <v>46141</v>
      </c>
      <c r="L130" s="6"/>
      <c r="M130" s="6" t="s">
        <v>553</v>
      </c>
      <c r="N130" s="6"/>
    </row>
    <row r="131" spans="1:14" ht="41.45">
      <c r="A131" s="6"/>
      <c r="B131" s="6" t="s">
        <v>88</v>
      </c>
      <c r="C131" s="6">
        <v>0</v>
      </c>
      <c r="D131" s="6" t="s">
        <v>89</v>
      </c>
      <c r="E131" s="6">
        <v>46140</v>
      </c>
      <c r="F131" s="6" t="s">
        <v>25</v>
      </c>
      <c r="G131" s="6"/>
      <c r="H131" s="6"/>
      <c r="I131" s="6"/>
      <c r="J131" s="6" t="s">
        <v>90</v>
      </c>
      <c r="K131" s="6">
        <v>46152</v>
      </c>
      <c r="L131" s="6"/>
      <c r="M131" s="6" t="s">
        <v>553</v>
      </c>
      <c r="N131" s="6"/>
    </row>
    <row r="132" spans="1:14" ht="41.45">
      <c r="A132" s="6"/>
      <c r="B132" s="6" t="s">
        <v>91</v>
      </c>
      <c r="C132" s="6">
        <v>0</v>
      </c>
      <c r="D132" s="6" t="s">
        <v>92</v>
      </c>
      <c r="E132" s="6">
        <v>46141</v>
      </c>
      <c r="F132" s="6" t="s">
        <v>25</v>
      </c>
      <c r="G132" s="6"/>
      <c r="H132" s="6"/>
      <c r="I132" s="6"/>
      <c r="J132" s="6"/>
      <c r="K132" s="6"/>
      <c r="L132" s="6"/>
      <c r="M132" s="6" t="s">
        <v>567</v>
      </c>
      <c r="N132" s="6"/>
    </row>
    <row r="133" spans="1:14" ht="41.45">
      <c r="A133" s="6"/>
      <c r="B133" s="6" t="s">
        <v>95</v>
      </c>
      <c r="C133" s="6">
        <v>0</v>
      </c>
      <c r="D133" s="6" t="s">
        <v>96</v>
      </c>
      <c r="E133" s="6">
        <v>46144</v>
      </c>
      <c r="F133" s="6" t="s">
        <v>25</v>
      </c>
      <c r="G133" s="6"/>
      <c r="H133" s="6"/>
      <c r="I133" s="6"/>
      <c r="J133" s="6"/>
      <c r="K133" s="6"/>
      <c r="L133" s="6"/>
      <c r="M133" s="6" t="s">
        <v>567</v>
      </c>
      <c r="N133" s="6"/>
    </row>
    <row r="134" spans="1:14" ht="41.45">
      <c r="A134" s="6"/>
      <c r="B134" s="6" t="s">
        <v>98</v>
      </c>
      <c r="C134" s="6">
        <v>0</v>
      </c>
      <c r="D134" s="6" t="s">
        <v>99</v>
      </c>
      <c r="E134" s="6">
        <v>46147</v>
      </c>
      <c r="F134" s="6" t="s">
        <v>25</v>
      </c>
      <c r="G134" s="6"/>
      <c r="H134" s="6"/>
      <c r="I134" s="6"/>
      <c r="J134" s="6"/>
      <c r="K134" s="6"/>
      <c r="L134" s="6"/>
      <c r="M134" s="6" t="s">
        <v>567</v>
      </c>
      <c r="N134" s="6"/>
    </row>
    <row r="135" spans="1:14" ht="41.45">
      <c r="A135" s="6"/>
      <c r="B135" s="6" t="s">
        <v>101</v>
      </c>
      <c r="C135" s="6">
        <v>0</v>
      </c>
      <c r="D135" s="6" t="s">
        <v>102</v>
      </c>
      <c r="E135" s="6">
        <v>46152</v>
      </c>
      <c r="F135" s="6" t="s">
        <v>25</v>
      </c>
      <c r="G135" s="6"/>
      <c r="H135" s="6"/>
      <c r="I135" s="6"/>
      <c r="J135" s="6"/>
      <c r="K135" s="6"/>
      <c r="L135" s="6"/>
      <c r="M135" s="6" t="s">
        <v>567</v>
      </c>
      <c r="N135" s="6"/>
    </row>
    <row r="136" spans="1:14" ht="41.45">
      <c r="A136" s="6"/>
      <c r="B136" s="6" t="s">
        <v>231</v>
      </c>
      <c r="C136" s="6">
        <v>0</v>
      </c>
      <c r="D136" s="6" t="s">
        <v>232</v>
      </c>
      <c r="E136" s="6">
        <v>46153</v>
      </c>
      <c r="F136" s="6" t="s">
        <v>165</v>
      </c>
      <c r="G136" s="6"/>
      <c r="H136" s="6"/>
      <c r="I136" s="6"/>
      <c r="J136" s="6" t="s">
        <v>233</v>
      </c>
      <c r="K136" s="6">
        <v>46158</v>
      </c>
      <c r="L136" s="6"/>
      <c r="M136" s="6" t="s">
        <v>553</v>
      </c>
      <c r="N136" s="6"/>
    </row>
    <row r="137" spans="1:14" ht="41.45">
      <c r="A137" s="6"/>
      <c r="B137" s="6" t="s">
        <v>569</v>
      </c>
      <c r="C137" s="6"/>
      <c r="D137" s="6" t="s">
        <v>104</v>
      </c>
      <c r="E137" s="6">
        <v>46159</v>
      </c>
      <c r="F137" s="6" t="s">
        <v>25</v>
      </c>
      <c r="G137" s="6"/>
      <c r="H137" s="6"/>
      <c r="I137" s="6"/>
      <c r="J137" s="6"/>
      <c r="K137" s="6"/>
      <c r="L137" s="6" t="s">
        <v>570</v>
      </c>
      <c r="M137" s="6" t="s">
        <v>2</v>
      </c>
      <c r="N13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d7a996-4dca-498d-b2f5-99e3050e6495">
      <Terms xmlns="http://schemas.microsoft.com/office/infopath/2007/PartnerControls"/>
    </lcf76f155ced4ddcb4097134ff3c332f>
    <TaxCatchAll xmlns="5e47dd1e-c75c-4647-a38b-2c348db83d8f" xsi:nil="true"/>
    <_Flow_SignoffStatus xmlns="85d7a996-4dca-498d-b2f5-99e3050e6495" xsi:nil="true"/>
    <_dlc_DocId xmlns="5e47dd1e-c75c-4647-a38b-2c348db83d8f">D2EH7U7SCT2D-354287951-42197</_dlc_DocId>
    <_dlc_DocIdUrl xmlns="5e47dd1e-c75c-4647-a38b-2c348db83d8f">
      <Url>https://hillintl.sharepoint.com/sites/Extranet2/RasAlHekmaProject/_layouts/15/DocIdRedir.aspx?ID=D2EH7U7SCT2D-354287951-42197</Url>
      <Description>D2EH7U7SCT2D-354287951-42197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619ABE69-1967-4E5E-87D9-D2E2EFE0FBE0}"/>
</file>

<file path=customXml/itemProps2.xml><?xml version="1.0" encoding="utf-8"?>
<ds:datastoreItem xmlns:ds="http://schemas.openxmlformats.org/officeDocument/2006/customXml" ds:itemID="{9F9FD878-6CEB-4C7E-8110-8DD3CE5E17C6}"/>
</file>

<file path=customXml/itemProps3.xml><?xml version="1.0" encoding="utf-8"?>
<ds:datastoreItem xmlns:ds="http://schemas.openxmlformats.org/officeDocument/2006/customXml" ds:itemID="{204BF681-3917-4E24-B525-F6E313B04157}"/>
</file>

<file path=customXml/itemProps4.xml><?xml version="1.0" encoding="utf-8"?>
<ds:datastoreItem xmlns:ds="http://schemas.openxmlformats.org/officeDocument/2006/customXml" ds:itemID="{A24EE9D4-8992-4780-92DC-1A2AE1160771}"/>
</file>

<file path=docMetadata/LabelInfo.xml><?xml version="1.0" encoding="utf-8"?>
<clbl:labelList xmlns:clbl="http://schemas.microsoft.com/office/2020/mipLabelMetadata">
  <clbl:label id="{b344bd43-a15c-46f1-a818-f847f921129b}" enabled="0" method="" siteId="{b344bd43-a15c-46f1-a818-f847f921129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Ozturk, Bilgen</dc:creator>
  <cp:keywords/>
  <dc:description/>
  <cp:lastModifiedBy>Morsi, Osama</cp:lastModifiedBy>
  <cp:revision/>
  <dcterms:created xsi:type="dcterms:W3CDTF">2026-05-18T16:41:27Z</dcterms:created>
  <dcterms:modified xsi:type="dcterms:W3CDTF">2026-10-12T06:45:46Z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667e89fa-f2d7-409d-8729-2526080a9da3</vt:lpwstr>
  </property>
  <property fmtid="{D5CDD505-2E9C-101B-9397-08002B2CF9AE}" pid="4" name="MediaServiceImageTags">
    <vt:lpwstr/>
  </property>
</Properties>
</file>