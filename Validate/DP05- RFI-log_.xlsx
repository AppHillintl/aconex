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205) - DP05/00.03 RFI/"/>
    </mc:Choice>
  </mc:AlternateContent>
  <xr:revisionPtr revIDLastSave="141" documentId="13_ncr:1_{7E6A3004-AD1C-432C-B13E-D397DCEB96D8}" xr6:coauthVersionLast="47" xr6:coauthVersionMax="47" xr10:uidLastSave="{71DAC58A-0616-416E-B18F-3E21F0728B65}"/>
  <bookViews>
    <workbookView xWindow="28680" yWindow="-120" windowWidth="29040" windowHeight="15720" activeTab="2" xr2:uid="{00000000-000D-0000-FFFF-FFFF00000000}"/>
  </bookViews>
  <sheets>
    <sheet name="Dashboard" sheetId="1" r:id="rId1"/>
    <sheet name="Arch" sheetId="2" r:id="rId2"/>
    <sheet name="ST" sheetId="3" r:id="rId3"/>
    <sheet name="ME" sheetId="4" r:id="rId4"/>
  </sheets>
  <definedNames>
    <definedName name="_xlnm._FilterDatabase" localSheetId="1" hidden="1">Arch!$A$4:$Q$7</definedName>
    <definedName name="_xlnm._FilterDatabase" localSheetId="0" hidden="1">Dashboard!$D$14:$H$18</definedName>
    <definedName name="_xlnm._FilterDatabase" localSheetId="3" hidden="1">ME!$A$4:$Q$6</definedName>
    <definedName name="_xlnm._FilterDatabase" localSheetId="2" hidden="1">ST!$A$4:$Q$29</definedName>
    <definedName name="_xlnm.Print_Area" localSheetId="1">Arch!$B$1:$R$7</definedName>
    <definedName name="_xlnm.Print_Area" localSheetId="0">Dashboard!$C$2:$L$21</definedName>
    <definedName name="_xlnm.Print_Area" localSheetId="3">ME!$B$1:$R$6</definedName>
    <definedName name="_xlnm.Print_Area" localSheetId="2">ST!$B$1:$R$38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F17" i="1" s="1"/>
  <c r="K11" i="1" s="1"/>
  <c r="R2" i="4"/>
  <c r="G17" i="1" s="1"/>
  <c r="R1" i="4"/>
  <c r="E17" i="1" s="1"/>
  <c r="K10" i="1" s="1"/>
  <c r="R3" i="3"/>
  <c r="F16" i="1" s="1"/>
  <c r="H11" i="1" s="1"/>
  <c r="R2" i="3"/>
  <c r="G16" i="1" s="1"/>
  <c r="R1" i="3"/>
  <c r="E16" i="1" s="1"/>
  <c r="H10" i="1" s="1"/>
  <c r="R3" i="2"/>
  <c r="F15" i="1" s="1"/>
  <c r="R2" i="2"/>
  <c r="G15" i="1" s="1"/>
  <c r="R1" i="2"/>
  <c r="E15" i="1" s="1"/>
  <c r="E10" i="1" s="1"/>
  <c r="C6" i="1" l="1"/>
  <c r="F6" i="1"/>
  <c r="E11" i="1"/>
  <c r="F18" i="1"/>
  <c r="H15" i="1"/>
  <c r="I6" i="1"/>
  <c r="E12" i="1"/>
  <c r="G18" i="1"/>
  <c r="H12" i="1"/>
  <c r="H16" i="1"/>
  <c r="H17" i="1"/>
  <c r="K12" i="1"/>
  <c r="E18" i="1"/>
  <c r="H18" i="1" l="1"/>
</calcChain>
</file>

<file path=xl/sharedStrings.xml><?xml version="1.0" encoding="utf-8"?>
<sst xmlns="http://schemas.openxmlformats.org/spreadsheetml/2006/main" count="328" uniqueCount="179">
  <si>
    <t>Request For Information Log  For Design Pakage DP05</t>
  </si>
  <si>
    <t>ALL</t>
  </si>
  <si>
    <t>Response </t>
  </si>
  <si>
    <t>ACC TO HILL</t>
  </si>
  <si>
    <t>Orascom to Hill</t>
  </si>
  <si>
    <t xml:space="preserve">Hill To  OBMI
</t>
  </si>
  <si>
    <t xml:space="preserve">OBMI To Hill </t>
  </si>
  <si>
    <t>Hill To Orascom</t>
  </si>
  <si>
    <t>Dewan to  hill</t>
  </si>
  <si>
    <t>hill TO CCC</t>
  </si>
  <si>
    <t>open</t>
  </si>
  <si>
    <t>Mail No</t>
  </si>
  <si>
    <t>REV</t>
  </si>
  <si>
    <t>RFI No</t>
  </si>
  <si>
    <t>Subject</t>
  </si>
  <si>
    <t>Date</t>
  </si>
  <si>
    <t>CCCEGY-RFI-000003</t>
  </si>
  <si>
    <t>REH-MD1-DP5-AR-OC-HIL-RFI-0001</t>
  </si>
  <si>
    <t>P1000-K03205 – DP05 – REH-Wadi Yemm – Request for Information – Architectural - 0001 - Clusters ground finish floor level</t>
  </si>
  <si>
    <t>HillInt-RFI-001163</t>
  </si>
  <si>
    <t>Sent To Ihab Ghaly 
HillInt-RFI-000484
21/6/2026</t>
  </si>
  <si>
    <t>Sent To Al Ain
HillInt-RFI-000516
24/6/2026</t>
  </si>
  <si>
    <t>CCCEGY-RFI-000002</t>
  </si>
  <si>
    <t>REH-MD1-DP5-AR-OC-HIL-RFI-0002</t>
  </si>
  <si>
    <t>P1000-K03205 – DP05 – REH-Wadi Yemm – Request for Information – Architectural - 0002 - elevators, Dump waiter, &amp; trolly lift dimensions &amp; pits</t>
  </si>
  <si>
    <t>HillInt-GNC-003619</t>
  </si>
  <si>
    <t>CCCEGY-RFI-000001</t>
  </si>
  <si>
    <t>REH-MD1-DP5-AR-OC-HIL-RFI-0003</t>
  </si>
  <si>
    <t>P1000-K03205 – DP05 – REH-Wadi Yemm – Request for Information – Architectural - 0003 - Contradiction between architectural 100% schematic package &amp; Structural IFC package</t>
  </si>
  <si>
    <t>HillInt-GNC-003616</t>
  </si>
  <si>
    <t>RFI LOG DASHBOARD DP05</t>
  </si>
  <si>
    <t>TOTAL ITEMS</t>
  </si>
  <si>
    <t>PENDING</t>
  </si>
  <si>
    <t>RESPONDED</t>
  </si>
  <si>
    <t>Sheet Name</t>
  </si>
  <si>
    <t>Total</t>
  </si>
  <si>
    <t>Pending</t>
  </si>
  <si>
    <t>Responded</t>
  </si>
  <si>
    <t>Response Rate</t>
  </si>
  <si>
    <t>Arch</t>
  </si>
  <si>
    <t>ST</t>
  </si>
  <si>
    <t>ME</t>
  </si>
  <si>
    <t>GRAND TOTAL</t>
  </si>
  <si>
    <t>Hill To  OBMI</t>
  </si>
  <si>
    <t xml:space="preserve">HILL To SHKER </t>
  </si>
  <si>
    <t>REH-MD1-DP5-ST-OC-HIL-RFI-0001</t>
  </si>
  <si>
    <t>P1000-K03205 – DP05 – REH-Wadi Yemm – Request for Information – Structure - 0001 - BRV-OVERALL EXCAVATION PLAN FOUNDATION SECTION</t>
  </si>
  <si>
    <t>16/07/2026</t>
  </si>
  <si>
    <t>HillInt-RTRFI-000819</t>
  </si>
  <si>
    <t>17/07/2026</t>
  </si>
  <si>
    <t>OBMI-RTRFI-000024</t>
  </si>
  <si>
    <t>30/07/2026</t>
  </si>
  <si>
    <t>HillInt-RTRFI-000921</t>
  </si>
  <si>
    <t xml:space="preserve"> 3 August 2026 </t>
  </si>
  <si>
    <t>REH-MD1-DP5-ST-OC-HIL-RFI-0002</t>
  </si>
  <si>
    <t>P1000-K03205 – DP05 – REH-Wadi Yemm – Request for Information – Structure - 0002 - Applicable specification for DP05 works</t>
  </si>
  <si>
    <t>19/07/2026</t>
  </si>
  <si>
    <t>HillInt-RFI-000965</t>
  </si>
  <si>
    <t>HillInt-RTRFI-001052</t>
  </si>
  <si>
    <t>REH-MD1-DP5-ST-OC-HIL-RFI-0003</t>
  </si>
  <si>
    <t xml:space="preserve">	P1000-K03205 – DP05 – REH-Wadi Yemm – Request for Information – Structure - 0003 - Retaining system design near Cluster A -Village (V04)</t>
  </si>
  <si>
    <t>HillInt-RTRFI-001041</t>
  </si>
  <si>
    <t>REH-MD1-DP5-ST-OC-HIL-RFI-0004</t>
  </si>
  <si>
    <t>P1000-K03205 – DP05 – REH-Wadi Yemm – Request for Information – Structure - 0004 - Retaining system design near Cluster A -Village (V04)</t>
  </si>
  <si>
    <t>22/07/2026</t>
  </si>
  <si>
    <t>HillInt-RFI-000779</t>
  </si>
  <si>
    <t>23/07/2026</t>
  </si>
  <si>
    <t>OBMI-RTRFI-000025</t>
  </si>
  <si>
    <t>HillInt-RTRFI-000920</t>
  </si>
  <si>
    <t>REH-MD1-DP5-ST-OC-HIL-RFI-0005</t>
  </si>
  <si>
    <t>P1000-K03205 – DP05 – REH-Wadi Yemm – Request for Information – Structure - 0005 - Review Comments on DP05 Village GDR – Appendices and Calculations</t>
  </si>
  <si>
    <t>HillInt-RFI-000966</t>
  </si>
  <si>
    <t>HillInt-RTRFI-001193</t>
  </si>
  <si>
    <t>REH-MD1-DP5-ST-OC-HIL-RFI-0006</t>
  </si>
  <si>
    <t>P1000-K03205 – DP05 – REH-Wadi Yemm – Request for Information – Structure - 0006 - Basement Excavation For DP05</t>
  </si>
  <si>
    <t>HillInt-RFI-000967</t>
  </si>
  <si>
    <t>HillInt-RTRFI-001072</t>
  </si>
  <si>
    <t>REH-MD1-DP5-ST-OC-HIL-RFI-0007</t>
  </si>
  <si>
    <t>P1000-K03205 – DP05 – REH-Wadi Yemm – Request for Information – Structure - 0007 - Clarification on Structural Filling/Backfilling Material Requirements</t>
  </si>
  <si>
    <t>HillInt-RFI-000968</t>
  </si>
  <si>
    <t>HillInt-RTRFI-001194</t>
  </si>
  <si>
    <t>REH-MD1-DP5-ST-OC-HIL-RFI-0008</t>
  </si>
  <si>
    <t>P1000-K03205 – DP05 – REH-Wadi Yemm – Request for Information – Structure - 0008 - Clarification of Design Service Life Requirements for DP05 Structures</t>
  </si>
  <si>
    <t>HillInt-RFI-000969</t>
  </si>
  <si>
    <t>HillInt-RFI-000990</t>
  </si>
  <si>
    <t>REH-MD1-DP5-ST-OC-HIL-RFI-0009</t>
  </si>
  <si>
    <t>P1000-K03205 – DP05 – REH-Wadi Yemm – Request for Information – Structure - 0009 - Clarification of Waterproofing and Damp Proofing Typical Details</t>
  </si>
  <si>
    <t>HillInt-RFI-000970</t>
  </si>
  <si>
    <t>HillInt-RFI-000991</t>
  </si>
  <si>
    <t>REH-MD1-DP5-ST-OC-HIL-RFI-0010</t>
  </si>
  <si>
    <t>P1000-K03205 – DP05 – REH-Wadi Yemm – Request for Information – Structure - 0010 - Cluster A - Elevator pit and Sump-Pit dimensions and Location</t>
  </si>
  <si>
    <t>HillInt-RTRFI-001173</t>
  </si>
  <si>
    <t>REH-MD1-DP5-ST-OC-HIL-RFI-10-1</t>
  </si>
  <si>
    <t xml:space="preserve"> P1000-K03205 – DP05 – REH-Wadi Yemm – Request for Information – Structure - 0010 R1- Cluster A - Elevator pit and Sump-Pit dimensions and Location</t>
  </si>
  <si>
    <t>HillInt-GNC-003167</t>
  </si>
  <si>
    <t>REH-MD1-DP5-ST-OC-HIL-RFI-0011</t>
  </si>
  <si>
    <t>P1000-K03205 – DP05 – REH-Wadi Yemm – Request for Information – Structure - 0011 - Cove wall retaining system and the excavation for the branded resident village (area 1.3)</t>
  </si>
  <si>
    <t>HillInt-RFI-001075</t>
  </si>
  <si>
    <t>HillInt-RTRFI-001234</t>
  </si>
  <si>
    <t>REH-MD1-DP5-ST-OC-HIL-RFI-0012</t>
  </si>
  <si>
    <t>P1000-K03205 – DP05 – REH-Wadi Yemm – Request for Information – Structure - 0012 - proposed of Stirrups Punching Shear Reinforcement in Raft Foundation at cluster A -DP05</t>
  </si>
  <si>
    <t>HillInt-RFI-001073</t>
  </si>
  <si>
    <t>HillInt-RTRFI-001168</t>
  </si>
  <si>
    <t>REH-MD1-DP5-ST-OC-HIL-RFI-0013</t>
  </si>
  <si>
    <t>P1000-K03205 – DP05 – REH-Wadi Yemm – Request for Information – Structure - 0013 - Review Comments and Clarifications Required on DP05 Affiniti Draft GDR</t>
  </si>
  <si>
    <t>HillInt-RFI-001077</t>
  </si>
  <si>
    <t>HillInt-RTRFI-001192</t>
  </si>
  <si>
    <t>HillInt-GNC-004152</t>
  </si>
  <si>
    <t>REH-MD1-DP5-ST-OC-HIL-RFI-0014</t>
  </si>
  <si>
    <t>P1000-K03205 – DP05 – REH-Wadi Yemm – Request for Information – Structure - 0014 - Clarification on Retaining System details at Afiniti – Cove Side</t>
  </si>
  <si>
    <t>HillInt-RFI-001116</t>
  </si>
  <si>
    <t>REH-MD1-DP5-ST-OC-HIL-RFI-0015</t>
  </si>
  <si>
    <t>P1000-K03205 – DP05 – REH-Wadi Yemm – Request for Information – Structure - 0015 - Cluster B – Miss Coordination Between Arch &amp; STR</t>
  </si>
  <si>
    <t>HillInt-RFI-001178</t>
  </si>
  <si>
    <t>REH-MD1-DP5-ST-OC-HIL-RFI-0016</t>
  </si>
  <si>
    <t>P1000-K03205 – DP05 – REH-Wadi Yemm – Request for Information – Structure - 0016 - Cluster-A01&amp; Cluster-A02 Coordinates and Structure Foundation Clarification</t>
  </si>
  <si>
    <t>HillInt-GNC-003646</t>
  </si>
  <si>
    <t>HillInt-GNC-004014</t>
  </si>
  <si>
    <t>REH-MD1-DP5-ST-OC-HIL-RFI-0017</t>
  </si>
  <si>
    <t>FL To HILL: REH.08.26.3205-00-OCC-ZZ-FL-000017 – Response to Outstanding Submission of Soil Investigation and Borehole Test Results</t>
  </si>
  <si>
    <t>HillInt-RTRFI-001282</t>
  </si>
  <si>
    <t>REH-MD1-DP5-ST-OC-HIL-RFI-0018</t>
  </si>
  <si>
    <t>P1000-K03205 – DP05 – REH-Wadi Yemm – Request for Information – Structure - 0018 - AFINITI Excavation For DP05</t>
  </si>
  <si>
    <t>HillInt-RTRFI-001279</t>
  </si>
  <si>
    <t>REH-MD1-DP5-ST-OC-HIL-RFI-0019</t>
  </si>
  <si>
    <t xml:space="preserve">	P1000-K03205 – DP05 – REH-Wadi Yemm – Request for Information – Structure - 0019 - Clarification on Soil Replacement Requirements for the Remaining Part at F.F.L. +22.00</t>
  </si>
  <si>
    <t>HillInt-RTRFI-001280</t>
  </si>
  <si>
    <t>REH-MD1-DP5-ST-OC-HIL-RFI-0020</t>
  </si>
  <si>
    <t>P1000-K03205 – DP05 – REH-Wadi Yemm – Request for Information – Structure - 0020 - Review and Confirmation of Soil Replacement – Basement at Level +17.00 m - Part 3</t>
  </si>
  <si>
    <t>HillInt-RTRFI-001278</t>
  </si>
  <si>
    <t>REH-MD1-DP5-ST-OC-HIL-RFI-0021</t>
  </si>
  <si>
    <t>P1000-K03205 – DP05 – REH-Wadi Yemm – Request for Information – Structure - 0021 - Village Basement (Area 1.2) – Clashes Between STR &amp; ARCH</t>
  </si>
  <si>
    <t>HillInt-GNC-004171</t>
  </si>
  <si>
    <t>HillInt-GNC-004443</t>
  </si>
  <si>
    <t>REH-MD1-DP5-ST-OC-HIL-RFI-0022</t>
  </si>
  <si>
    <t xml:space="preserve">	P1000-K03205 – DP05 – REH-Wadi Yemm – Request for Information – Structure - 0022 - Village Basement (Area 1.2) – Sump Pit Location</t>
  </si>
  <si>
    <t>HillInt-GNC-004173</t>
  </si>
  <si>
    <t>HillInt-GNC-004568</t>
  </si>
  <si>
    <t>REH-MD1-DP5-ST-OC-HIL-RFI-0023</t>
  </si>
  <si>
    <t>P1000-K03205 – DP05 – REH-Wadi Yemm – Request for Information – Structure - 0023 - Review Comments and Clarifications Required on Structural Design of Columns and Foundations for Clusters A01, A02, and A04 - Village Area</t>
  </si>
  <si>
    <t>HillInt-GNC-004446</t>
  </si>
  <si>
    <t>REH-MD1-DP5-ST-OC-HIL-RFI-0024</t>
  </si>
  <si>
    <t>P1000-K03205 – DP05 – REH-Wadi Yemm – Request for Information – Structure - 0024 - Review Comments and Clarifications Required on Final GDR for DP05-DP01 and DP05-DP04 Interface Walls</t>
  </si>
  <si>
    <t>HillInt-GNC-004600</t>
  </si>
  <si>
    <t>REH-MD1-DP5-ST-OC-HIL-RFI-0025</t>
  </si>
  <si>
    <t>P1000-K03205 – DP05 – REH-Wadi Yemm – Request for Information – Structure - 0025 - Review Comments and Clarifications Required on DP05 Affiniti GDR – Addendum</t>
  </si>
  <si>
    <t>HillInt-GNC-004596</t>
  </si>
  <si>
    <t>REH-MD1-DP5-ST-OC-HIL-RFI-0026</t>
  </si>
  <si>
    <t>P1000-K03205 – DP05 – REH-Wadi Yemm – Request for Information – Structure - 0026 - Required geotechnical recommendations for the front part of Afiniti – near step (1)</t>
  </si>
  <si>
    <t>HillInt-GNC-004597</t>
  </si>
  <si>
    <t>REH-MD1-DP5-ST-OC-HIL-RFI-0027</t>
  </si>
  <si>
    <t>P1000-K03205 – DP05 – REH-Wadi Yemm – Request for Information – Structure - 0027 - Expansion Joint Location and Dimension Conflicts at Village Basement Level</t>
  </si>
  <si>
    <t xml:space="preserve">	REH-MD1-DP5-ME-OC-HIL-RFI-0001</t>
  </si>
  <si>
    <t>P1000-K03205 – DP05 – REH-Wadi Yemm – Request for Information – Mechanical - 0001 - Clarification for drainage system for clusters</t>
  </si>
  <si>
    <t>HillInt-RTRFI-001281</t>
  </si>
  <si>
    <t>Mail No2</t>
  </si>
  <si>
    <t>Mail No3</t>
  </si>
  <si>
    <t>Date4</t>
  </si>
  <si>
    <t>Mail No5</t>
  </si>
  <si>
    <t>Date6</t>
  </si>
  <si>
    <t>Mail No7</t>
  </si>
  <si>
    <t>Date8</t>
  </si>
  <si>
    <t>Mail No9</t>
  </si>
  <si>
    <t>Date10</t>
  </si>
  <si>
    <t>Mail No11</t>
  </si>
  <si>
    <t>Date12</t>
  </si>
  <si>
    <t>Status</t>
  </si>
  <si>
    <t>OPEN</t>
  </si>
  <si>
    <t>Notes</t>
  </si>
  <si>
    <t>HillInt-GNC-004687</t>
  </si>
  <si>
    <t>REH-MD1-DP5-ST-OC-HIL-RFI-0028</t>
  </si>
  <si>
    <t>P1000-K03205 – DP05 – REH-Wadi Yemm – Request for Information – Structure - 0028 - Comments on DP05 Afiniti Diaphragm Cliff Wall 3 - Reinforcement Details</t>
  </si>
  <si>
    <t>HillInt-GNC-004790</t>
  </si>
  <si>
    <t>HillInt-GNC-004388</t>
  </si>
  <si>
    <t>HillInt-GNC-004729</t>
  </si>
  <si>
    <t>P1000-K03205 – DP05 – REH-Wadi Yemm – Request for Information – Structure - 0029 - Request for Foundation Design Package - Afiniti Hotel</t>
  </si>
  <si>
    <t>REH-MD1-DP5-ST-OC-HIL-RFI-0029</t>
  </si>
  <si>
    <t>REH-MD1-DP5-ST-OC-HIL-RFI-0030</t>
  </si>
  <si>
    <t>P1000-K03205 – DP05 – REH-Wadi Yemm – Request for Information – Structure - 0030 - Conflicts Between Carnelia’s G.I.R. &amp; Carnelia’s Excavation IFC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</si>
</sst>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2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2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563C1"/>
      <name val="Calibri"/>
      <family val="2"/>
    </font>
    <font>
      <b/>
      <sz val="12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4"/>
      <color theme="2" tint="-0.749992370372631"/>
      <name val="Calibri"/>
      <family val="2"/>
    </font>
    <font>
      <b/>
      <sz val="14"/>
      <color theme="2" tint="-0.74999237037263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93B63"/>
      </patternFill>
    </fill>
    <fill>
      <patternFill patternType="solid">
        <fgColor rgb="FFD9EAF7"/>
      </patternFill>
    </fill>
    <fill>
      <patternFill patternType="solid">
        <fgColor rgb="FFEEF4FB"/>
      </patternFill>
    </fill>
    <fill>
      <patternFill patternType="solid">
        <fgColor rgb="FFB5538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gradientFill degree="90">
        <stop position="0">
          <color theme="0"/>
        </stop>
        <stop position="0.5">
          <color theme="2" tint="-0.49803155613879818"/>
        </stop>
        <stop position="1">
          <color theme="0"/>
        </stop>
      </gradient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0" xfId="0" applyFill="1"/>
    <xf numFmtId="0" fontId="0" fillId="4" borderId="7" xfId="0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4" borderId="0" xfId="0" applyFill="1" applyAlignment="1">
      <alignment wrapText="1"/>
    </xf>
    <xf numFmtId="15" fontId="4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/>
    </xf>
    <xf numFmtId="0" fontId="13" fillId="16" borderId="14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6" borderId="7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4" fillId="16" borderId="16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7" xfId="0" applyBorder="1"/>
    <xf numFmtId="0" fontId="5" fillId="6" borderId="1" xfId="0" applyFont="1" applyFill="1" applyBorder="1" applyAlignment="1">
      <alignment horizontal="center" vertical="center"/>
    </xf>
    <xf numFmtId="0" fontId="0" fillId="0" borderId="18" xfId="0" applyBorder="1"/>
    <xf numFmtId="0" fontId="24" fillId="17" borderId="4" xfId="0" applyFont="1" applyFill="1" applyBorder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5" fillId="17" borderId="4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0" fillId="0" borderId="20" xfId="0" applyBorder="1"/>
    <xf numFmtId="0" fontId="7" fillId="10" borderId="19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/>
    <xf numFmtId="0" fontId="19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8" fillId="15" borderId="19" xfId="0" applyFont="1" applyFill="1" applyBorder="1" applyAlignment="1">
      <alignment horizontal="center" vertical="center"/>
    </xf>
    <xf numFmtId="0" fontId="0" fillId="15" borderId="21" xfId="0" applyFill="1" applyBorder="1"/>
    <xf numFmtId="0" fontId="0" fillId="15" borderId="8" xfId="0" applyFill="1" applyBorder="1"/>
    <xf numFmtId="0" fontId="0" fillId="15" borderId="4" xfId="0" applyFill="1" applyBorder="1"/>
    <xf numFmtId="0" fontId="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5" borderId="14" xfId="0" applyFill="1" applyBorder="1"/>
    <xf numFmtId="0" fontId="0" fillId="15" borderId="9" xfId="0" applyFill="1" applyBorder="1"/>
    <xf numFmtId="164" fontId="0" fillId="8" borderId="23" xfId="0" applyNumberFormat="1" applyFill="1" applyBorder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4" fontId="0" fillId="9" borderId="23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8" xfId="0" applyFill="1" applyBorder="1"/>
    <xf numFmtId="0" fontId="0" fillId="10" borderId="7" xfId="0" applyFill="1" applyBorder="1"/>
    <xf numFmtId="0" fontId="21" fillId="17" borderId="4" xfId="0" applyFont="1" applyFill="1" applyBorder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22" fillId="17" borderId="4" xfId="0" applyFont="1" applyFill="1" applyBorder="1"/>
    <xf numFmtId="0" fontId="1" fillId="10" borderId="1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4" xfId="0" applyFill="1" applyBorder="1"/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 wrapText="1"/>
    </xf>
    <xf numFmtId="15" fontId="0" fillId="0" borderId="21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5" fontId="0" fillId="0" borderId="26" xfId="0" applyNumberForma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colors>
    <mruColors>
      <color rgb="FFB553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Structural</a:t>
            </a:r>
            <a:endParaRPr lang="en-US" sz="1800" b="0" i="0">
              <a:effectLst/>
            </a:endParaRPr>
          </a:p>
        </c:rich>
      </c:tx>
      <c:layout>
        <c:manualLayout>
          <c:xMode val="edge"/>
          <c:yMode val="edge"/>
          <c:x val="0.34837212403843099"/>
          <c:y val="2.7777654253261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Dashboard!$F$9:$F$12</c:f>
              <c:strCache>
                <c:ptCount val="4"/>
                <c:pt idx="0">
                  <c:v>ST</c:v>
                </c:pt>
                <c:pt idx="1">
                  <c:v>Total</c:v>
                </c:pt>
                <c:pt idx="2">
                  <c:v>Pending</c:v>
                </c:pt>
                <c:pt idx="3">
                  <c:v>Responded</c:v>
                </c:pt>
              </c:strCache>
            </c:strRef>
          </c:cat>
          <c:val>
            <c:numRef>
              <c:f>Dashboard!$G$9:$G$12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45B-4374-AF3D-C14668F392E5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Dashboard!$F$9:$F$12</c:f>
              <c:strCache>
                <c:ptCount val="4"/>
                <c:pt idx="0">
                  <c:v>ST</c:v>
                </c:pt>
                <c:pt idx="1">
                  <c:v>Total</c:v>
                </c:pt>
                <c:pt idx="2">
                  <c:v>Pending</c:v>
                </c:pt>
                <c:pt idx="3">
                  <c:v>Responded</c:v>
                </c:pt>
              </c:strCache>
            </c:strRef>
          </c:cat>
          <c:val>
            <c:numRef>
              <c:f>Dashboard!$H$9:$H$12</c:f>
              <c:numCache>
                <c:formatCode>General</c:formatCode>
                <c:ptCount val="4"/>
                <c:pt idx="1">
                  <c:v>32</c:v>
                </c:pt>
                <c:pt idx="2">
                  <c:v>9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B-4374-AF3D-C14668F392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290791263"/>
        <c:axId val="1334211567"/>
        <c:axId val="0"/>
      </c:bar3DChart>
      <c:catAx>
        <c:axId val="1290791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11567"/>
        <c:crosses val="autoZero"/>
        <c:auto val="1"/>
        <c:lblAlgn val="ctr"/>
        <c:lblOffset val="100"/>
        <c:noMultiLvlLbl val="0"/>
      </c:catAx>
      <c:valAx>
        <c:axId val="1334211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9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0" i="0">
                <a:effectLst/>
              </a:rPr>
              <a:t>Architectural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Dashboard!$C$9:$C$12</c:f>
              <c:strCache>
                <c:ptCount val="4"/>
                <c:pt idx="0">
                  <c:v>Arch</c:v>
                </c:pt>
                <c:pt idx="1">
                  <c:v>Total</c:v>
                </c:pt>
                <c:pt idx="2">
                  <c:v>Pending</c:v>
                </c:pt>
                <c:pt idx="3">
                  <c:v>Responded</c:v>
                </c:pt>
              </c:strCache>
            </c:strRef>
          </c:cat>
          <c:val>
            <c:numRef>
              <c:f>Dashboard!$D$9:$D$12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25E-470D-9845-DC57A342D10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Dashboard!$C$9:$C$12</c:f>
              <c:strCache>
                <c:ptCount val="4"/>
                <c:pt idx="0">
                  <c:v>Arch</c:v>
                </c:pt>
                <c:pt idx="1">
                  <c:v>Total</c:v>
                </c:pt>
                <c:pt idx="2">
                  <c:v>Pending</c:v>
                </c:pt>
                <c:pt idx="3">
                  <c:v>Responded</c:v>
                </c:pt>
              </c:strCache>
            </c:strRef>
          </c:cat>
          <c:val>
            <c:numRef>
              <c:f>Dashboard!$E$9:$E$12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E-470D-9845-DC57A342D1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3677839"/>
        <c:axId val="1334208687"/>
      </c:barChart>
      <c:catAx>
        <c:axId val="122367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08687"/>
        <c:crosses val="autoZero"/>
        <c:auto val="1"/>
        <c:lblAlgn val="ctr"/>
        <c:lblOffset val="100"/>
        <c:noMultiLvlLbl val="0"/>
      </c:catAx>
      <c:valAx>
        <c:axId val="133420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7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Mechanical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9519891474242"/>
          <c:y val="0.24713140337969219"/>
          <c:w val="0.32662862366923234"/>
          <c:h val="0.551350492975485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67-4AE6-A3B9-3F4C7093D5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67-4AE6-A3B9-3F4C7093D5F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Dashboard!$I$10:$I$12</c15:sqref>
                  </c15:fullRef>
                </c:ext>
              </c:extLst>
              <c:f>Dashboard!$I$11:$I$12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Dashboard!$J$10:$J$12</c15:sqref>
                  </c15:fullRef>
                </c:ext>
              </c:extLst>
              <c:f>Dashboard!$J$11:$J$12</c:f>
              <c:numCache>
                <c:formatCode>General</c:formatCode>
                <c:ptCount val="2"/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Dashboard!$J$10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849D-469C-9F8A-12A4C6BF564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67-4AE6-A3B9-3F4C7093D5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67-4AE6-A3B9-3F4C7093D5F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Dashboard!$I$10:$I$12</c15:sqref>
                  </c15:fullRef>
                </c:ext>
              </c:extLst>
              <c:f>Dashboard!$I$11:$I$12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Dashboard!$K$10:$K$12</c15:sqref>
                  </c15:fullRef>
                </c:ext>
              </c:extLst>
              <c:f>Dashboard!$K$11:$K$12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Dashboard!$K$10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849D-469C-9F8A-12A4C6BF5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5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495302</xdr:colOff>
      <xdr:row>0</xdr:row>
      <xdr:rowOff>191453</xdr:rowOff>
    </xdr:from>
    <xdr:to>
      <xdr:col>17</xdr:col>
      <xdr:colOff>352425</xdr:colOff>
      <xdr:row>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F9E642-28DD-74FF-DE25-7CC45CD1D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429577</xdr:colOff>
      <xdr:row>7</xdr:row>
      <xdr:rowOff>210504</xdr:rowOff>
    </xdr:from>
    <xdr:to>
      <xdr:col>17</xdr:col>
      <xdr:colOff>371475</xdr:colOff>
      <xdr:row>15</xdr:row>
      <xdr:rowOff>201931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58D7D9-A3FB-DE86-1777-288453A98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478156</xdr:colOff>
      <xdr:row>15</xdr:row>
      <xdr:rowOff>361950</xdr:rowOff>
    </xdr:from>
    <xdr:to>
      <xdr:col>17</xdr:col>
      <xdr:colOff>354330</xdr:colOff>
      <xdr:row>22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31422F-C5CB-510E-C461-DDDDB6805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618697</xdr:colOff>
      <xdr:row>0</xdr:row>
      <xdr:rowOff>371066</xdr:rowOff>
    </xdr:from>
    <xdr:to>
      <xdr:col>4</xdr:col>
      <xdr:colOff>45624</xdr:colOff>
      <xdr:row>1</xdr:row>
      <xdr:rowOff>848830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9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80304" y="371066"/>
          <a:ext cx="2869534" cy="9540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35158</xdr:colOff>
      <xdr:row>0</xdr:row>
      <xdr:rowOff>414886</xdr:rowOff>
    </xdr:from>
    <xdr:to>
      <xdr:col>8</xdr:col>
      <xdr:colOff>1142999</xdr:colOff>
      <xdr:row>1</xdr:row>
      <xdr:rowOff>739589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571864" y="414886"/>
          <a:ext cx="2318076" cy="81036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9</xdr:col>
      <xdr:colOff>1015349</xdr:colOff>
      <xdr:row>0</xdr:row>
      <xdr:rowOff>425823</xdr:rowOff>
    </xdr:from>
    <xdr:to>
      <xdr:col>11</xdr:col>
      <xdr:colOff>513342</xdr:colOff>
      <xdr:row>1</xdr:row>
      <xdr:rowOff>815437</xdr:rowOff>
    </xdr:to>
    <xdr:pic>
      <xdr:nvPicPr>
        <xdr:cNvPr id="2" name="Picture 1" descr="Hill International - Wikipedia">
          <a:extLst>
            <a:ext uri="{FF2B5EF4-FFF2-40B4-BE49-F238E27FC236}">
              <a16:creationId xmlns:a16="http://schemas.microsoft.com/office/drawing/2014/main" id="{F6D302F0-65D6-4C1E-83C1-09DDF82F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972525" y="425823"/>
          <a:ext cx="2230548" cy="867657"/>
        </a:xfrm>
        <a:prstGeom prst="rect">
          <a:avLst/>
        </a:prstGeom>
        <a:noFill/>
        <a:ln w="6350">
          <a:solidFill>
            <a:schemeClr val="tx1">
              <a:lumMod val="85000"/>
              <a:lumOff val="15000"/>
            </a:schemeClr>
          </a:solidFill>
          <a:prstDash val="solid"/>
        </a:ln>
        <a:effectLst>
          <a:glow rad="139700">
            <a:schemeClr val="bg2">
              <a:lumMod val="75000"/>
              <a:alpha val="40000"/>
            </a:schemeClr>
          </a:glow>
          <a:outerShdw blurRad="50800" dist="38100" dir="13500000" algn="b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491763</xdr:colOff>
      <xdr:row>0</xdr:row>
      <xdr:rowOff>324667</xdr:rowOff>
    </xdr:from>
    <xdr:to>
      <xdr:col>2</xdr:col>
      <xdr:colOff>132730</xdr:colOff>
      <xdr:row>1</xdr:row>
      <xdr:rowOff>844459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B56FB0C-5CC6-46D2-9704-0C13B0A8E8B6}"/>
            </a:ext>
          </a:extLst>
        </xdr:cNvPr>
        <xdr:cNvPicPr/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1763" y="324667"/>
          <a:ext cx="2702574" cy="996042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bg2">
              <a:lumMod val="10000"/>
            </a:schemeClr>
          </a:solidFill>
          <a:miter lim="800000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1009810</xdr:colOff>
      <xdr:row>0</xdr:row>
      <xdr:rowOff>422013</xdr:rowOff>
    </xdr:from>
    <xdr:to>
      <xdr:col>11</xdr:col>
      <xdr:colOff>593911</xdr:colOff>
      <xdr:row>1</xdr:row>
      <xdr:rowOff>777240</xdr:rowOff>
    </xdr:to>
    <xdr:pic>
      <xdr:nvPicPr>
        <xdr:cNvPr id="3" name="Picture 2" descr="Hill International - Wikipedia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35192" y="422013"/>
          <a:ext cx="2307131" cy="827555"/>
        </a:xfrm>
        <a:prstGeom prst="rect">
          <a:avLst/>
        </a:prstGeom>
        <a:noFill/>
        <a:ln w="3175">
          <a:solidFill>
            <a:schemeClr val="tx1">
              <a:lumMod val="85000"/>
              <a:lumOff val="15000"/>
            </a:schemeClr>
          </a:solidFill>
          <a:prstDash val="solid"/>
        </a:ln>
        <a:effectLst>
          <a:glow rad="139700">
            <a:schemeClr val="bg2">
              <a:lumMod val="75000"/>
              <a:alpha val="40000"/>
            </a:schemeClr>
          </a:glow>
          <a:outerShdw blurRad="50800" dist="38100" dir="13500000" algn="b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495205</xdr:colOff>
      <xdr:row>0</xdr:row>
      <xdr:rowOff>282211</xdr:rowOff>
    </xdr:from>
    <xdr:to>
      <xdr:col>4</xdr:col>
      <xdr:colOff>644530</xdr:colOff>
      <xdr:row>1</xdr:row>
      <xdr:rowOff>911677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AF74F-3483-4CEA-9964-D20C36B97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11241" y="282211"/>
          <a:ext cx="2816325" cy="11057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96773</xdr:colOff>
      <xdr:row>0</xdr:row>
      <xdr:rowOff>456735</xdr:rowOff>
    </xdr:from>
    <xdr:to>
      <xdr:col>9</xdr:col>
      <xdr:colOff>168010</xdr:colOff>
      <xdr:row>1</xdr:row>
      <xdr:rowOff>688105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10660F-8955-4290-9A8E-CF17CD836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321430" y="456735"/>
          <a:ext cx="2478341" cy="69945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405840</xdr:colOff>
      <xdr:row>0</xdr:row>
      <xdr:rowOff>340177</xdr:rowOff>
    </xdr:from>
    <xdr:to>
      <xdr:col>3</xdr:col>
      <xdr:colOff>1903</xdr:colOff>
      <xdr:row>1</xdr:row>
      <xdr:rowOff>799010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AF1DD27F-F881-4185-B5F8-3B3705E738AA}"/>
            </a:ext>
          </a:extLst>
        </xdr:cNvPr>
        <xdr:cNvPicPr/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5840" y="340177"/>
          <a:ext cx="2706384" cy="935083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bg2">
              <a:lumMod val="10000"/>
            </a:schemeClr>
          </a:solidFill>
          <a:miter lim="800000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782926</xdr:colOff>
      <xdr:row>0</xdr:row>
      <xdr:rowOff>295931</xdr:rowOff>
    </xdr:from>
    <xdr:to>
      <xdr:col>4</xdr:col>
      <xdr:colOff>940686</xdr:colOff>
      <xdr:row>1</xdr:row>
      <xdr:rowOff>855457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89462" y="295931"/>
          <a:ext cx="2824760" cy="10357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125163</xdr:colOff>
      <xdr:row>0</xdr:row>
      <xdr:rowOff>381380</xdr:rowOff>
    </xdr:from>
    <xdr:to>
      <xdr:col>9</xdr:col>
      <xdr:colOff>156883</xdr:colOff>
      <xdr:row>1</xdr:row>
      <xdr:rowOff>683255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135192" y="381380"/>
          <a:ext cx="2810779" cy="78372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9</xdr:col>
      <xdr:colOff>1086972</xdr:colOff>
      <xdr:row>0</xdr:row>
      <xdr:rowOff>358589</xdr:rowOff>
    </xdr:from>
    <xdr:to>
      <xdr:col>11</xdr:col>
      <xdr:colOff>715271</xdr:colOff>
      <xdr:row>1</xdr:row>
      <xdr:rowOff>806823</xdr:rowOff>
    </xdr:to>
    <xdr:pic>
      <xdr:nvPicPr>
        <xdr:cNvPr id="2" name="Picture 1" descr="Hill International - Wikipedia">
          <a:extLst>
            <a:ext uri="{FF2B5EF4-FFF2-40B4-BE49-F238E27FC236}">
              <a16:creationId xmlns:a16="http://schemas.microsoft.com/office/drawing/2014/main" id="{9DCEB8AA-0909-4042-BBC9-0A3B9E9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876060" y="358589"/>
          <a:ext cx="2351329" cy="930087"/>
        </a:xfrm>
        <a:prstGeom prst="rect">
          <a:avLst/>
        </a:prstGeom>
        <a:noFill/>
        <a:ln w="6350">
          <a:solidFill>
            <a:schemeClr val="tx1">
              <a:lumMod val="85000"/>
              <a:lumOff val="15000"/>
            </a:schemeClr>
          </a:solidFill>
          <a:prstDash val="solid"/>
        </a:ln>
        <a:effectLst>
          <a:glow rad="139700">
            <a:schemeClr val="bg2">
              <a:lumMod val="75000"/>
              <a:alpha val="40000"/>
            </a:schemeClr>
          </a:glow>
          <a:outerShdw blurRad="50800" dist="38100" dir="13500000" algn="b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601723</xdr:colOff>
      <xdr:row>0</xdr:row>
      <xdr:rowOff>330959</xdr:rowOff>
    </xdr:from>
    <xdr:to>
      <xdr:col>2</xdr:col>
      <xdr:colOff>676547</xdr:colOff>
      <xdr:row>1</xdr:row>
      <xdr:rowOff>845549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4F9EDCB-3E36-49CA-9454-7C45D6438FEB}"/>
            </a:ext>
          </a:extLst>
        </xdr:cNvPr>
        <xdr:cNvPicPr/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723" y="330959"/>
          <a:ext cx="2605753" cy="990840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bg2">
              <a:lumMod val="10000"/>
            </a:schemeClr>
          </a:solidFill>
          <a:miter lim="800000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99B1C4-0F4D-4E8F-AB98-27F447C78655}" name="Table2" displayName="Table2" ref="A4:R7" totalsRowShown="0" dataDxfId="27">
  <autoFilter ref="A4:R7" xr:uid="{B299B1C4-0F4D-4E8F-AB98-27F447C78655}"/>
  <tableColumns count="18">
    <tableColumn id="1" xr3:uid="{CA59F98F-267A-48EE-8550-5EE6948B6608}" name="Mail No" dataDxfId="26"/>
    <tableColumn id="2" xr3:uid="{7172302F-F521-49F7-B5EF-FE6C3FB7A3B3}" name="Mail No2" dataDxfId="25"/>
    <tableColumn id="3" xr3:uid="{06A561E6-7610-40FF-A688-9FFC6A49EDB1}" name="REV" dataDxfId="24"/>
    <tableColumn id="4" xr3:uid="{0DEB6DA9-690F-4E05-B462-4F5DE66D0BDE}" name="RFI No" dataDxfId="23"/>
    <tableColumn id="5" xr3:uid="{82795897-94FE-4BA0-978C-AFBC98ACB12D}" name="Subject" dataDxfId="22"/>
    <tableColumn id="6" xr3:uid="{720DAB81-7AC6-4254-9905-10A81E80A156}" name="Date" dataDxfId="21"/>
    <tableColumn id="7" xr3:uid="{BAC8D478-9A6D-40D1-B207-BCE3512A1801}" name="Mail No3" dataDxfId="20"/>
    <tableColumn id="8" xr3:uid="{77D0BB80-A3C6-4729-BB51-40936E200552}" name="Date4" dataDxfId="19"/>
    <tableColumn id="9" xr3:uid="{AE6A5B3B-FA45-4421-9B9F-F19290FEA821}" name="Mail No5" dataDxfId="18"/>
    <tableColumn id="10" xr3:uid="{FCEEB81B-F0EB-4E47-A27E-3F908DB25059}" name="Date6" dataDxfId="17"/>
    <tableColumn id="11" xr3:uid="{28D502AD-9A71-43EC-9B51-8A36C0553DFC}" name="Mail No7" dataDxfId="16"/>
    <tableColumn id="12" xr3:uid="{813CD518-A9FF-4105-894F-D1ADB3D66C02}" name="Date8" dataDxfId="15"/>
    <tableColumn id="13" xr3:uid="{A36D345E-FA81-491C-8CD3-FC7F9D6CAE06}" name="Mail No9" dataDxfId="14"/>
    <tableColumn id="14" xr3:uid="{BB8CF36D-05B3-4F85-BBC5-913AF6E33DDA}" name="Date10" dataDxfId="13"/>
    <tableColumn id="15" xr3:uid="{2D2E87E1-191D-43B7-AD51-6E0F4EC40F85}" name="Mail No11" dataDxfId="12"/>
    <tableColumn id="16" xr3:uid="{C6DE9BEC-6166-4761-AEF1-AD61839A4F1B}" name="Date12" dataDxfId="11"/>
    <tableColumn id="17" xr3:uid="{F004A2B6-52C9-45C3-83BE-E7A9D10D541B}" name="Status" dataDxfId="10"/>
    <tableColumn id="18" xr3:uid="{C0B39957-FA20-4825-BAF0-CD1AD6DAED24}" name="Notes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CAC5A-E77E-417B-A55A-CF5A701A9BC2}" name="Table1" displayName="Table1" ref="A4:R36" totalsRowShown="0" dataDxfId="46">
  <autoFilter ref="A4:R36" xr:uid="{FCCCAC5A-E77E-417B-A55A-CF5A701A9BC2}"/>
  <tableColumns count="18">
    <tableColumn id="1" xr3:uid="{F0820FCB-8931-42E2-BD7C-7629D15A00F2}" name="Mail No" dataDxfId="45"/>
    <tableColumn id="2" xr3:uid="{C77B3815-2518-4318-8B73-AA2048C86D3A}" name="Mail No2" dataDxfId="44"/>
    <tableColumn id="3" xr3:uid="{99692D07-5CFE-4106-B9D9-51E8EC10FD98}" name="REV" dataDxfId="43"/>
    <tableColumn id="4" xr3:uid="{C16A33F4-A5C6-49CB-BA37-32425115359A}" name="RFI No" dataDxfId="42"/>
    <tableColumn id="5" xr3:uid="{393FAB44-02DD-4751-9E55-C5C1082A1B12}" name="Subject" dataDxfId="41"/>
    <tableColumn id="6" xr3:uid="{CBBFE402-BF7C-41BD-AE84-0B6EADA8CFCE}" name="Date" dataDxfId="40"/>
    <tableColumn id="7" xr3:uid="{7D76CD82-7A6C-4DB4-97AB-1DD814290E20}" name="Mail No3" dataDxfId="39"/>
    <tableColumn id="8" xr3:uid="{5B6FE8B3-41D3-46D8-96DA-8085651047FB}" name="Date4" dataDxfId="38"/>
    <tableColumn id="9" xr3:uid="{3205CB8B-2B2D-4D83-8CA0-D6998E8C97E4}" name="Mail No5" dataDxfId="37"/>
    <tableColumn id="10" xr3:uid="{85392195-D1CF-4B93-9FE8-3CF64A492CDC}" name="Date6" dataDxfId="36"/>
    <tableColumn id="11" xr3:uid="{4B3795C3-97F8-4F02-9364-20F44346ABFD}" name="Mail No7" dataDxfId="35"/>
    <tableColumn id="12" xr3:uid="{2E65F909-53E6-4A72-81FD-37A41F85FF5D}" name="Date8" dataDxfId="34"/>
    <tableColumn id="13" xr3:uid="{0CC60B10-1A5A-4BB4-B54B-368624E8BEE3}" name="Mail No9" dataDxfId="33"/>
    <tableColumn id="14" xr3:uid="{6832266F-83E0-4299-87A4-5449D8680F18}" name="Date10" dataDxfId="32"/>
    <tableColumn id="15" xr3:uid="{82BBD524-C914-4D16-B9A0-BF9878392A8A}" name="Mail No11" dataDxfId="31"/>
    <tableColumn id="16" xr3:uid="{D14F6A67-0BBC-47CF-B73F-D35081E84BCF}" name="Date12" dataDxfId="30"/>
    <tableColumn id="17" xr3:uid="{28E5A3BE-5DF4-471B-BB6C-A5C1F571A295}" name="Status" dataDxfId="29"/>
    <tableColumn id="18" xr3:uid="{45335097-A1CF-40F8-A04C-16E9EE8BAFDD}" name="Notes" dataDxfId="2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a.aconex.com/ViewCorrespondence?Correspondence_ID=1849297120&amp;CORRESPONDENCE_MAILBOX=5&amp;PROJECT_ID=1744833878&amp;RETURN_URL=%2Frsrc%2F20260818.0611%2Fen_AU_DOC%2FmailSearch%2FCorrespondenceSearch.html%3Fmailbox%3DALLBOX&amp;index=0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36"/>
  <sheetViews>
    <sheetView showGridLines="0" zoomScale="115" zoomScaleNormal="115" workbookViewId="0">
      <selection activeCell="S9" sqref="S9"/>
    </sheetView>
  </sheetViews>
  <sheetFormatPr defaultRowHeight="14.4" x14ac:dyDescent="0.3"/>
  <cols>
    <col min="2" max="2" width="4" customWidth="1"/>
    <col min="3" max="3" width="8.88671875" customWidth="1"/>
    <col min="4" max="4" width="11" customWidth="1"/>
    <col min="5" max="5" width="8.5546875" customWidth="1"/>
    <col min="6" max="6" width="9.77734375" customWidth="1"/>
    <col min="7" max="7" width="12.109375" customWidth="1"/>
    <col min="8" max="8" width="10.88671875" customWidth="1"/>
    <col min="9" max="9" width="12.5546875" customWidth="1"/>
    <col min="10" max="10" width="4" customWidth="1"/>
    <col min="11" max="11" width="8.6640625" customWidth="1"/>
    <col min="12" max="12" width="4.33203125" hidden="1" customWidth="1"/>
    <col min="15" max="15" width="12.77734375" customWidth="1"/>
    <col min="16" max="16" width="13.21875" customWidth="1"/>
    <col min="18" max="18" width="12.77734375" customWidth="1"/>
    <col min="19" max="19" width="15.109375" customWidth="1"/>
  </cols>
  <sheetData>
    <row r="1" spans="3:12" ht="22.05" customHeight="1" x14ac:dyDescent="0.3"/>
    <row r="2" spans="3:12" ht="22.05" customHeight="1" x14ac:dyDescent="0.3">
      <c r="C2" s="93" t="s">
        <v>30</v>
      </c>
      <c r="D2" s="94"/>
      <c r="E2" s="94"/>
      <c r="F2" s="94"/>
      <c r="G2" s="94"/>
      <c r="H2" s="94"/>
      <c r="I2" s="94"/>
      <c r="J2" s="94"/>
      <c r="K2" s="94"/>
      <c r="L2" s="94"/>
    </row>
    <row r="3" spans="3:12" ht="22.05" customHeight="1" x14ac:dyDescent="0.3"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3:12" ht="22.05" customHeight="1" x14ac:dyDescent="0.3">
      <c r="C4" s="104" t="s">
        <v>31</v>
      </c>
      <c r="D4" s="104"/>
      <c r="E4" s="104"/>
      <c r="F4" s="103" t="s">
        <v>32</v>
      </c>
      <c r="G4" s="103"/>
      <c r="H4" s="103"/>
      <c r="I4" s="87" t="s">
        <v>33</v>
      </c>
      <c r="J4" s="88"/>
      <c r="K4" s="88"/>
      <c r="L4" s="89"/>
    </row>
    <row r="5" spans="3:12" ht="22.05" customHeight="1" x14ac:dyDescent="0.3">
      <c r="C5" s="104"/>
      <c r="D5" s="104"/>
      <c r="E5" s="104"/>
      <c r="F5" s="103"/>
      <c r="G5" s="103"/>
      <c r="H5" s="103"/>
      <c r="I5" s="90"/>
      <c r="J5" s="91"/>
      <c r="K5" s="91"/>
      <c r="L5" s="92"/>
    </row>
    <row r="6" spans="3:12" ht="22.05" customHeight="1" x14ac:dyDescent="0.3">
      <c r="C6" s="99">
        <f>SUM(E15:E17)</f>
        <v>36</v>
      </c>
      <c r="D6" s="100"/>
      <c r="E6" s="100"/>
      <c r="F6" s="99">
        <f>SUM(F15:F17)</f>
        <v>12</v>
      </c>
      <c r="G6" s="100"/>
      <c r="H6" s="100"/>
      <c r="I6" s="99">
        <f>SUM(G15:G17)</f>
        <v>24</v>
      </c>
      <c r="J6" s="100"/>
      <c r="K6" s="100"/>
      <c r="L6" s="105"/>
    </row>
    <row r="7" spans="3:12" ht="22.05" customHeight="1" x14ac:dyDescent="0.3">
      <c r="C7" s="101"/>
      <c r="D7" s="102"/>
      <c r="E7" s="102"/>
      <c r="F7" s="101"/>
      <c r="G7" s="102"/>
      <c r="H7" s="102"/>
      <c r="I7" s="101"/>
      <c r="J7" s="102"/>
      <c r="K7" s="102"/>
      <c r="L7" s="106"/>
    </row>
    <row r="8" spans="3:12" ht="22.05" customHeight="1" x14ac:dyDescent="0.3"/>
    <row r="9" spans="3:12" ht="22.05" customHeight="1" x14ac:dyDescent="0.3">
      <c r="C9" s="97" t="s">
        <v>39</v>
      </c>
      <c r="D9" s="98"/>
      <c r="E9" s="98"/>
      <c r="F9" s="97" t="s">
        <v>40</v>
      </c>
      <c r="G9" s="98"/>
      <c r="H9" s="98"/>
      <c r="I9" s="97" t="s">
        <v>41</v>
      </c>
      <c r="J9" s="98"/>
      <c r="K9" s="98"/>
    </row>
    <row r="10" spans="3:12" ht="22.05" customHeight="1" x14ac:dyDescent="0.3">
      <c r="C10" s="95" t="s">
        <v>35</v>
      </c>
      <c r="D10" s="96"/>
      <c r="E10" s="45">
        <f>E15</f>
        <v>3</v>
      </c>
      <c r="F10" s="95" t="s">
        <v>35</v>
      </c>
      <c r="G10" s="96"/>
      <c r="H10" s="45">
        <f>E16</f>
        <v>32</v>
      </c>
      <c r="I10" s="95" t="s">
        <v>35</v>
      </c>
      <c r="J10" s="96"/>
      <c r="K10" s="45">
        <f>E17</f>
        <v>1</v>
      </c>
    </row>
    <row r="11" spans="3:12" ht="22.05" customHeight="1" x14ac:dyDescent="0.3">
      <c r="C11" s="95" t="s">
        <v>36</v>
      </c>
      <c r="D11" s="96"/>
      <c r="E11" s="46">
        <f>F15</f>
        <v>3</v>
      </c>
      <c r="F11" s="95" t="s">
        <v>36</v>
      </c>
      <c r="G11" s="96"/>
      <c r="H11" s="46">
        <f>F16</f>
        <v>9</v>
      </c>
      <c r="I11" s="95" t="s">
        <v>36</v>
      </c>
      <c r="J11" s="96"/>
      <c r="K11" s="46">
        <f>F17</f>
        <v>0</v>
      </c>
    </row>
    <row r="12" spans="3:12" ht="22.05" customHeight="1" x14ac:dyDescent="0.3">
      <c r="C12" s="95" t="s">
        <v>37</v>
      </c>
      <c r="D12" s="96"/>
      <c r="E12" s="47">
        <f>G15</f>
        <v>0</v>
      </c>
      <c r="F12" s="95" t="s">
        <v>37</v>
      </c>
      <c r="G12" s="96"/>
      <c r="H12" s="47">
        <f>G16</f>
        <v>23</v>
      </c>
      <c r="I12" s="95" t="s">
        <v>37</v>
      </c>
      <c r="J12" s="96"/>
      <c r="K12" s="47">
        <f>G17</f>
        <v>1</v>
      </c>
    </row>
    <row r="13" spans="3:12" ht="22.05" customHeight="1" x14ac:dyDescent="0.3"/>
    <row r="14" spans="3:12" ht="22.05" customHeight="1" x14ac:dyDescent="0.3">
      <c r="D14" s="44" t="s">
        <v>34</v>
      </c>
      <c r="E14" s="44" t="s">
        <v>35</v>
      </c>
      <c r="F14" s="44" t="s">
        <v>36</v>
      </c>
      <c r="G14" s="44" t="s">
        <v>37</v>
      </c>
      <c r="H14" s="109" t="s">
        <v>38</v>
      </c>
      <c r="I14" s="110"/>
    </row>
    <row r="15" spans="3:12" ht="22.05" customHeight="1" x14ac:dyDescent="0.3">
      <c r="D15" s="48" t="s">
        <v>39</v>
      </c>
      <c r="E15" s="49">
        <f>Arch!$R$1</f>
        <v>3</v>
      </c>
      <c r="F15" s="49">
        <f>Arch!$R$3</f>
        <v>3</v>
      </c>
      <c r="G15" s="49">
        <f>Arch!$R$2</f>
        <v>0</v>
      </c>
      <c r="H15" s="107">
        <f>IFERROR(G15/E15,0)</f>
        <v>0</v>
      </c>
      <c r="I15" s="108"/>
    </row>
    <row r="16" spans="3:12" ht="30" customHeight="1" x14ac:dyDescent="0.3">
      <c r="D16" s="50" t="s">
        <v>40</v>
      </c>
      <c r="E16" s="51">
        <f>ST!$R$1</f>
        <v>32</v>
      </c>
      <c r="F16" s="51">
        <f>ST!$R$3</f>
        <v>9</v>
      </c>
      <c r="G16" s="51">
        <f>ST!$R$2</f>
        <v>23</v>
      </c>
      <c r="H16" s="111">
        <f>IFERROR(G16/E16,0)</f>
        <v>0.71875</v>
      </c>
      <c r="I16" s="112"/>
    </row>
    <row r="17" spans="4:9" ht="30" customHeight="1" x14ac:dyDescent="0.3">
      <c r="D17" s="48" t="s">
        <v>41</v>
      </c>
      <c r="E17" s="49">
        <f>ME!$R$1</f>
        <v>1</v>
      </c>
      <c r="F17" s="49">
        <f>ME!$R$3</f>
        <v>0</v>
      </c>
      <c r="G17" s="49">
        <f>ME!$R$2</f>
        <v>1</v>
      </c>
      <c r="H17" s="107">
        <f>IFERROR(G17/E17,0)</f>
        <v>1</v>
      </c>
      <c r="I17" s="108"/>
    </row>
    <row r="18" spans="4:9" ht="29.4" customHeight="1" x14ac:dyDescent="0.3">
      <c r="D18" s="44" t="s">
        <v>42</v>
      </c>
      <c r="E18" s="44">
        <f>SUM(E15:E17)</f>
        <v>36</v>
      </c>
      <c r="F18" s="44">
        <f>SUM(F15:F17)</f>
        <v>12</v>
      </c>
      <c r="G18" s="44">
        <f>SUM(G15:G17)</f>
        <v>24</v>
      </c>
      <c r="H18" s="113">
        <f>IFERROR(G18/E18,0)</f>
        <v>0.66666666666666663</v>
      </c>
      <c r="I18" s="114"/>
    </row>
    <row r="19" spans="4:9" ht="30" customHeight="1" x14ac:dyDescent="0.3"/>
    <row r="20" spans="4:9" ht="22.05" customHeight="1" x14ac:dyDescent="0.3"/>
    <row r="21" spans="4:9" ht="22.05" customHeight="1" x14ac:dyDescent="0.3"/>
    <row r="22" spans="4:9" ht="22.05" customHeight="1" x14ac:dyDescent="0.3"/>
    <row r="23" spans="4:9" ht="22.05" customHeight="1" x14ac:dyDescent="0.3"/>
    <row r="24" spans="4:9" ht="22.05" customHeight="1" x14ac:dyDescent="0.3"/>
    <row r="25" spans="4:9" ht="22.05" customHeight="1" x14ac:dyDescent="0.3"/>
    <row r="26" spans="4:9" ht="22.05" customHeight="1" x14ac:dyDescent="0.3"/>
    <row r="27" spans="4:9" ht="22.05" customHeight="1" x14ac:dyDescent="0.3"/>
    <row r="28" spans="4:9" ht="22.05" customHeight="1" x14ac:dyDescent="0.3"/>
    <row r="29" spans="4:9" ht="22.05" customHeight="1" x14ac:dyDescent="0.3"/>
    <row r="30" spans="4:9" ht="22.05" customHeight="1" x14ac:dyDescent="0.3"/>
    <row r="31" spans="4:9" ht="22.05" customHeight="1" x14ac:dyDescent="0.3"/>
    <row r="32" spans="4:9" ht="22.0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</sheetData>
  <mergeCells count="24">
    <mergeCell ref="H15:I15"/>
    <mergeCell ref="H14:I14"/>
    <mergeCell ref="H16:I16"/>
    <mergeCell ref="H17:I17"/>
    <mergeCell ref="H18:I18"/>
    <mergeCell ref="F12:G12"/>
    <mergeCell ref="F11:G11"/>
    <mergeCell ref="F9:H9"/>
    <mergeCell ref="I10:J10"/>
    <mergeCell ref="C12:D12"/>
    <mergeCell ref="I12:J12"/>
    <mergeCell ref="I4:L5"/>
    <mergeCell ref="C2:L3"/>
    <mergeCell ref="C11:D11"/>
    <mergeCell ref="C9:E9"/>
    <mergeCell ref="F10:G10"/>
    <mergeCell ref="I11:J11"/>
    <mergeCell ref="I9:K9"/>
    <mergeCell ref="F6:H7"/>
    <mergeCell ref="C6:E7"/>
    <mergeCell ref="F4:H5"/>
    <mergeCell ref="C4:E5"/>
    <mergeCell ref="I6:L7"/>
    <mergeCell ref="C10:D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view="pageBreakPreview" topLeftCell="B1" zoomScale="70" zoomScaleNormal="100" zoomScaleSheetLayoutView="70" workbookViewId="0">
      <pane ySplit="4" topLeftCell="A5" activePane="bottomLeft" state="frozen"/>
      <selection pane="bottomLeft" activeCell="D6" sqref="D6"/>
    </sheetView>
  </sheetViews>
  <sheetFormatPr defaultRowHeight="14.4" x14ac:dyDescent="0.3"/>
  <cols>
    <col min="1" max="1" width="25.109375" style="2" hidden="1" customWidth="1"/>
    <col min="2" max="2" width="44.6640625" style="2" customWidth="1"/>
    <col min="3" max="3" width="11.33203125" style="2" customWidth="1"/>
    <col min="4" max="4" width="38.88671875" style="2" customWidth="1"/>
    <col min="5" max="5" width="67" style="2" customWidth="1"/>
    <col min="6" max="10" width="17.6640625" style="2" customWidth="1"/>
    <col min="11" max="11" width="22.109375" style="2" customWidth="1"/>
    <col min="12" max="12" width="17.6640625" style="2" customWidth="1"/>
    <col min="13" max="14" width="17.6640625" style="2" hidden="1" customWidth="1"/>
    <col min="15" max="15" width="19.33203125" style="2" hidden="1" customWidth="1"/>
    <col min="16" max="16" width="17.6640625" style="2" hidden="1" customWidth="1"/>
    <col min="17" max="17" width="17.5546875" style="2" customWidth="1"/>
    <col min="18" max="18" width="27" style="22" customWidth="1"/>
  </cols>
  <sheetData>
    <row r="1" spans="1:18" ht="37.200000000000003" customHeight="1" x14ac:dyDescent="0.3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4" t="s">
        <v>1</v>
      </c>
      <c r="R1" s="3">
        <f>COUNTA(Q$5:Q$1048576)</f>
        <v>3</v>
      </c>
    </row>
    <row r="2" spans="1:18" ht="87" customHeight="1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5" t="s">
        <v>2</v>
      </c>
      <c r="R2" s="16">
        <f>COUNTIF(Q$5:Q$1048576,"Response ")</f>
        <v>0</v>
      </c>
    </row>
    <row r="3" spans="1:18" ht="40.950000000000003" customHeight="1" x14ac:dyDescent="0.3">
      <c r="A3" s="32" t="s">
        <v>3</v>
      </c>
      <c r="B3" s="65"/>
      <c r="C3" s="115" t="s">
        <v>4</v>
      </c>
      <c r="D3" s="116"/>
      <c r="E3" s="116"/>
      <c r="F3" s="117"/>
      <c r="G3" s="121" t="s">
        <v>43</v>
      </c>
      <c r="H3" s="117"/>
      <c r="I3" s="121" t="s">
        <v>6</v>
      </c>
      <c r="J3" s="117"/>
      <c r="K3" s="115" t="s">
        <v>7</v>
      </c>
      <c r="L3" s="117"/>
      <c r="M3" s="77" t="s">
        <v>8</v>
      </c>
      <c r="N3" s="78"/>
      <c r="O3" s="77" t="s">
        <v>9</v>
      </c>
      <c r="P3" s="78"/>
      <c r="Q3" s="15" t="s">
        <v>10</v>
      </c>
      <c r="R3" s="16">
        <f>COUNTIF(Q$5:Q$1048576,"OPEN")</f>
        <v>3</v>
      </c>
    </row>
    <row r="4" spans="1:18" ht="59.4" customHeight="1" x14ac:dyDescent="0.3">
      <c r="A4" s="17" t="s">
        <v>11</v>
      </c>
      <c r="B4" s="66" t="s">
        <v>155</v>
      </c>
      <c r="C4" s="66" t="s">
        <v>12</v>
      </c>
      <c r="D4" s="67" t="s">
        <v>13</v>
      </c>
      <c r="E4" s="67" t="s">
        <v>14</v>
      </c>
      <c r="F4" s="69" t="s">
        <v>15</v>
      </c>
      <c r="G4" s="66" t="s">
        <v>156</v>
      </c>
      <c r="H4" s="69" t="s">
        <v>157</v>
      </c>
      <c r="I4" s="66" t="s">
        <v>158</v>
      </c>
      <c r="J4" s="69" t="s">
        <v>159</v>
      </c>
      <c r="K4" s="70" t="s">
        <v>160</v>
      </c>
      <c r="L4" s="71" t="s">
        <v>161</v>
      </c>
      <c r="M4" s="72" t="s">
        <v>162</v>
      </c>
      <c r="N4" s="71" t="s">
        <v>163</v>
      </c>
      <c r="O4" s="72" t="s">
        <v>164</v>
      </c>
      <c r="P4" s="71" t="s">
        <v>165</v>
      </c>
      <c r="Q4" s="73" t="s">
        <v>166</v>
      </c>
      <c r="R4" s="73" t="s">
        <v>168</v>
      </c>
    </row>
    <row r="5" spans="1:18" s="12" customFormat="1" ht="46.2" customHeight="1" x14ac:dyDescent="0.3">
      <c r="A5" s="11" t="s">
        <v>16</v>
      </c>
      <c r="B5" s="52" t="s">
        <v>17</v>
      </c>
      <c r="C5" s="24">
        <v>0</v>
      </c>
      <c r="D5" s="52" t="s">
        <v>17</v>
      </c>
      <c r="E5" s="52" t="s">
        <v>18</v>
      </c>
      <c r="F5" s="27">
        <v>46266</v>
      </c>
      <c r="G5" s="27" t="s">
        <v>19</v>
      </c>
      <c r="H5" s="27">
        <v>46267</v>
      </c>
      <c r="I5" s="27"/>
      <c r="J5" s="27"/>
      <c r="K5" s="24"/>
      <c r="L5" s="27"/>
      <c r="M5" s="53"/>
      <c r="N5" s="54"/>
      <c r="O5" s="55"/>
      <c r="P5" s="56"/>
      <c r="Q5" s="57" t="s">
        <v>10</v>
      </c>
      <c r="R5" s="75" t="s">
        <v>20</v>
      </c>
    </row>
    <row r="6" spans="1:18" s="12" customFormat="1" ht="90" customHeight="1" x14ac:dyDescent="0.3">
      <c r="A6" s="13" t="s">
        <v>22</v>
      </c>
      <c r="B6" s="52" t="s">
        <v>23</v>
      </c>
      <c r="C6" s="24">
        <v>0</v>
      </c>
      <c r="D6" s="52" t="s">
        <v>23</v>
      </c>
      <c r="E6" s="64" t="s">
        <v>24</v>
      </c>
      <c r="F6" s="59">
        <v>46279</v>
      </c>
      <c r="G6" s="27" t="s">
        <v>25</v>
      </c>
      <c r="H6" s="27">
        <v>46277</v>
      </c>
      <c r="I6" s="27"/>
      <c r="J6" s="27"/>
      <c r="K6" s="60"/>
      <c r="L6" s="59"/>
      <c r="M6" s="61"/>
      <c r="N6" s="62"/>
      <c r="O6" s="63"/>
      <c r="P6" s="56"/>
      <c r="Q6" s="57" t="s">
        <v>10</v>
      </c>
      <c r="R6" s="58"/>
    </row>
    <row r="7" spans="1:18" s="12" customFormat="1" ht="51.6" customHeight="1" x14ac:dyDescent="0.3">
      <c r="A7" s="13" t="s">
        <v>26</v>
      </c>
      <c r="B7" s="52" t="s">
        <v>27</v>
      </c>
      <c r="C7" s="24">
        <v>0</v>
      </c>
      <c r="D7" s="52" t="s">
        <v>27</v>
      </c>
      <c r="E7" s="64" t="s">
        <v>28</v>
      </c>
      <c r="F7" s="59">
        <v>46279</v>
      </c>
      <c r="G7" s="27" t="s">
        <v>29</v>
      </c>
      <c r="H7" s="27">
        <v>46279</v>
      </c>
      <c r="I7" s="27"/>
      <c r="J7" s="27"/>
      <c r="K7" s="60"/>
      <c r="L7" s="59"/>
      <c r="M7" s="61"/>
      <c r="N7" s="62"/>
      <c r="O7" s="63"/>
      <c r="P7" s="56"/>
      <c r="Q7" s="57" t="s">
        <v>10</v>
      </c>
      <c r="R7" s="58"/>
    </row>
    <row r="8" spans="1:18" s="12" customFormat="1" ht="51.6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s="12" customFormat="1" ht="51.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s="12" customFormat="1" ht="51.6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s="12" customFormat="1" ht="51.6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s="12" customFormat="1" ht="51.6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s="12" customFormat="1" ht="51.6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s="12" customFormat="1" ht="51.6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s="12" customFormat="1" ht="51.6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s="12" customFormat="1" ht="51.6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s="12" customFormat="1" ht="51.6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s="12" customFormat="1" ht="51.6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s="12" customFormat="1" ht="51.6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s="12" customFormat="1" ht="51.6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s="12" customFormat="1" ht="51.6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s="12" customFormat="1" ht="51.6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mergeCells count="7">
    <mergeCell ref="O3:P3"/>
    <mergeCell ref="C3:F3"/>
    <mergeCell ref="A1:P2"/>
    <mergeCell ref="M3:N3"/>
    <mergeCell ref="G3:H3"/>
    <mergeCell ref="K3:L3"/>
    <mergeCell ref="I3:J3"/>
  </mergeCells>
  <conditionalFormatting sqref="Q1:Q7">
    <cfRule type="containsText" dxfId="8" priority="3" operator="containsText" text="Response ">
      <formula>NOT(ISERROR(SEARCH("Response ",Q1)))</formula>
    </cfRule>
    <cfRule type="containsText" dxfId="7" priority="4" operator="containsText" text="open">
      <formula>NOT(ISERROR(SEARCH("open",Q1)))</formula>
    </cfRule>
  </conditionalFormatting>
  <conditionalFormatting sqref="R4">
    <cfRule type="containsText" dxfId="6" priority="1" operator="containsText" text="Response ">
      <formula>NOT(ISERROR(SEARCH("Response ",R4)))</formula>
    </cfRule>
    <cfRule type="containsText" dxfId="5" priority="2" operator="containsText" text="open">
      <formula>NOT(ISERROR(SEARCH("open",R4)))</formula>
    </cfRule>
  </conditionalFormatting>
  <hyperlinks>
    <hyperlink ref="E6" r:id="rId1" display="https://mea.aconex.com/ViewCorrespondence?Correspondence_ID=1849297120&amp;CORRESPONDENCE_MAILBOX=5&amp;PROJECT_ID=1744833878&amp;RETURN_URL=%2Frsrc%2F20260818.0611%2Fen_AU_DOC%2FmailSearch%2FCorrespondenceSearch.html%3Fmailbox%3DALLBOX&amp;index=0" xr:uid="{00000000-0004-0000-0100-000000000000}"/>
  </hyperlinks>
  <pageMargins left="0.7" right="0.7" top="0.75" bottom="0.75" header="0.3" footer="0.3"/>
  <pageSetup paperSize="9" scale="30"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tabSelected="1" view="pageBreakPreview" topLeftCell="B1" zoomScale="70" zoomScaleNormal="100" zoomScaleSheetLayoutView="70" workbookViewId="0">
      <pane ySplit="4" topLeftCell="A28" activePane="bottomLeft" state="frozen"/>
      <selection activeCell="C6" sqref="C6"/>
      <selection pane="bottomLeft" activeCell="H35" sqref="H35"/>
    </sheetView>
  </sheetViews>
  <sheetFormatPr defaultRowHeight="14.4" x14ac:dyDescent="0.3"/>
  <cols>
    <col min="1" max="1" width="25.109375" style="2" hidden="1" customWidth="1"/>
    <col min="2" max="2" width="37" style="2" customWidth="1"/>
    <col min="3" max="3" width="8.6640625" style="2" customWidth="1"/>
    <col min="4" max="4" width="38.88671875" style="2" customWidth="1"/>
    <col min="5" max="5" width="58.33203125" style="2" customWidth="1"/>
    <col min="6" max="10" width="17.6640625" style="2" customWidth="1"/>
    <col min="11" max="11" width="22.109375" style="2" customWidth="1"/>
    <col min="12" max="12" width="17.6640625" style="2" customWidth="1"/>
    <col min="13" max="14" width="17.6640625" style="2" hidden="1" customWidth="1"/>
    <col min="15" max="15" width="19.33203125" style="2" hidden="1" customWidth="1"/>
    <col min="16" max="16" width="17.6640625" style="2" hidden="1" customWidth="1"/>
    <col min="17" max="17" width="17.5546875" style="2" customWidth="1"/>
    <col min="18" max="18" width="27" style="22" customWidth="1"/>
  </cols>
  <sheetData>
    <row r="1" spans="1:18" ht="37.200000000000003" customHeight="1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14" t="s">
        <v>1</v>
      </c>
      <c r="R1" s="3">
        <f>COUNTA(Q$5:Q$1048576)</f>
        <v>32</v>
      </c>
    </row>
    <row r="2" spans="1:18" ht="90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15" t="s">
        <v>2</v>
      </c>
      <c r="R2" s="16">
        <f>COUNTIF(Q$5:Q$1048576,"Response ")</f>
        <v>23</v>
      </c>
    </row>
    <row r="3" spans="1:18" ht="40.950000000000003" customHeight="1" x14ac:dyDescent="0.3">
      <c r="A3" s="32" t="s">
        <v>3</v>
      </c>
      <c r="B3" s="33"/>
      <c r="C3" s="79" t="s">
        <v>4</v>
      </c>
      <c r="D3" s="80"/>
      <c r="E3" s="80"/>
      <c r="F3" s="78"/>
      <c r="G3" s="84" t="s">
        <v>43</v>
      </c>
      <c r="H3" s="78"/>
      <c r="I3" s="84" t="s">
        <v>44</v>
      </c>
      <c r="J3" s="78"/>
      <c r="K3" s="85" t="s">
        <v>7</v>
      </c>
      <c r="L3" s="86"/>
      <c r="M3" s="77" t="s">
        <v>8</v>
      </c>
      <c r="N3" s="78"/>
      <c r="O3" s="77" t="s">
        <v>9</v>
      </c>
      <c r="P3" s="78"/>
      <c r="Q3" s="15" t="s">
        <v>10</v>
      </c>
      <c r="R3" s="16">
        <f>COUNTIF(Q$5:Q$1048576,"OPEN")</f>
        <v>9</v>
      </c>
    </row>
    <row r="4" spans="1:18" ht="59.4" customHeight="1" x14ac:dyDescent="0.3">
      <c r="A4" s="17" t="s">
        <v>11</v>
      </c>
      <c r="B4" s="36" t="s">
        <v>155</v>
      </c>
      <c r="C4" s="36" t="s">
        <v>12</v>
      </c>
      <c r="D4" s="37" t="s">
        <v>13</v>
      </c>
      <c r="E4" s="37" t="s">
        <v>14</v>
      </c>
      <c r="F4" s="38" t="s">
        <v>15</v>
      </c>
      <c r="G4" s="36" t="s">
        <v>156</v>
      </c>
      <c r="H4" s="38" t="s">
        <v>157</v>
      </c>
      <c r="I4" s="36" t="s">
        <v>158</v>
      </c>
      <c r="J4" s="38" t="s">
        <v>159</v>
      </c>
      <c r="K4" s="39" t="s">
        <v>160</v>
      </c>
      <c r="L4" s="40" t="s">
        <v>161</v>
      </c>
      <c r="M4" s="41" t="s">
        <v>162</v>
      </c>
      <c r="N4" s="40" t="s">
        <v>163</v>
      </c>
      <c r="O4" s="41" t="s">
        <v>164</v>
      </c>
      <c r="P4" s="40" t="s">
        <v>165</v>
      </c>
      <c r="Q4" s="42" t="s">
        <v>166</v>
      </c>
      <c r="R4" s="43" t="s">
        <v>168</v>
      </c>
    </row>
    <row r="5" spans="1:18" s="12" customFormat="1" ht="46.2" customHeight="1" x14ac:dyDescent="0.3">
      <c r="A5" s="11" t="s">
        <v>16</v>
      </c>
      <c r="B5" s="10" t="s">
        <v>45</v>
      </c>
      <c r="C5" s="24">
        <v>0</v>
      </c>
      <c r="D5" s="10" t="s">
        <v>45</v>
      </c>
      <c r="E5" s="25" t="s">
        <v>46</v>
      </c>
      <c r="F5" s="27" t="s">
        <v>47</v>
      </c>
      <c r="G5" s="27" t="s">
        <v>48</v>
      </c>
      <c r="H5" s="28" t="s">
        <v>49</v>
      </c>
      <c r="I5" s="27" t="s">
        <v>50</v>
      </c>
      <c r="J5" s="27" t="s">
        <v>51</v>
      </c>
      <c r="K5" s="18" t="s">
        <v>52</v>
      </c>
      <c r="L5" s="27" t="s">
        <v>53</v>
      </c>
      <c r="M5" s="7"/>
      <c r="N5" s="8"/>
      <c r="O5" s="19"/>
      <c r="P5" s="20"/>
      <c r="Q5" s="15" t="s">
        <v>2</v>
      </c>
      <c r="R5" s="16"/>
    </row>
    <row r="6" spans="1:18" s="12" customFormat="1" ht="51.6" customHeight="1" x14ac:dyDescent="0.3">
      <c r="A6" s="13" t="s">
        <v>22</v>
      </c>
      <c r="B6" s="10" t="s">
        <v>54</v>
      </c>
      <c r="C6" s="24">
        <v>0</v>
      </c>
      <c r="D6" s="10" t="s">
        <v>54</v>
      </c>
      <c r="E6" s="1" t="s">
        <v>55</v>
      </c>
      <c r="F6" s="9" t="s">
        <v>56</v>
      </c>
      <c r="G6" s="28" t="s">
        <v>57</v>
      </c>
      <c r="H6" s="28">
        <v>46252</v>
      </c>
      <c r="I6" s="28"/>
      <c r="J6" s="28" t="s">
        <v>43</v>
      </c>
      <c r="K6" s="5" t="s">
        <v>58</v>
      </c>
      <c r="L6" s="9">
        <v>46253</v>
      </c>
      <c r="M6" s="6"/>
      <c r="N6" s="4"/>
      <c r="O6" s="21"/>
      <c r="P6" s="20"/>
      <c r="Q6" s="15" t="s">
        <v>2</v>
      </c>
      <c r="R6" s="16"/>
    </row>
    <row r="7" spans="1:18" s="12" customFormat="1" ht="51.6" customHeight="1" x14ac:dyDescent="0.3">
      <c r="A7" s="13" t="s">
        <v>26</v>
      </c>
      <c r="B7" s="10" t="s">
        <v>59</v>
      </c>
      <c r="C7" s="24">
        <v>0</v>
      </c>
      <c r="D7" s="10" t="s">
        <v>59</v>
      </c>
      <c r="E7" s="1" t="s">
        <v>60</v>
      </c>
      <c r="F7" s="9" t="s">
        <v>56</v>
      </c>
      <c r="G7" s="28"/>
      <c r="H7" s="28"/>
      <c r="I7" s="28"/>
      <c r="J7" s="28"/>
      <c r="K7" s="5" t="s">
        <v>61</v>
      </c>
      <c r="L7" s="9">
        <v>46252</v>
      </c>
      <c r="M7" s="6"/>
      <c r="N7" s="4"/>
      <c r="O7" s="21"/>
      <c r="P7" s="20"/>
      <c r="Q7" s="15" t="s">
        <v>2</v>
      </c>
      <c r="R7" s="16"/>
    </row>
    <row r="8" spans="1:18" s="12" customFormat="1" ht="51.6" customHeight="1" x14ac:dyDescent="0.3">
      <c r="A8" s="13"/>
      <c r="B8" s="10" t="s">
        <v>62</v>
      </c>
      <c r="C8" s="24">
        <v>0</v>
      </c>
      <c r="D8" s="10" t="s">
        <v>62</v>
      </c>
      <c r="E8" s="1" t="s">
        <v>63</v>
      </c>
      <c r="F8" s="9" t="s">
        <v>64</v>
      </c>
      <c r="G8" s="28" t="s">
        <v>65</v>
      </c>
      <c r="H8" s="28" t="s">
        <v>66</v>
      </c>
      <c r="I8" s="28" t="s">
        <v>67</v>
      </c>
      <c r="J8" s="28">
        <v>46236</v>
      </c>
      <c r="K8" s="5" t="s">
        <v>68</v>
      </c>
      <c r="L8" s="9">
        <v>46237</v>
      </c>
      <c r="M8" s="6"/>
      <c r="N8" s="4"/>
      <c r="O8" s="21"/>
      <c r="P8" s="20"/>
      <c r="Q8" s="15" t="s">
        <v>2</v>
      </c>
      <c r="R8" s="16"/>
    </row>
    <row r="9" spans="1:18" s="12" customFormat="1" ht="51.6" customHeight="1" x14ac:dyDescent="0.3">
      <c r="A9" s="13"/>
      <c r="B9" s="10" t="s">
        <v>69</v>
      </c>
      <c r="C9" s="24">
        <v>0</v>
      </c>
      <c r="D9" s="10" t="s">
        <v>69</v>
      </c>
      <c r="E9" s="35" t="s">
        <v>70</v>
      </c>
      <c r="F9" s="28">
        <v>46273</v>
      </c>
      <c r="G9" s="28" t="s">
        <v>71</v>
      </c>
      <c r="H9" s="28">
        <v>46252</v>
      </c>
      <c r="I9" s="28"/>
      <c r="J9" s="28"/>
      <c r="K9" s="1" t="s">
        <v>72</v>
      </c>
      <c r="L9" s="28">
        <v>46266</v>
      </c>
      <c r="M9" s="1"/>
      <c r="N9" s="1"/>
      <c r="O9" s="29"/>
      <c r="P9" s="30"/>
      <c r="Q9" s="15" t="s">
        <v>2</v>
      </c>
      <c r="R9" s="31"/>
    </row>
    <row r="10" spans="1:18" s="12" customFormat="1" ht="51.6" customHeight="1" x14ac:dyDescent="0.3">
      <c r="A10" s="13"/>
      <c r="B10" s="10" t="s">
        <v>73</v>
      </c>
      <c r="C10" s="24">
        <v>0</v>
      </c>
      <c r="D10" s="10" t="s">
        <v>73</v>
      </c>
      <c r="E10" s="1" t="s">
        <v>74</v>
      </c>
      <c r="F10" s="28">
        <v>46244</v>
      </c>
      <c r="G10" s="28" t="s">
        <v>75</v>
      </c>
      <c r="H10" s="28">
        <v>46252</v>
      </c>
      <c r="I10" s="28"/>
      <c r="J10" s="28"/>
      <c r="K10" s="1" t="s">
        <v>76</v>
      </c>
      <c r="L10" s="28">
        <v>46254</v>
      </c>
      <c r="M10" s="1"/>
      <c r="N10" s="1"/>
      <c r="O10" s="29"/>
      <c r="P10" s="30"/>
      <c r="Q10" s="15" t="s">
        <v>2</v>
      </c>
      <c r="R10" s="31"/>
    </row>
    <row r="11" spans="1:18" s="12" customFormat="1" ht="51.6" customHeight="1" x14ac:dyDescent="0.3">
      <c r="A11" s="13"/>
      <c r="B11" s="10" t="s">
        <v>77</v>
      </c>
      <c r="C11" s="24">
        <v>0</v>
      </c>
      <c r="D11" s="10" t="s">
        <v>77</v>
      </c>
      <c r="E11" s="1" t="s">
        <v>78</v>
      </c>
      <c r="F11" s="28">
        <v>46249</v>
      </c>
      <c r="G11" s="28" t="s">
        <v>79</v>
      </c>
      <c r="H11" s="28">
        <v>46252</v>
      </c>
      <c r="I11" s="28"/>
      <c r="J11" s="28"/>
      <c r="K11" s="1" t="s">
        <v>80</v>
      </c>
      <c r="L11" s="28">
        <v>46266</v>
      </c>
      <c r="M11" s="1"/>
      <c r="N11" s="1"/>
      <c r="O11" s="29"/>
      <c r="P11" s="30"/>
      <c r="Q11" s="15" t="s">
        <v>2</v>
      </c>
      <c r="R11" s="31"/>
    </row>
    <row r="12" spans="1:18" s="12" customFormat="1" ht="51.6" customHeight="1" x14ac:dyDescent="0.3">
      <c r="A12" s="13"/>
      <c r="B12" s="10" t="s">
        <v>81</v>
      </c>
      <c r="C12" s="24">
        <v>0</v>
      </c>
      <c r="D12" s="10" t="s">
        <v>81</v>
      </c>
      <c r="E12" s="1" t="s">
        <v>82</v>
      </c>
      <c r="F12" s="28">
        <v>46250</v>
      </c>
      <c r="G12" s="28" t="s">
        <v>83</v>
      </c>
      <c r="H12" s="28">
        <v>46252</v>
      </c>
      <c r="I12" s="28"/>
      <c r="J12" s="28"/>
      <c r="K12" s="6" t="s">
        <v>84</v>
      </c>
      <c r="L12" s="9">
        <v>46253</v>
      </c>
      <c r="M12" s="6"/>
      <c r="N12" s="4"/>
      <c r="O12" s="21"/>
      <c r="P12" s="20"/>
      <c r="Q12" s="15" t="s">
        <v>2</v>
      </c>
      <c r="R12" s="16"/>
    </row>
    <row r="13" spans="1:18" s="12" customFormat="1" ht="51.6" customHeight="1" x14ac:dyDescent="0.3">
      <c r="A13" s="13"/>
      <c r="B13" s="10" t="s">
        <v>85</v>
      </c>
      <c r="C13" s="24">
        <v>0</v>
      </c>
      <c r="D13" s="10" t="s">
        <v>85</v>
      </c>
      <c r="E13" s="1" t="s">
        <v>86</v>
      </c>
      <c r="F13" s="28">
        <v>46250</v>
      </c>
      <c r="G13" s="28" t="s">
        <v>87</v>
      </c>
      <c r="H13" s="28">
        <v>46252</v>
      </c>
      <c r="I13" s="28"/>
      <c r="J13" s="28"/>
      <c r="K13" s="6" t="s">
        <v>88</v>
      </c>
      <c r="L13" s="9">
        <v>46253</v>
      </c>
      <c r="M13" s="6"/>
      <c r="N13" s="4"/>
      <c r="O13" s="21"/>
      <c r="P13" s="20"/>
      <c r="Q13" s="15" t="s">
        <v>2</v>
      </c>
      <c r="R13" s="16"/>
    </row>
    <row r="14" spans="1:18" s="12" customFormat="1" ht="51.6" customHeight="1" x14ac:dyDescent="0.3">
      <c r="A14" s="13"/>
      <c r="B14" s="10" t="s">
        <v>89</v>
      </c>
      <c r="C14" s="24">
        <v>0</v>
      </c>
      <c r="D14" s="10" t="s">
        <v>89</v>
      </c>
      <c r="E14" s="1" t="s">
        <v>90</v>
      </c>
      <c r="F14" s="28">
        <v>46255</v>
      </c>
      <c r="G14" s="28"/>
      <c r="H14" s="28"/>
      <c r="I14" s="28"/>
      <c r="J14" s="28"/>
      <c r="K14" s="6" t="s">
        <v>91</v>
      </c>
      <c r="L14" s="9">
        <v>46265</v>
      </c>
      <c r="M14" s="6"/>
      <c r="N14" s="4"/>
      <c r="O14" s="21"/>
      <c r="P14" s="20"/>
      <c r="Q14" s="15" t="s">
        <v>2</v>
      </c>
      <c r="R14" s="16"/>
    </row>
    <row r="15" spans="1:18" s="12" customFormat="1" ht="51.6" customHeight="1" x14ac:dyDescent="0.3">
      <c r="A15" s="13"/>
      <c r="B15" s="10" t="s">
        <v>92</v>
      </c>
      <c r="C15" s="76">
        <v>1</v>
      </c>
      <c r="D15" s="10" t="s">
        <v>92</v>
      </c>
      <c r="E15" s="1" t="s">
        <v>93</v>
      </c>
      <c r="F15" s="28">
        <v>46266</v>
      </c>
      <c r="G15" s="28"/>
      <c r="H15" s="28"/>
      <c r="I15" s="28" t="s">
        <v>94</v>
      </c>
      <c r="J15" s="28">
        <v>46271</v>
      </c>
      <c r="K15" s="6"/>
      <c r="L15" s="9"/>
      <c r="M15" s="6"/>
      <c r="N15" s="4"/>
      <c r="O15" s="21"/>
      <c r="P15" s="20"/>
      <c r="Q15" s="15" t="s">
        <v>10</v>
      </c>
      <c r="R15" s="16"/>
    </row>
    <row r="16" spans="1:18" s="12" customFormat="1" ht="51.6" customHeight="1" x14ac:dyDescent="0.3">
      <c r="A16" s="13"/>
      <c r="B16" s="1" t="s">
        <v>95</v>
      </c>
      <c r="C16" s="24">
        <v>0</v>
      </c>
      <c r="D16" s="1" t="s">
        <v>95</v>
      </c>
      <c r="E16" s="1" t="s">
        <v>96</v>
      </c>
      <c r="F16" s="28">
        <v>46254</v>
      </c>
      <c r="G16" s="28" t="s">
        <v>97</v>
      </c>
      <c r="H16" s="28">
        <v>46259</v>
      </c>
      <c r="I16" s="28"/>
      <c r="J16" s="28"/>
      <c r="K16" s="6" t="s">
        <v>98</v>
      </c>
      <c r="L16" s="9">
        <v>46273</v>
      </c>
      <c r="M16" s="6"/>
      <c r="N16" s="4"/>
      <c r="O16" s="21"/>
      <c r="P16" s="20"/>
      <c r="Q16" s="15" t="s">
        <v>2</v>
      </c>
      <c r="R16" s="16"/>
    </row>
    <row r="17" spans="1:18" s="12" customFormat="1" ht="51.6" customHeight="1" x14ac:dyDescent="0.3">
      <c r="A17" s="13"/>
      <c r="B17" s="1" t="s">
        <v>99</v>
      </c>
      <c r="C17" s="24">
        <v>0</v>
      </c>
      <c r="D17" s="1" t="s">
        <v>99</v>
      </c>
      <c r="E17" s="1" t="s">
        <v>100</v>
      </c>
      <c r="F17" s="28">
        <v>46258</v>
      </c>
      <c r="G17" s="28" t="s">
        <v>101</v>
      </c>
      <c r="H17" s="28">
        <v>46259</v>
      </c>
      <c r="I17" s="28"/>
      <c r="J17" s="28"/>
      <c r="K17" s="6" t="s">
        <v>102</v>
      </c>
      <c r="L17" s="9">
        <v>46265</v>
      </c>
      <c r="M17" s="6"/>
      <c r="N17" s="4"/>
      <c r="O17" s="21"/>
      <c r="P17" s="20"/>
      <c r="Q17" s="15" t="s">
        <v>2</v>
      </c>
      <c r="R17" s="16"/>
    </row>
    <row r="18" spans="1:18" s="12" customFormat="1" ht="51.6" customHeight="1" x14ac:dyDescent="0.3">
      <c r="A18" s="13"/>
      <c r="B18" s="1" t="s">
        <v>103</v>
      </c>
      <c r="C18" s="24">
        <v>0</v>
      </c>
      <c r="D18" s="1" t="s">
        <v>103</v>
      </c>
      <c r="E18" s="1" t="s">
        <v>104</v>
      </c>
      <c r="F18" s="28">
        <v>46258</v>
      </c>
      <c r="G18" s="28" t="s">
        <v>105</v>
      </c>
      <c r="H18" s="28">
        <v>46259</v>
      </c>
      <c r="I18" s="28"/>
      <c r="J18" s="28"/>
      <c r="K18" s="6" t="s">
        <v>106</v>
      </c>
      <c r="L18" s="9">
        <v>46266</v>
      </c>
      <c r="M18" s="6"/>
      <c r="N18" s="4"/>
      <c r="O18" s="21"/>
      <c r="P18" s="20"/>
      <c r="Q18" s="15" t="s">
        <v>2</v>
      </c>
      <c r="R18" s="16"/>
    </row>
    <row r="19" spans="1:18" s="12" customFormat="1" ht="51.6" customHeight="1" x14ac:dyDescent="0.3">
      <c r="A19" s="13"/>
      <c r="B19" s="1" t="s">
        <v>103</v>
      </c>
      <c r="C19" s="76">
        <v>1</v>
      </c>
      <c r="D19" s="1" t="s">
        <v>103</v>
      </c>
      <c r="E19" s="1" t="s">
        <v>104</v>
      </c>
      <c r="F19" s="28">
        <v>46272</v>
      </c>
      <c r="G19" s="28"/>
      <c r="H19" s="28"/>
      <c r="I19" s="28"/>
      <c r="J19" s="28"/>
      <c r="K19" s="6" t="s">
        <v>107</v>
      </c>
      <c r="L19" s="9">
        <v>46289</v>
      </c>
      <c r="M19" s="6"/>
      <c r="N19" s="4"/>
      <c r="O19" s="21"/>
      <c r="P19" s="20"/>
      <c r="Q19" s="15" t="s">
        <v>2</v>
      </c>
      <c r="R19" s="16"/>
    </row>
    <row r="20" spans="1:18" s="12" customFormat="1" ht="51.6" customHeight="1" x14ac:dyDescent="0.3">
      <c r="A20" s="13"/>
      <c r="B20" s="1" t="s">
        <v>108</v>
      </c>
      <c r="C20" s="24">
        <v>0</v>
      </c>
      <c r="D20" s="1" t="s">
        <v>108</v>
      </c>
      <c r="E20" s="1" t="s">
        <v>109</v>
      </c>
      <c r="F20" s="28">
        <v>46265</v>
      </c>
      <c r="G20" s="28" t="s">
        <v>110</v>
      </c>
      <c r="H20" s="28">
        <v>46265</v>
      </c>
      <c r="I20" s="28"/>
      <c r="J20" s="28"/>
      <c r="K20" s="6"/>
      <c r="L20" s="9"/>
      <c r="M20" s="6"/>
      <c r="N20" s="4"/>
      <c r="O20" s="21"/>
      <c r="P20" s="20"/>
      <c r="Q20" s="15" t="s">
        <v>10</v>
      </c>
      <c r="R20" s="16"/>
    </row>
    <row r="21" spans="1:18" s="12" customFormat="1" ht="51.6" customHeight="1" x14ac:dyDescent="0.3">
      <c r="A21" s="13"/>
      <c r="B21" s="23" t="s">
        <v>111</v>
      </c>
      <c r="C21" s="24">
        <v>0</v>
      </c>
      <c r="D21" s="1" t="s">
        <v>111</v>
      </c>
      <c r="E21" s="1" t="s">
        <v>112</v>
      </c>
      <c r="F21" s="28">
        <v>46271</v>
      </c>
      <c r="G21" s="28" t="s">
        <v>113</v>
      </c>
      <c r="H21" s="28">
        <v>46271</v>
      </c>
      <c r="I21" s="28"/>
      <c r="J21" s="28"/>
      <c r="K21" s="6" t="s">
        <v>173</v>
      </c>
      <c r="L21" s="9">
        <v>46294</v>
      </c>
      <c r="M21" s="6"/>
      <c r="N21" s="4"/>
      <c r="O21" s="21"/>
      <c r="P21" s="20"/>
      <c r="Q21" s="15" t="s">
        <v>2</v>
      </c>
      <c r="R21" s="16"/>
    </row>
    <row r="22" spans="1:18" s="12" customFormat="1" ht="51.6" customHeight="1" x14ac:dyDescent="0.3">
      <c r="A22" s="13"/>
      <c r="B22" s="23" t="s">
        <v>114</v>
      </c>
      <c r="C22" s="24">
        <v>0</v>
      </c>
      <c r="D22" s="1" t="s">
        <v>114</v>
      </c>
      <c r="E22" s="1" t="s">
        <v>115</v>
      </c>
      <c r="F22" s="28">
        <v>46273</v>
      </c>
      <c r="G22" s="28" t="s">
        <v>116</v>
      </c>
      <c r="H22" s="28">
        <v>46279</v>
      </c>
      <c r="I22" s="28"/>
      <c r="J22" s="28"/>
      <c r="K22" s="6" t="s">
        <v>117</v>
      </c>
      <c r="L22" s="9">
        <v>46286</v>
      </c>
      <c r="M22" s="6"/>
      <c r="N22" s="4"/>
      <c r="O22" s="21"/>
      <c r="P22" s="20"/>
      <c r="Q22" s="15" t="s">
        <v>2</v>
      </c>
      <c r="R22" s="16"/>
    </row>
    <row r="23" spans="1:18" s="12" customFormat="1" ht="51.6" customHeight="1" x14ac:dyDescent="0.3">
      <c r="A23" s="13"/>
      <c r="B23" s="23" t="s">
        <v>118</v>
      </c>
      <c r="C23" s="24">
        <v>0</v>
      </c>
      <c r="D23" s="1" t="s">
        <v>118</v>
      </c>
      <c r="E23" s="1" t="s">
        <v>119</v>
      </c>
      <c r="F23" s="28">
        <v>46274</v>
      </c>
      <c r="G23" s="28"/>
      <c r="H23" s="28"/>
      <c r="I23" s="28"/>
      <c r="J23" s="28"/>
      <c r="K23" s="6" t="s">
        <v>120</v>
      </c>
      <c r="L23" s="9">
        <v>46289</v>
      </c>
      <c r="M23" s="6"/>
      <c r="N23" s="4"/>
      <c r="O23" s="21"/>
      <c r="P23" s="20"/>
      <c r="Q23" s="15" t="s">
        <v>2</v>
      </c>
      <c r="R23" s="16"/>
    </row>
    <row r="24" spans="1:18" s="12" customFormat="1" ht="51.6" customHeight="1" x14ac:dyDescent="0.3">
      <c r="A24" s="13"/>
      <c r="B24" s="23" t="s">
        <v>121</v>
      </c>
      <c r="C24" s="24">
        <v>0</v>
      </c>
      <c r="D24" s="1" t="s">
        <v>121</v>
      </c>
      <c r="E24" s="1" t="s">
        <v>122</v>
      </c>
      <c r="F24" s="28">
        <v>46281</v>
      </c>
      <c r="G24" s="28"/>
      <c r="H24" s="28"/>
      <c r="I24" s="28"/>
      <c r="J24" s="28"/>
      <c r="K24" s="6" t="s">
        <v>123</v>
      </c>
      <c r="L24" s="9">
        <v>46286</v>
      </c>
      <c r="M24" s="6"/>
      <c r="N24" s="4"/>
      <c r="O24" s="21"/>
      <c r="P24" s="20"/>
      <c r="Q24" s="15" t="s">
        <v>2</v>
      </c>
      <c r="R24" s="16"/>
    </row>
    <row r="25" spans="1:18" s="12" customFormat="1" ht="51.6" customHeight="1" x14ac:dyDescent="0.3">
      <c r="A25" s="13"/>
      <c r="B25" s="23" t="s">
        <v>124</v>
      </c>
      <c r="C25" s="24">
        <v>0</v>
      </c>
      <c r="D25" s="1" t="s">
        <v>124</v>
      </c>
      <c r="E25" s="1" t="s">
        <v>125</v>
      </c>
      <c r="F25" s="28">
        <v>46281</v>
      </c>
      <c r="G25" s="28"/>
      <c r="H25" s="28"/>
      <c r="I25" s="28"/>
      <c r="J25" s="28"/>
      <c r="K25" s="6" t="s">
        <v>126</v>
      </c>
      <c r="L25" s="9">
        <v>46286</v>
      </c>
      <c r="M25" s="6"/>
      <c r="N25" s="4"/>
      <c r="O25" s="21"/>
      <c r="P25" s="20"/>
      <c r="Q25" s="15" t="s">
        <v>2</v>
      </c>
      <c r="R25" s="16"/>
    </row>
    <row r="26" spans="1:18" s="12" customFormat="1" ht="51.6" customHeight="1" x14ac:dyDescent="0.3">
      <c r="A26" s="13"/>
      <c r="B26" s="23" t="s">
        <v>127</v>
      </c>
      <c r="C26" s="24">
        <v>0</v>
      </c>
      <c r="D26" s="1" t="s">
        <v>127</v>
      </c>
      <c r="E26" s="1" t="s">
        <v>128</v>
      </c>
      <c r="F26" s="28">
        <v>46282</v>
      </c>
      <c r="G26" s="28"/>
      <c r="H26" s="28"/>
      <c r="I26" s="28"/>
      <c r="J26" s="28"/>
      <c r="K26" s="6" t="s">
        <v>129</v>
      </c>
      <c r="L26" s="9">
        <v>46286</v>
      </c>
      <c r="M26" s="6"/>
      <c r="N26" s="4"/>
      <c r="O26" s="21"/>
      <c r="P26" s="20"/>
      <c r="Q26" s="15" t="s">
        <v>2</v>
      </c>
      <c r="R26" s="16"/>
    </row>
    <row r="27" spans="1:18" s="12" customFormat="1" ht="51.6" customHeight="1" x14ac:dyDescent="0.3">
      <c r="A27" s="13"/>
      <c r="B27" s="23" t="s">
        <v>130</v>
      </c>
      <c r="C27" s="24">
        <v>0</v>
      </c>
      <c r="D27" s="1" t="s">
        <v>130</v>
      </c>
      <c r="E27" s="1" t="s">
        <v>131</v>
      </c>
      <c r="F27" s="28">
        <v>46288</v>
      </c>
      <c r="G27" s="28" t="s">
        <v>132</v>
      </c>
      <c r="H27" s="28">
        <v>46289</v>
      </c>
      <c r="I27" s="28"/>
      <c r="J27" s="28"/>
      <c r="K27" s="6" t="s">
        <v>133</v>
      </c>
      <c r="L27" s="9">
        <v>46295</v>
      </c>
      <c r="M27" s="6"/>
      <c r="N27" s="4"/>
      <c r="O27" s="21"/>
      <c r="P27" s="20"/>
      <c r="Q27" s="15" t="s">
        <v>2</v>
      </c>
      <c r="R27" s="16"/>
    </row>
    <row r="28" spans="1:18" s="12" customFormat="1" ht="51.6" customHeight="1" x14ac:dyDescent="0.3">
      <c r="A28" s="13"/>
      <c r="B28" s="23" t="s">
        <v>134</v>
      </c>
      <c r="C28" s="24">
        <v>0</v>
      </c>
      <c r="D28" s="1" t="s">
        <v>134</v>
      </c>
      <c r="E28" s="1" t="s">
        <v>135</v>
      </c>
      <c r="F28" s="28">
        <v>46289</v>
      </c>
      <c r="G28" s="28" t="s">
        <v>136</v>
      </c>
      <c r="H28" s="28">
        <v>46289</v>
      </c>
      <c r="I28" s="28"/>
      <c r="J28" s="28"/>
      <c r="K28" s="6" t="s">
        <v>137</v>
      </c>
      <c r="L28" s="9">
        <v>46296</v>
      </c>
      <c r="M28" s="6"/>
      <c r="N28" s="4"/>
      <c r="O28" s="21"/>
      <c r="P28" s="20"/>
      <c r="Q28" s="15" t="s">
        <v>2</v>
      </c>
      <c r="R28" s="16"/>
    </row>
    <row r="29" spans="1:18" s="12" customFormat="1" ht="79.5" customHeight="1" x14ac:dyDescent="0.3">
      <c r="A29" s="13"/>
      <c r="B29" s="23" t="s">
        <v>138</v>
      </c>
      <c r="C29" s="24">
        <v>0</v>
      </c>
      <c r="D29" s="1" t="s">
        <v>138</v>
      </c>
      <c r="E29" s="1" t="s">
        <v>139</v>
      </c>
      <c r="F29" s="28">
        <v>46294</v>
      </c>
      <c r="G29" s="28" t="s">
        <v>140</v>
      </c>
      <c r="H29" s="28">
        <v>46289</v>
      </c>
      <c r="I29" s="28"/>
      <c r="J29" s="28"/>
      <c r="K29" s="6" t="s">
        <v>174</v>
      </c>
      <c r="L29" s="9">
        <v>46300</v>
      </c>
      <c r="M29" s="6"/>
      <c r="N29" s="4"/>
      <c r="O29" s="21"/>
      <c r="P29" s="20"/>
      <c r="Q29" s="15" t="s">
        <v>2</v>
      </c>
      <c r="R29" s="16"/>
    </row>
    <row r="30" spans="1:18" s="12" customFormat="1" ht="51.6" customHeight="1" x14ac:dyDescent="0.3">
      <c r="A30" s="13"/>
      <c r="B30" s="23" t="s">
        <v>141</v>
      </c>
      <c r="C30" s="24">
        <v>0</v>
      </c>
      <c r="D30" s="1" t="s">
        <v>141</v>
      </c>
      <c r="E30" s="1" t="s">
        <v>142</v>
      </c>
      <c r="F30" s="28">
        <v>46298</v>
      </c>
      <c r="G30" s="28" t="s">
        <v>143</v>
      </c>
      <c r="H30" s="28">
        <v>46299</v>
      </c>
      <c r="I30" s="28"/>
      <c r="J30" s="28"/>
      <c r="K30" s="6"/>
      <c r="L30" s="9"/>
      <c r="M30" s="6"/>
      <c r="N30" s="4"/>
      <c r="O30" s="21"/>
      <c r="P30" s="20"/>
      <c r="Q30" s="15" t="s">
        <v>10</v>
      </c>
      <c r="R30" s="16"/>
    </row>
    <row r="31" spans="1:18" s="12" customFormat="1" ht="51.6" customHeight="1" x14ac:dyDescent="0.3">
      <c r="A31" s="13"/>
      <c r="B31" s="23" t="s">
        <v>144</v>
      </c>
      <c r="C31" s="24">
        <v>0</v>
      </c>
      <c r="D31" s="1" t="s">
        <v>144</v>
      </c>
      <c r="E31" s="1" t="s">
        <v>145</v>
      </c>
      <c r="F31" s="28">
        <v>46298</v>
      </c>
      <c r="G31" s="28" t="s">
        <v>146</v>
      </c>
      <c r="H31" s="28">
        <v>46299</v>
      </c>
      <c r="I31" s="28"/>
      <c r="J31" s="28"/>
      <c r="K31" s="6"/>
      <c r="L31" s="9"/>
      <c r="M31" s="6"/>
      <c r="N31" s="4"/>
      <c r="O31" s="21"/>
      <c r="P31" s="20"/>
      <c r="Q31" s="15" t="s">
        <v>10</v>
      </c>
      <c r="R31" s="16"/>
    </row>
    <row r="32" spans="1:18" s="12" customFormat="1" ht="51.6" customHeight="1" x14ac:dyDescent="0.3">
      <c r="A32" s="13"/>
      <c r="B32" s="23" t="s">
        <v>147</v>
      </c>
      <c r="C32" s="24">
        <v>0</v>
      </c>
      <c r="D32" s="1" t="s">
        <v>147</v>
      </c>
      <c r="E32" s="1" t="s">
        <v>148</v>
      </c>
      <c r="F32" s="28">
        <v>46298</v>
      </c>
      <c r="G32" s="28" t="s">
        <v>149</v>
      </c>
      <c r="H32" s="28">
        <v>46299</v>
      </c>
      <c r="I32" s="28"/>
      <c r="J32" s="28"/>
      <c r="K32" s="6"/>
      <c r="L32" s="9"/>
      <c r="M32" s="6"/>
      <c r="N32" s="4"/>
      <c r="O32" s="21"/>
      <c r="P32" s="20"/>
      <c r="Q32" s="15" t="s">
        <v>10</v>
      </c>
      <c r="R32" s="16"/>
    </row>
    <row r="33" spans="1:18" s="12" customFormat="1" ht="51.6" customHeight="1" x14ac:dyDescent="0.3">
      <c r="A33" s="13"/>
      <c r="B33" s="23" t="s">
        <v>150</v>
      </c>
      <c r="C33" s="24">
        <v>0</v>
      </c>
      <c r="D33" s="1" t="s">
        <v>150</v>
      </c>
      <c r="E33" s="1" t="s">
        <v>151</v>
      </c>
      <c r="F33" s="28">
        <v>46299</v>
      </c>
      <c r="G33" s="28" t="s">
        <v>169</v>
      </c>
      <c r="H33" s="28">
        <v>46300</v>
      </c>
      <c r="I33" s="28"/>
      <c r="J33" s="28"/>
      <c r="K33" s="6"/>
      <c r="L33" s="9"/>
      <c r="M33" s="6"/>
      <c r="N33" s="4"/>
      <c r="O33" s="21"/>
      <c r="P33" s="20"/>
      <c r="Q33" s="15" t="s">
        <v>10</v>
      </c>
      <c r="R33" s="16"/>
    </row>
    <row r="34" spans="1:18" s="12" customFormat="1" ht="51.6" customHeight="1" x14ac:dyDescent="0.3">
      <c r="A34" s="13"/>
      <c r="B34" s="23" t="s">
        <v>170</v>
      </c>
      <c r="C34" s="24">
        <v>0</v>
      </c>
      <c r="D34" s="1" t="s">
        <v>170</v>
      </c>
      <c r="E34" s="1" t="s">
        <v>171</v>
      </c>
      <c r="F34" s="28">
        <v>46300</v>
      </c>
      <c r="G34" s="28" t="s">
        <v>172</v>
      </c>
      <c r="H34" s="28">
        <v>46301</v>
      </c>
      <c r="I34" s="28"/>
      <c r="J34" s="28"/>
      <c r="K34" s="6"/>
      <c r="L34" s="9"/>
      <c r="M34" s="6"/>
      <c r="N34" s="4"/>
      <c r="O34" s="21"/>
      <c r="P34" s="20"/>
      <c r="Q34" s="15" t="s">
        <v>10</v>
      </c>
      <c r="R34" s="16"/>
    </row>
    <row r="35" spans="1:18" s="12" customFormat="1" ht="51.6" customHeight="1" x14ac:dyDescent="0.3">
      <c r="A35" s="13"/>
      <c r="B35" s="23" t="s">
        <v>176</v>
      </c>
      <c r="C35" s="24">
        <v>0</v>
      </c>
      <c r="D35" s="1" t="s">
        <v>176</v>
      </c>
      <c r="E35" s="1" t="s">
        <v>175</v>
      </c>
      <c r="F35" s="28">
        <v>46306</v>
      </c>
      <c r="G35" s="28"/>
      <c r="H35" s="28"/>
      <c r="I35" s="127"/>
      <c r="J35" s="127"/>
      <c r="K35" s="6"/>
      <c r="L35" s="9"/>
      <c r="M35" s="6"/>
      <c r="N35" s="4"/>
      <c r="O35" s="21"/>
      <c r="P35" s="20"/>
      <c r="Q35" s="15" t="s">
        <v>10</v>
      </c>
      <c r="R35" s="16"/>
    </row>
    <row r="36" spans="1:18" s="12" customFormat="1" ht="51.6" customHeight="1" x14ac:dyDescent="0.3">
      <c r="A36" s="128"/>
      <c r="B36" s="23" t="s">
        <v>177</v>
      </c>
      <c r="C36" s="129">
        <v>0</v>
      </c>
      <c r="D36" s="1" t="s">
        <v>177</v>
      </c>
      <c r="E36" s="23" t="s">
        <v>178</v>
      </c>
      <c r="F36" s="28">
        <v>46306</v>
      </c>
      <c r="G36" s="28"/>
      <c r="H36" s="28"/>
      <c r="I36" s="131"/>
      <c r="J36" s="131"/>
      <c r="K36" s="132"/>
      <c r="L36" s="130"/>
      <c r="M36" s="132"/>
      <c r="N36" s="133"/>
      <c r="O36" s="134"/>
      <c r="P36" s="135"/>
      <c r="Q36" s="15" t="s">
        <v>10</v>
      </c>
      <c r="R36" s="136"/>
    </row>
    <row r="37" spans="1:18" s="12" customFormat="1" ht="51.6" customHeight="1" x14ac:dyDescent="0.3">
      <c r="A37" s="13"/>
      <c r="B37" s="23"/>
      <c r="C37" s="24"/>
      <c r="D37" s="1"/>
      <c r="E37" s="1"/>
      <c r="F37" s="28"/>
      <c r="G37" s="28"/>
      <c r="H37" s="28"/>
      <c r="I37" s="28"/>
      <c r="J37" s="28"/>
      <c r="K37" s="6"/>
      <c r="L37" s="9"/>
      <c r="M37" s="6"/>
      <c r="N37" s="4"/>
      <c r="O37" s="21"/>
      <c r="P37" s="20"/>
      <c r="Q37" s="15"/>
      <c r="R37" s="16"/>
    </row>
  </sheetData>
  <mergeCells count="7">
    <mergeCell ref="O3:P3"/>
    <mergeCell ref="C3:F3"/>
    <mergeCell ref="A1:P2"/>
    <mergeCell ref="M3:N3"/>
    <mergeCell ref="G3:H3"/>
    <mergeCell ref="K3:L3"/>
    <mergeCell ref="I3:J3"/>
  </mergeCells>
  <phoneticPr fontId="23" type="noConversion"/>
  <conditionalFormatting sqref="B1:B1048576">
    <cfRule type="duplicateValues" dxfId="4" priority="1"/>
  </conditionalFormatting>
  <conditionalFormatting sqref="Q1:Q37">
    <cfRule type="containsText" dxfId="3" priority="2" operator="containsText" text="Response ">
      <formula>NOT(ISERROR(SEARCH("Response ",Q1)))</formula>
    </cfRule>
    <cfRule type="containsText" dxfId="2" priority="3" operator="containsText" text="open">
      <formula>NOT(ISERROR(SEARCH("open",Q1)))</formula>
    </cfRule>
  </conditionalFormatting>
  <pageMargins left="0.7" right="0.7" top="0.75" bottom="0.75" header="0.3" footer="0.3"/>
  <pageSetup paperSize="9" scale="3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view="pageBreakPreview" topLeftCell="B1" zoomScale="70" zoomScaleNormal="100" zoomScaleSheetLayoutView="70"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1" width="25.109375" style="2" hidden="1" customWidth="1"/>
    <col min="2" max="2" width="37" style="2" customWidth="1"/>
    <col min="3" max="3" width="11.33203125" style="2" customWidth="1"/>
    <col min="4" max="4" width="38.88671875" style="2" customWidth="1"/>
    <col min="5" max="5" width="60.6640625" style="2" customWidth="1"/>
    <col min="6" max="6" width="17.6640625" style="2" customWidth="1"/>
    <col min="7" max="7" width="24.109375" style="2" customWidth="1"/>
    <col min="8" max="8" width="17.6640625" style="2" customWidth="1"/>
    <col min="9" max="9" width="22.88671875" style="2" customWidth="1"/>
    <col min="10" max="10" width="17.6640625" style="2" customWidth="1"/>
    <col min="11" max="11" width="22.109375" style="2" customWidth="1"/>
    <col min="12" max="12" width="17.6640625" style="2" customWidth="1"/>
    <col min="13" max="14" width="17.6640625" style="2" hidden="1" customWidth="1"/>
    <col min="15" max="15" width="19.33203125" style="2" hidden="1" customWidth="1"/>
    <col min="16" max="16" width="17.6640625" style="2" hidden="1" customWidth="1"/>
    <col min="17" max="17" width="17.5546875" style="2" customWidth="1"/>
    <col min="18" max="18" width="27" style="22" customWidth="1"/>
    <col min="19" max="19" width="21.5546875" customWidth="1"/>
    <col min="20" max="20" width="23.33203125" customWidth="1"/>
  </cols>
  <sheetData>
    <row r="1" spans="1:20" ht="37.200000000000003" customHeight="1" x14ac:dyDescent="0.3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4" t="s">
        <v>1</v>
      </c>
      <c r="R1" s="3">
        <f>COUNTA(Q$5:Q$1048576)</f>
        <v>1</v>
      </c>
    </row>
    <row r="2" spans="1:20" ht="87" customHeight="1" x14ac:dyDescent="0.3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5" t="s">
        <v>2</v>
      </c>
      <c r="R2" s="16">
        <f>COUNTIF(Q$5:Q$1048576,"Response ")</f>
        <v>1</v>
      </c>
    </row>
    <row r="3" spans="1:20" ht="40.950000000000003" customHeight="1" x14ac:dyDescent="0.3">
      <c r="A3" s="32" t="s">
        <v>3</v>
      </c>
      <c r="B3" s="33"/>
      <c r="C3" s="125" t="s">
        <v>4</v>
      </c>
      <c r="D3" s="126"/>
      <c r="E3" s="33"/>
      <c r="F3" s="33"/>
      <c r="G3" s="125" t="s">
        <v>5</v>
      </c>
      <c r="H3" s="126"/>
      <c r="I3" s="125" t="s">
        <v>6</v>
      </c>
      <c r="J3" s="126"/>
      <c r="K3" s="125" t="s">
        <v>7</v>
      </c>
      <c r="L3" s="126"/>
      <c r="M3" s="33" t="s">
        <v>8</v>
      </c>
      <c r="N3" s="33"/>
      <c r="O3" s="33" t="s">
        <v>9</v>
      </c>
      <c r="P3" s="33"/>
      <c r="Q3" s="34" t="s">
        <v>167</v>
      </c>
      <c r="R3" s="34">
        <f>COUNTIF(Q$5:Q$1048576,"OPEN")</f>
        <v>0</v>
      </c>
    </row>
    <row r="4" spans="1:20" ht="59.4" customHeight="1" x14ac:dyDescent="0.3">
      <c r="A4" s="17" t="s">
        <v>11</v>
      </c>
      <c r="B4" s="66" t="s">
        <v>11</v>
      </c>
      <c r="C4" s="66" t="s">
        <v>12</v>
      </c>
      <c r="D4" s="67" t="s">
        <v>13</v>
      </c>
      <c r="E4" s="67" t="s">
        <v>14</v>
      </c>
      <c r="F4" s="68" t="s">
        <v>15</v>
      </c>
      <c r="G4" s="66" t="s">
        <v>11</v>
      </c>
      <c r="H4" s="68" t="s">
        <v>15</v>
      </c>
      <c r="I4" s="66" t="s">
        <v>11</v>
      </c>
      <c r="J4" s="69" t="s">
        <v>15</v>
      </c>
      <c r="K4" s="70" t="s">
        <v>11</v>
      </c>
      <c r="L4" s="71" t="s">
        <v>15</v>
      </c>
      <c r="M4" s="72" t="s">
        <v>11</v>
      </c>
      <c r="N4" s="71" t="s">
        <v>15</v>
      </c>
      <c r="O4" s="72" t="s">
        <v>11</v>
      </c>
      <c r="P4" s="71" t="s">
        <v>15</v>
      </c>
      <c r="Q4" s="73" t="s">
        <v>166</v>
      </c>
      <c r="R4" s="74" t="s">
        <v>168</v>
      </c>
    </row>
    <row r="5" spans="1:20" s="12" customFormat="1" ht="46.2" customHeight="1" x14ac:dyDescent="0.3">
      <c r="A5" s="11" t="s">
        <v>16</v>
      </c>
      <c r="B5" s="10" t="s">
        <v>152</v>
      </c>
      <c r="C5" s="24">
        <v>0</v>
      </c>
      <c r="D5" s="10" t="s">
        <v>152</v>
      </c>
      <c r="E5" s="25" t="s">
        <v>153</v>
      </c>
      <c r="F5" s="27">
        <v>46268</v>
      </c>
      <c r="G5" s="27"/>
      <c r="H5" s="27"/>
      <c r="I5" s="27"/>
      <c r="J5" s="27"/>
      <c r="K5" s="18" t="s">
        <v>154</v>
      </c>
      <c r="L5" s="27">
        <v>46287</v>
      </c>
      <c r="M5" s="7"/>
      <c r="N5" s="8"/>
      <c r="O5" s="19"/>
      <c r="P5" s="20"/>
      <c r="Q5" s="15" t="s">
        <v>2</v>
      </c>
      <c r="R5" s="16"/>
      <c r="S5" s="26" t="s">
        <v>20</v>
      </c>
      <c r="T5" s="26" t="s">
        <v>21</v>
      </c>
    </row>
    <row r="6" spans="1:20" s="12" customFormat="1" ht="51.6" customHeight="1" x14ac:dyDescent="0.3">
      <c r="A6" s="13" t="s">
        <v>26</v>
      </c>
      <c r="B6" s="10"/>
      <c r="C6" s="24"/>
      <c r="D6" s="10"/>
      <c r="E6" s="1"/>
      <c r="F6" s="9"/>
      <c r="G6" s="28"/>
      <c r="H6" s="28"/>
      <c r="I6" s="28"/>
      <c r="J6" s="28"/>
      <c r="K6" s="5"/>
      <c r="L6" s="9"/>
      <c r="M6" s="6"/>
      <c r="N6" s="4"/>
      <c r="O6" s="21"/>
      <c r="P6" s="20"/>
      <c r="Q6" s="15"/>
      <c r="R6" s="16"/>
    </row>
  </sheetData>
  <autoFilter ref="A4:Q6" xr:uid="{00000000-0009-0000-0000-000003000000}"/>
  <mergeCells count="5">
    <mergeCell ref="A1:P2"/>
    <mergeCell ref="G3:H3"/>
    <mergeCell ref="K3:L3"/>
    <mergeCell ref="I3:J3"/>
    <mergeCell ref="C3:D3"/>
  </mergeCells>
  <phoneticPr fontId="23" type="noConversion"/>
  <conditionalFormatting sqref="Q1:Q2 Q4:Q6">
    <cfRule type="containsText" dxfId="1" priority="1" operator="containsText" text="Response ">
      <formula>NOT(ISERROR(SEARCH("Response ",Q1)))</formula>
    </cfRule>
    <cfRule type="containsText" dxfId="0" priority="2" operator="containsText" text="open">
      <formula>NOT(ISERROR(SEARCH("open",Q1)))</formula>
    </cfRule>
  </conditionalFormatting>
  <pageMargins left="0.7" right="0.7" top="0.75" bottom="0.75" header="0.3" footer="0.3"/>
  <pageSetup paperSize="9" scale="2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  <_Flow_SignoffStatus xmlns="85d7a996-4dca-498d-b2f5-99e3050e6495" xsi:nil="true"/>
    <_dlc_DocId xmlns="5e47dd1e-c75c-4647-a38b-2c348db83d8f">D2EH7U7SCT2D-354287951-69982</_dlc_DocId>
    <_dlc_DocIdUrl xmlns="5e47dd1e-c75c-4647-a38b-2c348db83d8f">
      <Url>https://hillintl.sharepoint.com/sites/Extranet2/RasAlHekmaProject/_layouts/15/DocIdRedir.aspx?ID=D2EH7U7SCT2D-354287951-69982</Url>
      <Description>D2EH7U7SCT2D-354287951-69982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1A9CA9-976E-448F-A5BF-5692DD29ED8F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85d7a996-4dca-498d-b2f5-99e3050e6495"/>
    <ds:schemaRef ds:uri="5e47dd1e-c75c-4647-a38b-2c348db83d8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331B43-A6E5-42B6-9DCB-F4AAAD1800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6AC19-1E9F-4D1B-9F52-4C306ACE4F0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28E19ED-BD30-49BD-9DD2-60BC3EF70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Dashboard</vt:lpstr>
      <vt:lpstr>Arch</vt:lpstr>
      <vt:lpstr>ST</vt:lpstr>
      <vt:lpstr>ME</vt:lpstr>
      <vt:lpstr>Arch!Print_Area</vt:lpstr>
      <vt:lpstr>Dashboard!Print_Area</vt:lpstr>
      <vt:lpstr>ME!Print_Area</vt:lpstr>
      <vt:lpstr>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Elnoemani, Hazem</dc:creator>
  <cp:lastModifiedBy>Elnoemani, Hazem</cp:lastModifiedBy>
  <dcterms:created xsi:type="dcterms:W3CDTF">2026-10-05T06:13:45Z</dcterms:created>
  <dcterms:modified xsi:type="dcterms:W3CDTF">2026-10-11T14:16:07Z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ed7628d6-50e9-426b-a45c-95158560bb3c</vt:lpwstr>
  </property>
  <property fmtid="{D5CDD505-2E9C-101B-9397-08002B2CF9AE}" pid="4" name="MediaServiceImageTags">
    <vt:lpwstr/>
  </property>
</Properties>
</file>