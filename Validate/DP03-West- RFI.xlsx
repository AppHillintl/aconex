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hillintl.sharepoint.com/sites/Extranet2/RasAlHekmaProject/Shared Documents/Departments/Document Control/000 REH-Construction Document/(K03199-K03271) DP03 East -Wast/K03271(DP03 West)/00.03 RFI/"/>
    </mc:Choice>
  </mc:AlternateContent>
  <xr:revisionPtr revIDLastSave="2919" documentId="14_{30319261-5BC1-4292-9EFE-BAA42B55CB17}" xr6:coauthVersionLast="47" xr6:coauthVersionMax="47" xr10:uidLastSave="{3DA1EB03-38B0-4E28-AB0D-0C5FD5BE4B1E}"/>
  <bookViews>
    <workbookView xWindow="-108" yWindow="-108" windowWidth="23256" windowHeight="12456" xr2:uid="{00000000-000D-0000-FFFF-FFFF00000000}"/>
  </bookViews>
  <sheets>
    <sheet name="dp03-West" sheetId="1" r:id="rId1"/>
  </sheets>
  <definedNames>
    <definedName name="_xlnm._FilterDatabase" localSheetId="0" hidden="1">'dp03-West'!$B$4:$S$145</definedName>
    <definedName name="_xlnm.Print_Area" localSheetId="0">'dp03-West'!$B$1:$S$149</definedName>
    <definedName name="_xlnm.Print_Titles" localSheetId="0">'dp03-West'!$1:$4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62" i="1" l="1"/>
  <c r="J62" i="1"/>
  <c r="Q145" i="1" l="1"/>
  <c r="J145" i="1"/>
  <c r="J141" i="1"/>
  <c r="Q141"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9" i="1"/>
  <c r="Q60" i="1"/>
  <c r="Q61"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2" i="1"/>
  <c r="Q143" i="1"/>
  <c r="Q144" i="1"/>
  <c r="Q5" i="1"/>
  <c r="J119" i="1"/>
  <c r="J125" i="1"/>
  <c r="J144" i="1"/>
  <c r="J143" i="1"/>
  <c r="J142" i="1"/>
  <c r="J140" i="1" l="1"/>
  <c r="J139" i="1"/>
  <c r="J138" i="1"/>
  <c r="J98" i="1" l="1"/>
  <c r="J111" i="1"/>
  <c r="J137" i="1"/>
  <c r="J136" i="1"/>
  <c r="J112" i="1"/>
  <c r="J116" i="1"/>
  <c r="J134" i="1"/>
  <c r="J92" i="1"/>
  <c r="J135" i="1"/>
  <c r="J52" i="1"/>
  <c r="J57" i="1"/>
  <c r="J59" i="1"/>
  <c r="J133" i="1"/>
  <c r="J131" i="1"/>
  <c r="J132" i="1"/>
  <c r="J130" i="1"/>
  <c r="J129" i="1"/>
  <c r="J128" i="1"/>
  <c r="J118" i="1"/>
  <c r="J87" i="1" l="1"/>
  <c r="J110" i="1"/>
  <c r="J127" i="1" l="1"/>
  <c r="J120" i="1"/>
  <c r="J126" i="1"/>
  <c r="J124" i="1"/>
  <c r="J123" i="1"/>
  <c r="J122" i="1"/>
  <c r="J97" i="1"/>
  <c r="J94" i="1"/>
  <c r="J117" i="1"/>
  <c r="J108" i="1"/>
  <c r="J81" i="1"/>
  <c r="J121" i="1"/>
  <c r="J113" i="1"/>
  <c r="J115" i="1"/>
  <c r="J114" i="1"/>
  <c r="J109" i="1"/>
  <c r="J102" i="1"/>
  <c r="J95" i="1"/>
  <c r="J107" i="1"/>
  <c r="J106" i="1"/>
  <c r="J105" i="1"/>
  <c r="J104" i="1"/>
  <c r="J103" i="1"/>
  <c r="J100" i="1"/>
  <c r="J101" i="1"/>
  <c r="J99" i="1"/>
  <c r="J96" i="1"/>
  <c r="J61" i="1"/>
  <c r="J93" i="1"/>
  <c r="J91" i="1"/>
  <c r="J90" i="1"/>
  <c r="J88" i="1"/>
  <c r="J77" i="1"/>
  <c r="J70" i="1"/>
  <c r="J64" i="1"/>
  <c r="J89" i="1"/>
  <c r="J85" i="1" l="1"/>
  <c r="J86" i="1"/>
  <c r="J84" i="1" l="1"/>
  <c r="J83" i="1"/>
  <c r="J80" i="1"/>
  <c r="J82" i="1"/>
  <c r="J79" i="1"/>
  <c r="J78" i="1"/>
  <c r="J74" i="1"/>
  <c r="J76" i="1" l="1"/>
  <c r="J73" i="1"/>
  <c r="J75" i="1"/>
  <c r="J72" i="1"/>
  <c r="J71" i="1" l="1"/>
  <c r="J69" i="1"/>
  <c r="J68" i="1"/>
  <c r="J66" i="1"/>
  <c r="J67" i="1"/>
  <c r="J65" i="1"/>
  <c r="J63" i="1"/>
  <c r="J54" i="1"/>
  <c r="J55" i="1"/>
  <c r="J56" i="1"/>
  <c r="J60" i="1"/>
  <c r="J53" i="1"/>
  <c r="J51" i="1"/>
  <c r="J50" i="1"/>
  <c r="J46" i="1"/>
  <c r="J32" i="1"/>
  <c r="J49" i="1"/>
  <c r="J48" i="1"/>
  <c r="J47" i="1"/>
  <c r="J42" i="1"/>
  <c r="J45" i="1"/>
  <c r="J44" i="1"/>
  <c r="J43" i="1"/>
  <c r="J38" i="1"/>
  <c r="J31" i="1"/>
  <c r="J26" i="1"/>
  <c r="J41" i="1"/>
  <c r="J40" i="1"/>
  <c r="J39" i="1"/>
  <c r="J37" i="1"/>
  <c r="J36" i="1"/>
  <c r="J35" i="1"/>
  <c r="J34" i="1"/>
  <c r="J33" i="1"/>
  <c r="J30" i="1"/>
  <c r="J28" i="1"/>
  <c r="J27" i="1"/>
  <c r="J25" i="1"/>
  <c r="J23" i="1"/>
  <c r="J24" i="1"/>
  <c r="J20" i="1" l="1"/>
  <c r="J22" i="1"/>
  <c r="J21" i="1"/>
  <c r="J29" i="1" l="1"/>
  <c r="J19" i="1"/>
  <c r="J18" i="1"/>
  <c r="J17" i="1"/>
  <c r="J16" i="1"/>
  <c r="J15" i="1"/>
  <c r="J14" i="1"/>
  <c r="J13" i="1"/>
  <c r="J6" i="1"/>
  <c r="J7" i="1"/>
  <c r="J8" i="1"/>
  <c r="J9" i="1"/>
  <c r="J10" i="1"/>
  <c r="J11" i="1"/>
  <c r="J12" i="1"/>
  <c r="J5" i="1"/>
  <c r="S1" i="1" l="1"/>
  <c r="S3" i="1"/>
  <c r="S2" i="1"/>
</calcChain>
</file>

<file path=xl/sharedStrings.xml><?xml version="1.0" encoding="utf-8"?>
<sst xmlns="http://schemas.openxmlformats.org/spreadsheetml/2006/main" count="1315" uniqueCount="872">
  <si>
    <t>Request For Information Log  form DP03-West Project</t>
  </si>
  <si>
    <t>ALL</t>
  </si>
  <si>
    <t>Response </t>
  </si>
  <si>
    <t>Consolidated Contractors Group S.A.L. (Offshore) (CCC) TO HILL</t>
  </si>
  <si>
    <t>Hill to ECG (DAR)</t>
  </si>
  <si>
    <t>ECG (DAR) to hill</t>
  </si>
  <si>
    <t>hill TO Consolidated Contractors Group S.A.L. (Offshore) (CCC)</t>
  </si>
  <si>
    <t>Open</t>
  </si>
  <si>
    <t>Mail No</t>
  </si>
  <si>
    <t>RFI No</t>
  </si>
  <si>
    <t>Rev.</t>
  </si>
  <si>
    <t>Subject</t>
  </si>
  <si>
    <t>Discipline</t>
  </si>
  <si>
    <t>Action By</t>
  </si>
  <si>
    <t>Date</t>
  </si>
  <si>
    <t>CCCEGY-RFI-000001</t>
  </si>
  <si>
    <t>REH-08-26- K03271-CRJ-RFI-000001-00</t>
  </si>
  <si>
    <t>CCCEGY-RFI-000259</t>
  </si>
  <si>
    <t>Clarification for the 20 cm Replacement Soil Under Foundation</t>
  </si>
  <si>
    <t>STR</t>
  </si>
  <si>
    <t>Dar</t>
  </si>
  <si>
    <t>HillInt-RFI-000486</t>
  </si>
  <si>
    <t>Darr-RTRFI-000004</t>
  </si>
  <si>
    <t>HillInt-RTRFI-000607</t>
  </si>
  <si>
    <t>REH-08-26- K03271-CRJ-RFI-000002-00</t>
  </si>
  <si>
    <t>CCCEGY-RFI-000258</t>
  </si>
  <si>
    <t>Clarification for the multi-faith area- location on general layout</t>
  </si>
  <si>
    <t>HillInt-RFI-000485</t>
  </si>
  <si>
    <t>Darr-RTRFI-000005</t>
  </si>
  <si>
    <t>HillInt-RTRFI-000606</t>
  </si>
  <si>
    <t>REH-08-26- K03271-CRJ-RFI-00003-00</t>
  </si>
  <si>
    <t>CCCEGY-RFI-000267</t>
  </si>
  <si>
    <t>Inquiry Regarding Clouded Areas and Specified "Hold" Markings</t>
  </si>
  <si>
    <t>HillInt-RFI-000515</t>
  </si>
  <si>
    <t>Darr-RTRFI-000060</t>
  </si>
  <si>
    <t>HillInt-RTRFI-000888</t>
  </si>
  <si>
    <t>reminder : HillInt-GNC-001615</t>
  </si>
  <si>
    <t>REH-08-26- K03271-CRJ-RFI-00004-00</t>
  </si>
  <si>
    <t>CCCEGY-RFI-000286</t>
  </si>
  <si>
    <t>Inquiry Regarding Substructure waterproofing material</t>
  </si>
  <si>
    <t>HillInt-RFI-000548</t>
  </si>
  <si>
    <t>Darr-RTRFI-000009</t>
  </si>
  <si>
    <t>HillInt-RTRFI-000640</t>
  </si>
  <si>
    <t>REH-08-26- K03271-CRJ-RFI-00005-00</t>
  </si>
  <si>
    <t>CCCEGY-RFI-000287</t>
  </si>
  <si>
    <t>Inquiry Regarding substructure (Buried elements) concrete cover</t>
  </si>
  <si>
    <t>HillInt-RFI-000549</t>
  </si>
  <si>
    <t>Darr-RTRFI-000008</t>
  </si>
  <si>
    <t>HillInt-RTRFI-000641</t>
  </si>
  <si>
    <t>REH-08-26- K03271-CRJ-RFI-00006-00</t>
  </si>
  <si>
    <t>CCCEGY-RFI-000288</t>
  </si>
  <si>
    <t>Clarification Request related to Excavation Levels &amp; Drawing Titles</t>
  </si>
  <si>
    <t>HillInt-RFI-000550</t>
  </si>
  <si>
    <t>Darr-RTRFI-000020</t>
  </si>
  <si>
    <t>HillInt-RTRFI-000767</t>
  </si>
  <si>
    <t>reminder :HillInt-GNC-001616</t>
  </si>
  <si>
    <t>REH-08-26- K03271-CRJ-RFI-00007-00</t>
  </si>
  <si>
    <t>CCCEGY-RFI-000289</t>
  </si>
  <si>
    <t>Clarification Request related to Fence Foundation Details</t>
  </si>
  <si>
    <t>HillInt-RFI-000551</t>
  </si>
  <si>
    <t>Darr-RTRFI-000006</t>
  </si>
  <si>
    <t>HillInt-RTRFI-000643</t>
  </si>
  <si>
    <t>REH-08-26- K03271-CRJ-RFI-000008</t>
  </si>
  <si>
    <t>CCCEGY-RFI-000291</t>
  </si>
  <si>
    <t>REH-08-26-K03271-CRJ-RFI-000008 ,Technical Inquiry – Missing Unit Classification for Townhouse IFC Drawings [DD4 Package]</t>
  </si>
  <si>
    <t>HillInt-RFI-000563</t>
  </si>
  <si>
    <t>Darr-RTRFI-000012</t>
  </si>
  <si>
    <t>HillInt-RTRFI-000737</t>
  </si>
  <si>
    <t>reminder :HillInt-GNC-001644</t>
  </si>
  <si>
    <t>REH-08-26- K03271-CRJ-RFI-000009</t>
  </si>
  <si>
    <t>CCCEGY-RFI-000299</t>
  </si>
  <si>
    <t>REH-08-26- K03271-CRJ-RFI-000009 - Received Corrupted Files in DD4 Package - Transmittal HILLint-GNC-1444</t>
  </si>
  <si>
    <t>HillInt-RFI-000581</t>
  </si>
  <si>
    <t>Darr-RTRFI-000035</t>
  </si>
  <si>
    <t>HillInt-RTRFI-000825</t>
  </si>
  <si>
    <t>reminder : HillInt-GNC-001645</t>
  </si>
  <si>
    <t>REH-08-26- K03271-CRJ-RFI-000010</t>
  </si>
  <si>
    <t>CCCEGY-RFI-000300</t>
  </si>
  <si>
    <t>REH-08-26- K03271-CRJ-RFI-000010 Technical inquiry – Discrepancies between Core Details Drawings vs. Columns &amp; Axes Layout Plans</t>
  </si>
  <si>
    <t>HillInt-RFI-000582</t>
  </si>
  <si>
    <t>Darr-RTRFI-000017</t>
  </si>
  <si>
    <t>HillInt-RTRFI-000747</t>
  </si>
  <si>
    <t>reminder : HillInt-GNC-001646</t>
  </si>
  <si>
    <t>REH-08-26- K03271-CRJ-RFI-000011</t>
  </si>
  <si>
    <t>CCCEGY-RFI-000301</t>
  </si>
  <si>
    <t>REH-08-26- K03271-CRJ-RFI-000011 Clarification Request: Additional Raft Footing Reinforcement (Cloud 01)</t>
  </si>
  <si>
    <t>HillInt-RFI-000583</t>
  </si>
  <si>
    <t>Darr-RTRFI-000016</t>
  </si>
  <si>
    <t>HillInt-RTRFI-000746</t>
  </si>
  <si>
    <t>reminder : HillInt-GNC-001647</t>
  </si>
  <si>
    <t>REH-08-26- K03271-CRJ-RFI-000012</t>
  </si>
  <si>
    <t>CCCEGY-RFI-000302</t>
  </si>
  <si>
    <t>REH-08-26- K03271-CRJ-RFI-000012 Clarification Request: Stair Starter beam Width Dimension (4-Plex &amp; 6-Plex)</t>
  </si>
  <si>
    <t>HillInt-RFI-000584</t>
  </si>
  <si>
    <t>Darr-RTRFI-000026</t>
  </si>
  <si>
    <t>HillInt-RTRFI-000801</t>
  </si>
  <si>
    <t>reminder : HillInt-GNC-001648</t>
  </si>
  <si>
    <t>REH.08.26.3271-CRJ-RFI-STR -000013</t>
  </si>
  <si>
    <t>CCCEGY-RFI-000303</t>
  </si>
  <si>
    <t>REH.08.26.3271-CRJ-RFI-STR -000013 ,Clarification Request: Some Missing Column Setting-Out Dimensions</t>
  </si>
  <si>
    <t>HillInt-RFI-000601</t>
  </si>
  <si>
    <t>Darr-RTRFI-000014</t>
  </si>
  <si>
    <t>HillInt-RTRFI-000743</t>
  </si>
  <si>
    <t>reminder :HillInt-GNC-001650</t>
  </si>
  <si>
    <t>REH.08.26.3271-CRJ-RFI-STR -000014</t>
  </si>
  <si>
    <t>CCCEGY-RFI-000322</t>
  </si>
  <si>
    <t>REH.08.26.3271-CRJ-RFI-STR -000014 ,Clarification Request: Core 2 - Discrepancies in Concentration Zone Reinforcement</t>
  </si>
  <si>
    <t>HillInt-RFI-000619</t>
  </si>
  <si>
    <t>Darr-RTRFI-000013</t>
  </si>
  <si>
    <t>HillInt-RTRFI-000744</t>
  </si>
  <si>
    <t>REH.08.26.3271-CRJ-RFI-AR-000015-00</t>
  </si>
  <si>
    <t>CCCEGY-RFI-000328</t>
  </si>
  <si>
    <t>REH.08.26.K03271-CRJ-RFI-AR-000015-00, Clarification Request: Drawing Levels &amp; Mockup Building (WW-23)</t>
  </si>
  <si>
    <t>Architectural</t>
  </si>
  <si>
    <t>HillInt-RFI-000638</t>
  </si>
  <si>
    <t>Darr-RTRFI-000034</t>
  </si>
  <si>
    <t>HillInt-RTRFI-000824</t>
  </si>
  <si>
    <t>reminder : HillInt-GNC-001832</t>
  </si>
  <si>
    <t>REH.08.26.3271-CRJ-RFI-ST-000016</t>
  </si>
  <si>
    <t>CCCEGY-RFI-000342</t>
  </si>
  <si>
    <t>REH.08.26.3271-CRJ-RFI-ST-000016, Discrepancies in Column Dimensions and Locations Between Architectural and Structural IFC Drawings (6-plex)</t>
  </si>
  <si>
    <t>HillInt-RFI-000711</t>
  </si>
  <si>
    <t>Darr-RTRFI-000029</t>
  </si>
  <si>
    <t>HillInt-RTRFI-000805</t>
  </si>
  <si>
    <t>REH.08.26.3271-CRJ-RFI-ST-000017-00</t>
  </si>
  <si>
    <t>CCCEGY-RFI-000340</t>
  </si>
  <si>
    <t>REH.08.26.3271-CRJ-RFI-ST-000017, Clarification Request: Discrepancies Between Architectural and Structural IFC Drawings for Columns (4-plex)</t>
  </si>
  <si>
    <t>HillInt-RFI-000700</t>
  </si>
  <si>
    <t>Darr-RTRFI-000027</t>
  </si>
  <si>
    <t>HillInt-RTRFI-000802</t>
  </si>
  <si>
    <t>REH.08-26.3271-CRJ-RFI-ST-000018-00</t>
  </si>
  <si>
    <t>CCCEGY-RFI-000341</t>
  </si>
  <si>
    <t>REH.08-26.3271-CRJ-RFI-ST-000018,Clarification Request: Impervious material</t>
  </si>
  <si>
    <t>HillInt-RFI-000703</t>
  </si>
  <si>
    <t>Darr-RTRFI-000025</t>
  </si>
  <si>
    <t>HillInt-RTRFI-000797</t>
  </si>
  <si>
    <t>REH.08-26.3271-CRJ-RFI-ST-000019-00</t>
  </si>
  <si>
    <t>CCCEGY-RFI-000349</t>
  </si>
  <si>
    <t>REH.08-26.3271-CRJ-RFI-ST-000019, Discrepancies in wet areas recessed slab and boundaries at first floor (4-plex)</t>
  </si>
  <si>
    <t>HillInt-RFI-000739</t>
  </si>
  <si>
    <t>Darr-RTRFI-000058</t>
  </si>
  <si>
    <t>HillInt-RTRFI-000887</t>
  </si>
  <si>
    <t>REH.08-26.3271-CRJ-RFI-AR-000020-00</t>
  </si>
  <si>
    <t>CCCEGY-RFI-000350</t>
  </si>
  <si>
    <t>REH.08-26.3271-CRJ-RFI-AR-000020, Clarification on Block Work Material Type for External Masonry Walls (W1)</t>
  </si>
  <si>
    <t>HillInt-RFI-000740</t>
  </si>
  <si>
    <t>Darr-RTRFI-000042</t>
  </si>
  <si>
    <t>HillInt-RTRFI-000858</t>
  </si>
  <si>
    <t>REH.08-26.3271-CRJ-RFI-ME-000021-00</t>
  </si>
  <si>
    <t>CCCEGY-RFI-000351</t>
  </si>
  <si>
    <t>REH.08-26.3271-CRJ-RFI-ME-000021, Clarification Request related to Excavation Levels &amp; Drawing Titles</t>
  </si>
  <si>
    <t>MEC</t>
  </si>
  <si>
    <t>HillInt-RFI-000741</t>
  </si>
  <si>
    <t>Darr-RTRFI-000074</t>
  </si>
  <si>
    <t>HillInt-RTRFI-000907</t>
  </si>
  <si>
    <t>REH.08-26.3271-CRJ-RFI-ME-000021-01</t>
  </si>
  <si>
    <t>CCCEGY-RFI-000403</t>
  </si>
  <si>
    <t>Re: REH.08-26.3271-CRJ-RFI-ME-000021-01, Clarification Request related to Excavation Levels &amp; Drawing Titles</t>
  </si>
  <si>
    <t>HillInt-RFI-000833</t>
  </si>
  <si>
    <t>Darr-RTRFI-000103</t>
  </si>
  <si>
    <t>HillInt-RTRFI-001026</t>
  </si>
  <si>
    <t>REH.08.26.3271-CRJ-RFI-000022-00</t>
  </si>
  <si>
    <t>CCCEGY-RFI-000352</t>
  </si>
  <si>
    <t>REH.08.26.3271-CRJ-RFI-000022, Clarification on Missing Specification Section 016000 (Product Requirements)</t>
  </si>
  <si>
    <t>All Disciplines</t>
  </si>
  <si>
    <t>HillInt-RFI-000742</t>
  </si>
  <si>
    <t>Darr-RTRFI-000062</t>
  </si>
  <si>
    <t>HillInt-RTRFI-000906</t>
  </si>
  <si>
    <t>closed by ENG . Asmaa Abdellahy</t>
  </si>
  <si>
    <t>REH.08.26.3271-CRJ-RFI-EL-000023-00</t>
  </si>
  <si>
    <t>CCCEGY-RFI-000353</t>
  </si>
  <si>
    <t>REH.08.26.3271-CRJ-RFI-EL-000023, Discrepancy Between IFC Drawings and BOQ regarding Light Current Routing Method</t>
  </si>
  <si>
    <t>ELEC</t>
  </si>
  <si>
    <t>HillInt-RFI-000743</t>
  </si>
  <si>
    <t>Darr-RTRFI-000044</t>
  </si>
  <si>
    <t>HillInt-RTRFI-000874</t>
  </si>
  <si>
    <t>reminder : HillInt-GNC-002125</t>
  </si>
  <si>
    <t>REH.08.26.3271-CRJ-RFI-ST-000024-00</t>
  </si>
  <si>
    <t>CCCEGY-RFI-000334</t>
  </si>
  <si>
    <t>REH.08.26.3271-CRJ-RFI-ST-000024, Clarification Request: Underground masonry works</t>
  </si>
  <si>
    <t>HillInt-RFI-000667</t>
  </si>
  <si>
    <t>Darr-RTRFI-000021</t>
  </si>
  <si>
    <t>HillInt-RTRFI-000800</t>
  </si>
  <si>
    <t>reminder : HillInt-GNC-001831</t>
  </si>
  <si>
    <t>REH.08.26.3271-CRJ-RFI-ST-000025</t>
  </si>
  <si>
    <t>CCCEGY-RFI-000375</t>
  </si>
  <si>
    <t>REH.08.26.3271-CRJ-RFI-ST-000025, Clarification of Fence vs. Retaining Wall Foundations and Request for Master Plan</t>
  </si>
  <si>
    <t>HillInt-RFI-000769</t>
  </si>
  <si>
    <t>Darr-RTRFI-000072</t>
  </si>
  <si>
    <t>HillInt-RTRFI-000899</t>
  </si>
  <si>
    <t>reminder : HillInt-GNC-002126</t>
  </si>
  <si>
    <t>CCCEGY-RFI-000404</t>
  </si>
  <si>
    <t>Re: REH.08.26.3271-CRJ-RFI-ST-000025-01, Clarification of Fence vs. Retaining Wall Foundations and Request for Master Plan</t>
  </si>
  <si>
    <t>HillInt-RFI-000834</t>
  </si>
  <si>
    <t>Darr-RTRFI-000084</t>
  </si>
  <si>
    <t>HillInt-RTRFI-000973</t>
  </si>
  <si>
    <t>CCCEGY-RFI-000464</t>
  </si>
  <si>
    <t>Re: REH.08.26.3271-CRJ-RFI-ST-000025-02, Clarification Required (Fence / Retaining Wall Foundation)</t>
  </si>
  <si>
    <t>HillInt-RFI-000957</t>
  </si>
  <si>
    <t>Darr-RTRFI-000168</t>
  </si>
  <si>
    <t>HillInt-RTRFI-001229</t>
  </si>
  <si>
    <t>REH.08.26.3271-CRJ-RFI-ST-000026</t>
  </si>
  <si>
    <t>CCCEGY-RFI-000377</t>
  </si>
  <si>
    <t>REH.08.26.3271-CRJ-RFI-ST-000026,Discrepancy in Slab on Grade (SOG) Thickness and Proposed Revised Section</t>
  </si>
  <si>
    <t>HillInt-RTRFI-000851</t>
  </si>
  <si>
    <t>Darr-RTRFI-000052</t>
  </si>
  <si>
    <t>HillInt-RTRFI-000876</t>
  </si>
  <si>
    <t>REH.08.26.3271-CRJ-RFI-ST-000027</t>
  </si>
  <si>
    <t>CCCEGY-RFI-000385</t>
  </si>
  <si>
    <t>REH.08.26.3271-CRJ-RFI-ST-000027,Revit Models Queries</t>
  </si>
  <si>
    <t>HillInt-RFI-000780</t>
  </si>
  <si>
    <t>Darr-RTRFI-000051</t>
  </si>
  <si>
    <t>HillInt-RTRFI-000875</t>
  </si>
  <si>
    <t>REH.08.26.3271-CRJ-RFI-EL-000028</t>
  </si>
  <si>
    <t>CCCEGY-RFI-000386</t>
  </si>
  <si>
    <t>REH.08.26.3271-CRJ-RFI-EL-000028,Discrepancy between ID drawing and Electrical lighting layouts</t>
  </si>
  <si>
    <t>HillInt-RFI-000781</t>
  </si>
  <si>
    <t>Darr-RTRFI-000057</t>
  </si>
  <si>
    <t>HillInt-RTRFI-000886</t>
  </si>
  <si>
    <t>REH.08.26.3271-CRJ-RFI-ME-000029</t>
  </si>
  <si>
    <t>CCCEGY-RFI-000387</t>
  </si>
  <si>
    <t>REH.08.26.3271-CRJ-RFI-ME-000029, HVAC Duct Clearance &amp; Ceiling Void Coordination Conflict</t>
  </si>
  <si>
    <t>HillInt-RFI-000782</t>
  </si>
  <si>
    <t>Darr-RTRFI-000070</t>
  </si>
  <si>
    <t>HillInt-RTRFI-000901</t>
  </si>
  <si>
    <t>REH.08.26.3271-CRJ-RFI-ME-000030</t>
  </si>
  <si>
    <t>CCCEGY-RFI-000389</t>
  </si>
  <si>
    <t>REH.08.26.3271-CRJ-RFI-ME-000030, Contradiction in the type of water closet</t>
  </si>
  <si>
    <t>HillInt-RFI-000798</t>
  </si>
  <si>
    <t>Darr-RTRFI-000069</t>
  </si>
  <si>
    <t>HillInt-RTRFI-000896</t>
  </si>
  <si>
    <t>REH.08.26.3271-CRJ-RFI-ME-000030-01</t>
  </si>
  <si>
    <t>CCCEGY-RFI-000405</t>
  </si>
  <si>
    <t>Re: REH.08.26.3271-CRJ-RFI-ME-000030-01, Contradiction in the type of water closet</t>
  </si>
  <si>
    <t>HillInt-RFI-000835</t>
  </si>
  <si>
    <t>Darr-RTRFI-000082</t>
  </si>
  <si>
    <t>HillInt-RTRFI-000971</t>
  </si>
  <si>
    <t>REH.08.26.3271-CRJ-RFI-ME-000031</t>
  </si>
  <si>
    <t>CCCEGY-RFI-000390</t>
  </si>
  <si>
    <t>REH.08.26.3271-CRJ-RFI-ME-000031, Type of Floor drain inside wet areas</t>
  </si>
  <si>
    <t>HillInt-RFI-000801</t>
  </si>
  <si>
    <t>Darr-RTRFI-000061</t>
  </si>
  <si>
    <t>HillInt-RTRFI-000889</t>
  </si>
  <si>
    <t>REH.08.26.3271-CRJ-RFI-ME-000032</t>
  </si>
  <si>
    <t>CCCEGY-RFI-000394</t>
  </si>
  <si>
    <t>REH.08.26.3271-CRJ-RFI-ME-000032, Insufficient space to run the drainage pipes at the First floor</t>
  </si>
  <si>
    <t>HillInt-RFI-000806</t>
  </si>
  <si>
    <t>Darr-RTRFI-000071</t>
  </si>
  <si>
    <t>HillInt-RTRFI-000898</t>
  </si>
  <si>
    <t>REH.08.26.3271-CRJ-RFI-AR-000033</t>
  </si>
  <si>
    <t>CCCEGY-RFI-000402</t>
  </si>
  <si>
    <t>REH.08.26.3271-CRJ-RFI-AR-000033, 4 Plex – Flat – First Floor – Shafts discrepancy between Architecture &amp; Structure</t>
  </si>
  <si>
    <t>HillInt-RFI-000826</t>
  </si>
  <si>
    <t>Darr-RTRFI-000080</t>
  </si>
  <si>
    <t>HillInt-RTRFI-000955</t>
  </si>
  <si>
    <t>CCCEGY-RFI-000435</t>
  </si>
  <si>
    <t>Re: REH.08.26.3271-CRJ-RFI-AR-000033-01, 4 Plex – Flat – First Floor – Shafts discrepancy between Architecture &amp; Structure</t>
  </si>
  <si>
    <t>HillInt-RFI-000875</t>
  </si>
  <si>
    <t>Darr-RTRFI-000106</t>
  </si>
  <si>
    <t>HillInt-RTRFI-001030</t>
  </si>
  <si>
    <t>REH.08.26.3271-CRJ-RFI-ME-000034</t>
  </si>
  <si>
    <t>CCCEGY-RFI-000406</t>
  </si>
  <si>
    <t>REH.08.26.3271-CRJ-RFI-ME-000034,HVAC Duct Clearance &amp; Ceiling Void Coordination Conflict (4 Plex-4 Bedroom type)</t>
  </si>
  <si>
    <t>HillInt-RFI-000836</t>
  </si>
  <si>
    <t>Darr-RTRFI-000081</t>
  </si>
  <si>
    <t>HillInt-RTRFI-000966</t>
  </si>
  <si>
    <t>REH.08.26.3271-CRJ-RFI-AR-000035</t>
  </si>
  <si>
    <t>CCCEGY-RFI-000407</t>
  </si>
  <si>
    <t>REH.08.26.3271-CRJ-RFI-AR-000035,Clarification of Exterior Insulation and Finish System (EIFS) Specification &amp; Scope</t>
  </si>
  <si>
    <t>HillInt-RFI-000837</t>
  </si>
  <si>
    <t>Darr-RTRFI-000086</t>
  </si>
  <si>
    <t>HillInt-RTRFI-000983</t>
  </si>
  <si>
    <t>REH.08.26.3271-CRJ-RFI-ST-000036</t>
  </si>
  <si>
    <t>CCCEGY-RFI-000416</t>
  </si>
  <si>
    <t>REH.08.26.3271-CRJ-RFI-ST-000036,General – Slab on Grade Details</t>
  </si>
  <si>
    <t>HillInt-RFI-000838</t>
  </si>
  <si>
    <t>Darr-RTRFI-000085</t>
  </si>
  <si>
    <t>HillInt-RTRFI-000974</t>
  </si>
  <si>
    <t>CCCEGY-RFI-000465</t>
  </si>
  <si>
    <t>REH.08.26.3271-CRJ-RFI-ST-000036-01,General – Slab on Grade Details</t>
  </si>
  <si>
    <t>HillInt-RFI-000959</t>
  </si>
  <si>
    <t>Darr-RTRFI-000127</t>
  </si>
  <si>
    <t>HillInt-RTRFI-001095</t>
  </si>
  <si>
    <t>REH.08.26.3271-CRJ-RFI-AR-000037</t>
  </si>
  <si>
    <t>CCCEGY-RFI-000437</t>
  </si>
  <si>
    <t>REH.08.26.3271-CRJ-RFI-AR-000037, 3 Bedroom townhouse – Beam clash with ceiling and missing downstand from STR IFC</t>
  </si>
  <si>
    <t>HillInt-RFI-000914</t>
  </si>
  <si>
    <t>Darr-RTRFI-000109</t>
  </si>
  <si>
    <t>HillInt-RTRFI-001037</t>
  </si>
  <si>
    <t>REH.08.26.3271-CRJ-RFI-ST-000038</t>
  </si>
  <si>
    <t>CCCEGY-RFI-000462</t>
  </si>
  <si>
    <t>REH.08.26.3271-CRJ-RFI-ST-000038, Difference between townhouses’ finish levels and natural ground levels</t>
  </si>
  <si>
    <t>HillInt-RFI-000955</t>
  </si>
  <si>
    <t>Darr-RTRFI-000118</t>
  </si>
  <si>
    <t>HillInt-RTRFI-001064</t>
  </si>
  <si>
    <t>REH.08.26.3271-CRJ-RFI-ST-000039</t>
  </si>
  <si>
    <t>CCCEGY-RFI-000463</t>
  </si>
  <si>
    <t>REH.08.26.3271-CRJ-RFI-ST-000039, 4 Plex – 1 Stepped – First Floor Slab</t>
  </si>
  <si>
    <t>HillInt-RFI-000956</t>
  </si>
  <si>
    <t>Darr-RTRFI-000126</t>
  </si>
  <si>
    <t>HillInt-RTRFI-001094</t>
  </si>
  <si>
    <t>REH.08.26.3271-CRJ-RFI-ST-000040</t>
  </si>
  <si>
    <t>CCCEGY-RFI-000466</t>
  </si>
  <si>
    <t>REH.08.26.3271-CRJ-RFI-ST-000040, WW-23 (Mockup Building) - Fence Foundation vs Building Foundation</t>
  </si>
  <si>
    <t>HillInt-RFI-000960</t>
  </si>
  <si>
    <t>Darr-RTRFI-000128</t>
  </si>
  <si>
    <t>HillInt-RTRFI-001096</t>
  </si>
  <si>
    <t>REH.08.26.3271-CRJ-RFI-AR-000041</t>
  </si>
  <si>
    <t>CCCEGY-RFI-000516</t>
  </si>
  <si>
    <t>REH.08.26.3271-CRJ-RFI-AR-000041, Arch Openings Clearance</t>
  </si>
  <si>
    <t>HillInt-RFI-001059</t>
  </si>
  <si>
    <t>Darr-RTRFI-000135</t>
  </si>
  <si>
    <t>HillInt-RTRFI-001169</t>
  </si>
  <si>
    <t>CCCEGY-RFI-000694</t>
  </si>
  <si>
    <t>Re: REH.08.26.3271-CRJ-RFI-AR-000041-01, Arch Openings Clearance</t>
  </si>
  <si>
    <t>ECG</t>
  </si>
  <si>
    <t>HillInt-GNC-004421</t>
  </si>
  <si>
    <t>REH.08-26.3271-CRJ-RFI-ME-000042</t>
  </si>
  <si>
    <t>CCCEGY-RFI-000517</t>
  </si>
  <si>
    <t>REH.08-26.3271-CRJ-RFI-ME-000042, Reply to Consultant reply to RFI(RFI-ME-000032)</t>
  </si>
  <si>
    <t>HillInt-RFI-001060</t>
  </si>
  <si>
    <t>Darr-RTRFI-000156</t>
  </si>
  <si>
    <t>HillInt-RTRFI-001184</t>
  </si>
  <si>
    <t>REH.08-26.3271-CRJ-RFI-ME-000043</t>
  </si>
  <si>
    <t>CCCEGY-RFI-000521</t>
  </si>
  <si>
    <t>REH.08.26.3271-CRJ-RFI-AR-000043, 3 Bedroom And 4 Bedroom Town-House– Openings Discrepancies</t>
  </si>
  <si>
    <t>HillInt-RFI-001079</t>
  </si>
  <si>
    <t>HillInt-RTRFI-001177</t>
  </si>
  <si>
    <t>REH.08.26.3271-CRJ-RFI-AR-000044</t>
  </si>
  <si>
    <t>CCCEGY-RFI-000518</t>
  </si>
  <si>
    <t>REH.08.26.3271-CRJ-RFI-AR-000044, 4-Plex Connection Between Townhouses</t>
  </si>
  <si>
    <t>HillInt-RFI-001061</t>
  </si>
  <si>
    <t>Darr-RTRFI-000136</t>
  </si>
  <si>
    <t>HillInt-RTRFI-001170</t>
  </si>
  <si>
    <t>REH.08.26.3271-CRJ-RFI-AR-000045</t>
  </si>
  <si>
    <t>CCCEGY-RFI-000535</t>
  </si>
  <si>
    <t>REH.08.26.3271-CRJ-RFI-AR-000045, 3 Bedroom TH – Stair Discrepancy</t>
  </si>
  <si>
    <t>HillInt-RFI-001110</t>
  </si>
  <si>
    <t>SHKECGCR-RTRFI-000023</t>
  </si>
  <si>
    <t>HillInt-GNC-004323</t>
  </si>
  <si>
    <t>send by outlook</t>
  </si>
  <si>
    <t>CCCEGY-RFI-000693</t>
  </si>
  <si>
    <t>Re: REH.08.26.3271-CRJ-RFI-AR-000045-01, 3 Bedroom TH – Stair Discrepancy</t>
  </si>
  <si>
    <t xml:space="preserve">Architectural </t>
  </si>
  <si>
    <t>HillInt-GNC-004420</t>
  </si>
  <si>
    <t>REH.08-26.3271-CRJ-RFI-ME-000046</t>
  </si>
  <si>
    <t>CCCEGY-RFI-000523</t>
  </si>
  <si>
    <t>REH.08-26.3271-CRJ-RFI-ME-000046, Rainwater for trash room</t>
  </si>
  <si>
    <t>Mechanical</t>
  </si>
  <si>
    <t>HillInt-RFI-001080</t>
  </si>
  <si>
    <t>Darr-RTRFI-000163</t>
  </si>
  <si>
    <t>HillInt-RTRFI-001205</t>
  </si>
  <si>
    <t>REH.08.26.3271-CRJ-RFI-AR-000047</t>
  </si>
  <si>
    <t>CCCEGY-RFI-000519</t>
  </si>
  <si>
    <t>REH.08.26.3271-CRJ-RFI-AR-000047, General – Roof Shafts</t>
  </si>
  <si>
    <t>HillInt-RFI-001063</t>
  </si>
  <si>
    <t>Darr-RTRFI-000162</t>
  </si>
  <si>
    <t>HillInt-RTRFI-001204</t>
  </si>
  <si>
    <t>CCCEGY-RFI-000594</t>
  </si>
  <si>
    <t>REH.08.26.3271-CRJ-RFI-AR-000047-01, General – Roof Shafts</t>
  </si>
  <si>
    <t>HillInt-GNC-003286</t>
  </si>
  <si>
    <t>SHKECGCR-RTRFI-000089</t>
  </si>
  <si>
    <t>HillInt-GNC-004276</t>
  </si>
  <si>
    <t>REH.08.26.3271-CRJ-RFI-ST-000048</t>
  </si>
  <si>
    <t>CCCEGY-RFI-000520</t>
  </si>
  <si>
    <t>REH.08.26.3271-CRJ-RFI-ST-000048, Received revised design for ground beams</t>
  </si>
  <si>
    <t>Structural</t>
  </si>
  <si>
    <t>HillInt-RFI-001064</t>
  </si>
  <si>
    <t>Darr-RTRFI-000152</t>
  </si>
  <si>
    <t>HillInt-RTRFI-001185</t>
  </si>
  <si>
    <t>REH.08.26.3271-CRJ-RFI-ST-000048-01, Received revised design for ground beams</t>
  </si>
  <si>
    <t>HillInt-GNC-003248</t>
  </si>
  <si>
    <t>SHKECGCR-RTRFI-000074</t>
  </si>
  <si>
    <t>HillInt-RTRFI-001277</t>
  </si>
  <si>
    <t>REH.08.26.3271-CRJ-RFI-ME-000049</t>
  </si>
  <si>
    <t>CCCEGY-RFI-000522</t>
  </si>
  <si>
    <t>REH.08.26.3271-CRJ-RFI-ME-000049, Type of the louver on the exhaust air duct</t>
  </si>
  <si>
    <t>HillInt-RFI-001081</t>
  </si>
  <si>
    <t>Darr-RTRFI-000158</t>
  </si>
  <si>
    <t>HillInt-RTRFI-001186</t>
  </si>
  <si>
    <t>REH.08.26.3271-CRJ-RFI-ME-000050</t>
  </si>
  <si>
    <t>CCCEGY-RFI-000536</t>
  </si>
  <si>
    <t>REH.08.26.3271-CRJ-RFI-AR-000050, 4 Bedroom Town-House – Opening Sill Discrepancy</t>
  </si>
  <si>
    <t>HillInt-RFI-001112</t>
  </si>
  <si>
    <t>SHKECGCR-RTRFI-000028</t>
  </si>
  <si>
    <t>REH.08.26.3271-CRJ-RFI-ST-000051</t>
  </si>
  <si>
    <t>CCCEGY-RFI-000524</t>
  </si>
  <si>
    <t>REH.08.26.3271-CRJ-RFI-ST-000051, Received Retaining Walls Design</t>
  </si>
  <si>
    <t>HillInt-RFI-001082</t>
  </si>
  <si>
    <t>Darr-RTRFI-000164</t>
  </si>
  <si>
    <t>HillInt-RTRFI-001224</t>
  </si>
  <si>
    <t>REH.08.26.3271-CRJ-RFI-AR-000052</t>
  </si>
  <si>
    <t>CCCEGY-RFI-000525</t>
  </si>
  <si>
    <t>REH.08.26.3271-CRJ-RFI-AR-000052, Received Retaining Walls Design</t>
  </si>
  <si>
    <t>HillInt-RFI-001083</t>
  </si>
  <si>
    <t>Darr-RTRFI-000167</t>
  </si>
  <si>
    <t>HillInt-RTRFI-001228</t>
  </si>
  <si>
    <t>REH.08.26.3271-CRJ-RFI-ST-000053</t>
  </si>
  <si>
    <t>CCCEGY-RFI-000526</t>
  </si>
  <si>
    <t>REH.08.26.3271-CRJ-RFI-ST-000053, Multi-Faith Buildings (Excavation Levels &amp; Coordinates)</t>
  </si>
  <si>
    <t>HillInt-RFI-001094</t>
  </si>
  <si>
    <t>SHKECGCR-RTRFI-000067</t>
  </si>
  <si>
    <t>HillInt-RTRFI-001270</t>
  </si>
  <si>
    <t>CCCEGY-RFI-000582</t>
  </si>
  <si>
    <t>Re: REH.08.26.3271-CRJ-RFI-ST-000051-01, Received Retaining Walls Design</t>
  </si>
  <si>
    <t>HillInt-GNC-003249</t>
  </si>
  <si>
    <t>Please note that RFI No. REH.08.26.3271-CRJ-RFI-ST-000051-01 does not include the RFI response or the required signature.
Kindly ensure that the response to the RFI is properly attached and duly signed before resubmission.
Please review and take the necessary action accordingly.</t>
  </si>
  <si>
    <t>REH.08.26.3271-CRJ-RFI-AR-000054</t>
  </si>
  <si>
    <t>CCCEGY-RFI-000527</t>
  </si>
  <si>
    <t>REH.08.26.3271-CRJ-RFI-AR-000054, Multi-Faith Buildings (Outstanding Designs)</t>
  </si>
  <si>
    <t>HillInt-RFI-001095</t>
  </si>
  <si>
    <t>reminder  : HillInt-GNC-004177</t>
  </si>
  <si>
    <t>REH.08.26.3271-CRJ-RFI-ST-000055</t>
  </si>
  <si>
    <t>CCCEGY-RFI-000528</t>
  </si>
  <si>
    <t>REH.08.26.3271-CRJ-RFI-ST-000055, Verification of Historical Filling and Assessment of Its Impact on Foundation Design</t>
  </si>
  <si>
    <t>HillInt-RFI-001096</t>
  </si>
  <si>
    <t>SHKECGCR-RTRFI-000076</t>
  </si>
  <si>
    <t>REH.08.26.3271-CRJ-RFI-ST-000056</t>
  </si>
  <si>
    <t>CCCEGY-RFI-000537</t>
  </si>
  <si>
    <t>REH.08.26.3271-CRJ-RFI-ST-000056, 6 Plex – 1 &amp; 2 Stepped – First Floor Slab</t>
  </si>
  <si>
    <t>dar</t>
  </si>
  <si>
    <t>HillInt-RFI-001115</t>
  </si>
  <si>
    <t>Darr-GNC-001159</t>
  </si>
  <si>
    <t>HillInt-GNC-004115</t>
  </si>
  <si>
    <t>Transfer to dar</t>
  </si>
  <si>
    <t>REH.08.26.3271-CRJ-RFI-ST-000057</t>
  </si>
  <si>
    <t>CCCEGY-RFI-000538</t>
  </si>
  <si>
    <t>REH.08.26.3271-CRJ-RFI-ST-000057, Slab on grade – difference levels Contradiction</t>
  </si>
  <si>
    <t>HillInt-RFI-001117</t>
  </si>
  <si>
    <t>Darr-GNC-001160</t>
  </si>
  <si>
    <t>HillInt-GNC-004116</t>
  </si>
  <si>
    <t>REH.08.26.3271-CRJ-RFI-ST-000058</t>
  </si>
  <si>
    <t>CCCEGY-RFI-000529</t>
  </si>
  <si>
    <t>REH.08.26.3271-CRJ-RFI-ST-000058, Proposed Ground Beams under External Walls for Townhouses (4-Plex and 6-Plex)</t>
  </si>
  <si>
    <t>done</t>
  </si>
  <si>
    <t>SHKECGCR-RTRFI-000015</t>
  </si>
  <si>
    <t>HillInt-RTRFI-001164</t>
  </si>
  <si>
    <t>REH.08.26.3271-CRJ-RFI-ST-000059</t>
  </si>
  <si>
    <t>CCCEGY-RFI-000530</t>
  </si>
  <si>
    <t>REH.08.26.3271-CRJ-RFI-ST-000059, Plate Load Test Application</t>
  </si>
  <si>
    <t>SHKECGCR-RTRFI-000016</t>
  </si>
  <si>
    <t>HillInt-RTRFI-001167</t>
  </si>
  <si>
    <t>REH.08.26.3271-CRJ-RFI-AR-000060</t>
  </si>
  <si>
    <t>CCCEGY-GNC-000049</t>
  </si>
  <si>
    <t>REH.08.26.3271-CRJ-RFI-AR-000060, Underground Blockwork Quires</t>
  </si>
  <si>
    <t>HillInt-RFI-001183</t>
  </si>
  <si>
    <t>SHKECGCR-RTRFI-000031</t>
  </si>
  <si>
    <t>HillInt-RTRFI-001238</t>
  </si>
  <si>
    <t>The submission could not be completed due to an issue with Aconex.</t>
  </si>
  <si>
    <t>REH.08.26.3271-CRJ-RFI-ME-000061</t>
  </si>
  <si>
    <t>CCCEGY-RFI-000539</t>
  </si>
  <si>
    <t>REH.08.26.3271-CRJ-RFI-ME-000061, HVAC clashes with Structural elements at Roof</t>
  </si>
  <si>
    <t>HillInt-RFI-001118</t>
  </si>
  <si>
    <t>SHKECGCR-RTRFI-000024</t>
  </si>
  <si>
    <t>HillInt-RTRFI-001261</t>
  </si>
  <si>
    <t>REH.08.26.3271-CRJ-RFI-ME-000062</t>
  </si>
  <si>
    <t>CCCEGY-RFI-000540</t>
  </si>
  <si>
    <t>REH.08.26.3271-CRJ-RFI-ME-000062, Concrete wall behind the Lavatory at Bathroom 2</t>
  </si>
  <si>
    <t>HillInt-RFI-001120</t>
  </si>
  <si>
    <t>SHKECGCR-GNC-000275</t>
  </si>
  <si>
    <t>HillInt-RTRFI-001260</t>
  </si>
  <si>
    <t>REH.08.26.3271-CRJ-RFI-ME-000063</t>
  </si>
  <si>
    <t>CCCEGY-RFI-000550</t>
  </si>
  <si>
    <t>REH.08.26.3271-CRJ-RFI-ME-000063, Contradiction in the type of lavatory at the Master Bathroom</t>
  </si>
  <si>
    <t>HillInt-RFI-001158</t>
  </si>
  <si>
    <t>SHKECGCR-RTRFI-000037</t>
  </si>
  <si>
    <t>HillInt-GNC-003585</t>
  </si>
  <si>
    <t>CCCEGY-RFI-000662</t>
  </si>
  <si>
    <t>Re: REH.08.26.3271-CRJ-RFI-ME-000063-01, Contradiction in the type of lavatory at the Master Bathroom</t>
  </si>
  <si>
    <t>HillInt-GNC-003966</t>
  </si>
  <si>
    <t>SHKECGCR-RTRFI-000085</t>
  </si>
  <si>
    <t>HillInt-GNC-004265</t>
  </si>
  <si>
    <t>REH.08.26.3271-CRJ-RFI-AR-000064</t>
  </si>
  <si>
    <t>CCCEGY-RFI-000547</t>
  </si>
  <si>
    <t>REH.08.26.3271-CRJ-RFI-AR-000064, General – Wall Queries – Ground Floor</t>
  </si>
  <si>
    <t>HillInt-RFI-001150</t>
  </si>
  <si>
    <t>SHKECGCR-RTRFI-000075</t>
  </si>
  <si>
    <t>HillInt-RTRFI-001276</t>
  </si>
  <si>
    <t>REH.08.26.3271-CRJ-RFI-AR-000065</t>
  </si>
  <si>
    <t>CCCEGY-RFI-000553</t>
  </si>
  <si>
    <t>REH.08.26.3271-CRJ-RFI-AR-000065, General – Acoustics Queries</t>
  </si>
  <si>
    <t>HillInt-RFI-001153</t>
  </si>
  <si>
    <t>Darr-GNC-001136</t>
  </si>
  <si>
    <t>HillInt-RTRFI-001268</t>
  </si>
  <si>
    <t>REH.08.26.3271-CRJ-RFI-AR-000066</t>
  </si>
  <si>
    <t>CCCEGY-RFI-000548</t>
  </si>
  <si>
    <t>REH.08.26.3271-CRJ-RFI-AR-000066, General – Missing Doors tags</t>
  </si>
  <si>
    <t>HillInt-RFI-001154</t>
  </si>
  <si>
    <t>SHKECGCR-RTRFI-000077</t>
  </si>
  <si>
    <t>HillInt-GNC-004114</t>
  </si>
  <si>
    <t>REH.08.26.3271-CRJ-RFI-AR-000067</t>
  </si>
  <si>
    <t>CCCEGY-RFI-000561</t>
  </si>
  <si>
    <t>REH.08.26.3271-CRJ-RFI-AR-000067, General – Entrances’ Queries</t>
  </si>
  <si>
    <t>HillInt-RFI-001172</t>
  </si>
  <si>
    <t>Darr-GNC-001193</t>
  </si>
  <si>
    <t>HillInt-GNC-004243</t>
  </si>
  <si>
    <t>REH.08.26.3271-CRJ-RFI-AR-000068</t>
  </si>
  <si>
    <t>CCCEGY-RFI-000549</t>
  </si>
  <si>
    <t>REH.08.26.3271-CRJ-RFI-AR-000068, General – 4 Bedroom TH Stairs Handrail</t>
  </si>
  <si>
    <t>HillInt-RFI-001157</t>
  </si>
  <si>
    <t>Darr-GNC-001155</t>
  </si>
  <si>
    <t>HillInt-GNC-004077</t>
  </si>
  <si>
    <t>REH.08.26.3271-CRJ-RFI-AR-000068-01</t>
  </si>
  <si>
    <t>CCCEGY-RFI-000676</t>
  </si>
  <si>
    <t>General – 4 Bedroom TH Stairs Handrail</t>
  </si>
  <si>
    <t>HillInt-GNC-004079</t>
  </si>
  <si>
    <t>SHKECGCR-RTRFI-000091</t>
  </si>
  <si>
    <t>HillInt-GNC-004278</t>
  </si>
  <si>
    <t>REH.08.26.3271-CRJ-RFI-AR-000069</t>
  </si>
  <si>
    <t>CCCEGY-RFI-000563</t>
  </si>
  <si>
    <t>REH.08.26.3271-CRJ-RFI-AR-000069, General – Kitchen Joinery Details’ Queries</t>
  </si>
  <si>
    <t>HillInt-GNC-003250</t>
  </si>
  <si>
    <t>SHKECGCR-RTRFI-000058</t>
  </si>
  <si>
    <t>HillInt-RTRFI-001259</t>
  </si>
  <si>
    <t>REH.08.26.3271-CRJ-RFI-AR-000070</t>
  </si>
  <si>
    <t>CCCEGY-RFI-000562</t>
  </si>
  <si>
    <t>REH.08.26.3271-CRJ-RFI-AR-000070, General – Discrepancy in wall types.</t>
  </si>
  <si>
    <t>HillInt-RFI-001173</t>
  </si>
  <si>
    <t>Darr-RTRFI-000173</t>
  </si>
  <si>
    <t>HillInt-GNC-003982</t>
  </si>
  <si>
    <t>REH.08.26.3271-CRJ-RFI-ME-000071</t>
  </si>
  <si>
    <t>CCCEGY-RFI-000564</t>
  </si>
  <si>
    <t>REH.08.26.3271-CRJ-RFI-ME-000071, Reply to Consultant reply to RFI(RFI-ME-000042)</t>
  </si>
  <si>
    <t>HillInt-GNC-003251</t>
  </si>
  <si>
    <t>SHKECGCR-RTRFI-000036</t>
  </si>
  <si>
    <t>HillInt-GNC-003584</t>
  </si>
  <si>
    <t>REH.08.26.3271-CRJ-RFI-ST-000072</t>
  </si>
  <si>
    <t>CCCEGY-RFI-000583</t>
  </si>
  <si>
    <t>REH.08.26.3271-CRJ-RFI-ST-000072, Multi-Faith Buildings (Superstructure Design)</t>
  </si>
  <si>
    <t>HillInt-GNC-003252</t>
  </si>
  <si>
    <t>Darr-GNC-001128</t>
  </si>
  <si>
    <t>HillInt-RTRFI-001258</t>
  </si>
  <si>
    <t>CCCEGY-RFI-000696</t>
  </si>
  <si>
    <t>Re: REH.08.26.3271-CRJ-RFI-ST-000072-01, Multi-Faith Buildings (Superstructure Design)</t>
  </si>
  <si>
    <t>HillInt-GNC-004423</t>
  </si>
  <si>
    <t>REH.08.26.3271-CRJ-RFI-ME-000073</t>
  </si>
  <si>
    <t>CCCEGY-RFI-000584</t>
  </si>
  <si>
    <t>REH.08.26.3271-CRJ-RFI-ME-000073, Contradiction in the Capacity of Ventilation fans</t>
  </si>
  <si>
    <t>HillInt-GNC-003253</t>
  </si>
  <si>
    <t>Darr-GNC-001110</t>
  </si>
  <si>
    <t>HillInt-RTRFI-001257</t>
  </si>
  <si>
    <t>CCCEGY-RFI-000663</t>
  </si>
  <si>
    <t>Re: REH.08.26.3271-CRJ-RFI-ME-000073-01, Contradiction in the Capacity of Ventilation fans</t>
  </si>
  <si>
    <t>DAR</t>
  </si>
  <si>
    <t>HillInt-GNC-003984</t>
  </si>
  <si>
    <t>Darr-GNC-001187</t>
  </si>
  <si>
    <t>HillInt-GNC-004236</t>
  </si>
  <si>
    <t>REH.08.26.3271-CRJ-RFI-AR-000074</t>
  </si>
  <si>
    <t>CCCEGY-RFI-000638</t>
  </si>
  <si>
    <t>REH.08.26.3271-CRJ-RFI-AR-000074, Skirting discrepancies</t>
  </si>
  <si>
    <t>HillInt-GNC-003830</t>
  </si>
  <si>
    <t>SHKECGCR-RTRFI-000071</t>
  </si>
  <si>
    <t>HillInt-GNC-003877</t>
  </si>
  <si>
    <t>REH.08-26.3271-CRJ-RFI-ST-000075</t>
  </si>
  <si>
    <t>CCCEGY-RFI-000602</t>
  </si>
  <si>
    <t>REH.08-26.3271-CRJ-RFI-ST-000075, WW-71 &amp; WW-69 – Common fence foundation</t>
  </si>
  <si>
    <t>HillInt-GNC-003397</t>
  </si>
  <si>
    <t>SHKECGCR-RTRFI-000034</t>
  </si>
  <si>
    <t>HillInt-RTRFI-001262</t>
  </si>
  <si>
    <t>CCCEGY-RFI-000656</t>
  </si>
  <si>
    <t>REH.08-26.3271-CRJ-RFI-ST-000075-01, WW-71 &amp; WW-69 – Common fence foundation</t>
  </si>
  <si>
    <t>HillInt-GNC-003996</t>
  </si>
  <si>
    <t>Darr-GNC-001171</t>
  </si>
  <si>
    <t>HillInt-GNC-004159</t>
  </si>
  <si>
    <t>CCCEGY-RFI-000703</t>
  </si>
  <si>
    <t>Re: REH.08-26.3271-CRJ-RFI-ST-000075-02, WW-71 &amp; WW-69 – Common fence foundation</t>
  </si>
  <si>
    <t>HillInt-GNC-004435</t>
  </si>
  <si>
    <t>Darr-GNC-001243</t>
  </si>
  <si>
    <t>HillInt-GNC-004511</t>
  </si>
  <si>
    <t>REH.08.26.3271-CRJ-RFI-ST-000076</t>
  </si>
  <si>
    <t>CCCEGY-RFI-000603</t>
  </si>
  <si>
    <t>REH.08.26.3271-CRJ-RFI-ST-000076, Fence wall between houses at the same plex</t>
  </si>
  <si>
    <t>HillInt-GNC-003398</t>
  </si>
  <si>
    <t>Darr-GNC-001134</t>
  </si>
  <si>
    <t>HillInt-RTRFI-001267</t>
  </si>
  <si>
    <t>REH.08.26.3271-CRJ-RFI-ST-000077</t>
  </si>
  <si>
    <t>CCCEGY-RFI-000613</t>
  </si>
  <si>
    <t>REH.08.26.3271-CRJ-RFI-ST-000077, FENCE LOCATION – SITE PLAN vs MASTER PALN</t>
  </si>
  <si>
    <t>HillInt-GNC-003576</t>
  </si>
  <si>
    <t>Darr-GNC-001138</t>
  </si>
  <si>
    <t>HillInt-RTRFI-001271</t>
  </si>
  <si>
    <t>REH.08-26.3271-CRJ-RFI-ST-000078</t>
  </si>
  <si>
    <t>CCCEGY-RFI-000614</t>
  </si>
  <si>
    <t>REH.08-26.3271-CRJ-RFI-ST-000078, Contradiction between fence wall in connection with the Str. element of the building</t>
  </si>
  <si>
    <t>HillInt-GNC-003574</t>
  </si>
  <si>
    <t>reminder HillInt-GNC-003873</t>
  </si>
  <si>
    <t>REH.08.26.3271-CRJ-RFI-AR-000079</t>
  </si>
  <si>
    <t>CCCEGY-RFI-000640</t>
  </si>
  <si>
    <t>REH.08.26.3271-CRJ-RFI-AR-000079, Discrepancies Between Arch ID Drawings and MEP Drawings</t>
  </si>
  <si>
    <t>HillInt-GNC-003882</t>
  </si>
  <si>
    <t>Darr-GNC-001191</t>
  </si>
  <si>
    <t>HillInt-GNC-004242</t>
  </si>
  <si>
    <t>REH.08.26.3271-CRJ-RFI-ST-000080</t>
  </si>
  <si>
    <t>CCCEGY-RFI-000619</t>
  </si>
  <si>
    <t>REH.08.26.3271-CRJ-RFI-ST-000080, Discrepancy Regarding the Exact Location of the External Boundary Wall</t>
  </si>
  <si>
    <t>CIVIL</t>
  </si>
  <si>
    <t>HillInt-GNC-003675</t>
  </si>
  <si>
    <t>Darr-GNC-001211</t>
  </si>
  <si>
    <t>HillInt-GNC-004283</t>
  </si>
  <si>
    <t>trasfer to DAR</t>
  </si>
  <si>
    <t>REH.08.26.3271-CRJ-RFI-ST-000081</t>
  </si>
  <si>
    <t>CCCEGY-RFI-000620</t>
  </si>
  <si>
    <t>REH.08.26.3271-CRJ-RFI-ST-000081, WW-87 Contradiction at fence foundation Vs Plex Footings</t>
  </si>
  <si>
    <t>HillInt-GNC-003676</t>
  </si>
  <si>
    <t>Darr-GNC-001157</t>
  </si>
  <si>
    <t>HillInt-GNC-004344</t>
  </si>
  <si>
    <t>REH.08.26.3271-CRJ-RFI-ST-000082</t>
  </si>
  <si>
    <t>CCCEGY-RFI-000621</t>
  </si>
  <si>
    <t>REH.08.26.3271-CRJ-RFI-ST-000082, Contradiction between IFC general fence foundation detail &amp; superimposed plan for plex &amp; fence foundation</t>
  </si>
  <si>
    <t>HillInt-GNC-003677</t>
  </si>
  <si>
    <t>Darr-GNC-001172</t>
  </si>
  <si>
    <t>HillInt-GNC-004176</t>
  </si>
  <si>
    <t>Trasfer to DAR</t>
  </si>
  <si>
    <t>REH.08.26.3271-CRJ-RFI-ST-000083</t>
  </si>
  <si>
    <t>CCCEGY-RFI-000622</t>
  </si>
  <si>
    <t>REH.08.26.3271-CRJ-RFI-ST-000083, WW-17 Contradiction at fence foundation Vs Plex Footings</t>
  </si>
  <si>
    <t>HillInt-GNC-003678</t>
  </si>
  <si>
    <t>Darr-RTRFI-000183</t>
  </si>
  <si>
    <t>HillInt-GNC-004078</t>
  </si>
  <si>
    <t>REH.08.26.3271-CRJ-RFI-ST-000084</t>
  </si>
  <si>
    <t>CCCEGY-RFI-000623</t>
  </si>
  <si>
    <t>REH.08.26.3271-CRJ-RFI-ST-000084, Fence Foundation &amp; walls – Expansion joint</t>
  </si>
  <si>
    <t>HillInt-GNC-003679</t>
  </si>
  <si>
    <t>Darr-GNC-001168</t>
  </si>
  <si>
    <t>HillInt-GNC-004136</t>
  </si>
  <si>
    <t>REH.08.26.3271-CRJ-RFI-ST-000085</t>
  </si>
  <si>
    <t>CCCEGY-RFI-000639</t>
  </si>
  <si>
    <t>REH.08.26.3271-CRJ-RFI-EL-000085, Electric Conduits Colors</t>
  </si>
  <si>
    <t>HillInt-GNC-003828</t>
  </si>
  <si>
    <t>Darr-GNC-001151</t>
  </si>
  <si>
    <t>HillInt-RTRFI-001275</t>
  </si>
  <si>
    <t>REH.08.26.3271-CRJ-RFI-ST-000086</t>
  </si>
  <si>
    <t>CCCEGY-RFI-000652</t>
  </si>
  <si>
    <t>REH.08.26.3271-CRJ-RFI-AR-000086, Ceiling Clashes.</t>
  </si>
  <si>
    <t>HillInt-GNC-003908</t>
  </si>
  <si>
    <t>SHKECGCR-RTRFI-000082</t>
  </si>
  <si>
    <t>HillInt-GNC-004263</t>
  </si>
  <si>
    <t>REH.08.26.3271-CRJ-RFI-ST-000087</t>
  </si>
  <si>
    <t>CCCEGY-RFI-000657</t>
  </si>
  <si>
    <t>REH.08.26.3271-CRJ-RFI-ST-000087, WW-54 - Fence Foundation &amp; walls</t>
  </si>
  <si>
    <t>HillInt-GNC-003997</t>
  </si>
  <si>
    <t>Darr-GNC-001183</t>
  </si>
  <si>
    <t>HillInt-GNC-004178</t>
  </si>
  <si>
    <t>CCCEGY-RFI-000702</t>
  </si>
  <si>
    <t>Re: REH.08.26.3271-CRJ-RFI-ST-000087-01, WW-54 - Fence Foundation &amp; walls</t>
  </si>
  <si>
    <t xml:space="preserve">Structural </t>
  </si>
  <si>
    <t>HillInt-GNC-004434</t>
  </si>
  <si>
    <t>Darr-GNC-001244</t>
  </si>
  <si>
    <t>HillInt-GNC-004512</t>
  </si>
  <si>
    <t>REH.08.26.3271-CRJ-RFI-ST-000088</t>
  </si>
  <si>
    <t>CCCEGY-RFI-000699</t>
  </si>
  <si>
    <t>REH.08.26.3271-CRJ-RFI-ST-000088, Master Plan</t>
  </si>
  <si>
    <t>HillInt-GNC-004426</t>
  </si>
  <si>
    <t>REH.08.26.3271-CRJ-RFI-ST-000089</t>
  </si>
  <si>
    <t>CCCEGY-RFI-000653</t>
  </si>
  <si>
    <t>REH.08.26.3271-CRJ-RFI-CV-00089, Inquiry about Roads Profiles.</t>
  </si>
  <si>
    <t>HillInt-GNC-003955</t>
  </si>
  <si>
    <t>REH.08.26.3271-CRJ-RFI-ST-000090</t>
  </si>
  <si>
    <t>CCCEGY-RFI-000654</t>
  </si>
  <si>
    <t>REH.08.26.3271-CRJ-RFI-CV-00090, Inquiry about Road Profile (Number 35)</t>
  </si>
  <si>
    <t>HillInt-GNC-003953</t>
  </si>
  <si>
    <t>HillInt-RFI-001210</t>
  </si>
  <si>
    <t>REH.08.26.3271-CRJ-RFI-ST-000091</t>
  </si>
  <si>
    <t>CCCEGY-RFI-000655</t>
  </si>
  <si>
    <t>REH.08.26.3271-CRJ-RFI-CV-00091, Inquiry about Roads Design Package</t>
  </si>
  <si>
    <t>HillInt-GNC-003954</t>
  </si>
  <si>
    <t>REH.08.26.3271-CRJ-RFI-AR-000092</t>
  </si>
  <si>
    <t>CCCEGY-RFI-000698</t>
  </si>
  <si>
    <t>REH.08.26.3271-CRJ-RFI-AR-000092, 3&amp;4 Bedroom - Skirting Behind Wardrobe</t>
  </si>
  <si>
    <t>Architectural </t>
  </si>
  <si>
    <t>HillInt-GNC-004425</t>
  </si>
  <si>
    <t>REH.08.26.3271-CRJ-RFI-ST-000093</t>
  </si>
  <si>
    <t>CCCEGY-RFI-000664</t>
  </si>
  <si>
    <t>REH.08.26.3271-CRJ-RFI-ME-000093, Coordination between fence and Plumbing work</t>
  </si>
  <si>
    <t>HillInt-GNC-003983</t>
  </si>
  <si>
    <t>REH.08.26.3271-CRJ-RFI-ST-000094</t>
  </si>
  <si>
    <t>CCCEGY-RFI-000683</t>
  </si>
  <si>
    <t>REH.08.26.3271-CRJ-RFI-ME-000094, Inquiry about Potable water and Firefighting Networks</t>
  </si>
  <si>
    <t>HillInt-GNC-004244</t>
  </si>
  <si>
    <t>REH.08.26.3271-CRJ-RFI-ST-000095</t>
  </si>
  <si>
    <t>CCCEGY-RFI-000684</t>
  </si>
  <si>
    <t>REH.08.26.3271-CRJ-RFI-ME-000095, Inquiry about Potable water and Firefighting Networks</t>
  </si>
  <si>
    <t xml:space="preserve">Mechanical </t>
  </si>
  <si>
    <t>REH.08.26.3271-CRJ-RFI-ST-000096</t>
  </si>
  <si>
    <t>CCCEGY-RFI-000673</t>
  </si>
  <si>
    <t>REH.08.26.3271-CRJ-RFI-ME-000096, Inquiry about Mechanical Infrastructure Package</t>
  </si>
  <si>
    <t>HillInt-GNC-004026</t>
  </si>
  <si>
    <t>REH.08.26.3271-CRJ-RFI-ST-000097</t>
  </si>
  <si>
    <t>CCCEGY-RFI-000661</t>
  </si>
  <si>
    <t>REH.08.26.3271-CRJ-RFI-AR-000097, Plaster Thickness discrepancies.</t>
  </si>
  <si>
    <t>HillInt-GNC-003957</t>
  </si>
  <si>
    <t>SHKECGCR-RTRFI-000083</t>
  </si>
  <si>
    <t>HillInt-GNC-004264</t>
  </si>
  <si>
    <t>REH.08.26.3271-CRJ-RFI-ST-000098</t>
  </si>
  <si>
    <t>CCCEGY-RFI-000669</t>
  </si>
  <si>
    <t>REH.08.26.3271-CRJ-RFI-ST-000098, Multifaith – Buildings names &amp; Coordinates</t>
  </si>
  <si>
    <t>HillInt-GNC-004022</t>
  </si>
  <si>
    <t>Darr-RTRFI-000187</t>
  </si>
  <si>
    <t>HillInt-GNC-004253</t>
  </si>
  <si>
    <t xml:space="preserve">HillInt-GNC-004241 Please note that the RFI reply has not been attached to the email, although the email refers to an attached reply.
Kindly ensure that the complete RFI reply is properly attached and resend the email accordingly.
Please make sure to verify all attachments before sending any correspondence to avoid delays and unnecessary rework.
Your immediate action is required. </t>
  </si>
  <si>
    <t>REH.08.26.3271-CRJ-RFI-ST-000099</t>
  </si>
  <si>
    <t>CCCEGY-RFI-000670</t>
  </si>
  <si>
    <t>Fwd: REH.08.26.3271-CRJ-RFI-ST-000099, Pergolas Anchors Details</t>
  </si>
  <si>
    <t>HillInt-GNC-004023</t>
  </si>
  <si>
    <t>REH.08.26.3271-CRJ-RFI-ST-000100</t>
  </si>
  <si>
    <t>CCCEGY-RFI-000671</t>
  </si>
  <si>
    <t>Fwd: REH.08.26.3271-CRJ-RFI-ST-000100, Contradiction between landscape &amp; structure drawings</t>
  </si>
  <si>
    <t>HillInt-GNC-004024</t>
  </si>
  <si>
    <t>Darr-GNC-001189</t>
  </si>
  <si>
    <t>HillInt-GNC-004238</t>
  </si>
  <si>
    <t>REH.08.26.3271-CRJ-RFI-ST-000101</t>
  </si>
  <si>
    <t>CCCEGY-RFI-000672</t>
  </si>
  <si>
    <t>Fwd: REH.08.26.3271-CRJ-RFI-ST-000101, WW71-Contradiction for pergolas pedestals</t>
  </si>
  <si>
    <t>HillInt-GNC-004025</t>
  </si>
  <si>
    <t>Darr-GNC-001188</t>
  </si>
  <si>
    <t>HillInt-GNC-004237</t>
  </si>
  <si>
    <t>REH.08.26.3271-CRJ-RFI-ST-000102</t>
  </si>
  <si>
    <t>CCCEGY-RFI-000674</t>
  </si>
  <si>
    <t>REH.08.26.3271-CRJ-RFI-GN-000102, Inquiry about BOQ</t>
  </si>
  <si>
    <t>HillInt-GNC-004027</t>
  </si>
  <si>
    <t>REH.08.26.3271-CRJ-RFI-GN-000103</t>
  </si>
  <si>
    <t>CCCEGY-RFI-000685</t>
  </si>
  <si>
    <t>Fwd: REH.08.26.3271-CRJ-RFI-GN-000103, Inquiry about Infrastructure package (Multi faith)</t>
  </si>
  <si>
    <t>HillInt-GNC-004254</t>
  </si>
  <si>
    <t>Darr-GNC-001237</t>
  </si>
  <si>
    <t>HillInt-GNC-004510</t>
  </si>
  <si>
    <t>REH.08.26.3271-CRJ-RFI-GN-000104</t>
  </si>
  <si>
    <t>CCCEGY-RFI-000686</t>
  </si>
  <si>
    <t>REH.08.26.3271-CRJ-RFI-GN-000104, Inquiry about Infrastructure package (Lagoons)</t>
  </si>
  <si>
    <t>HillInt-GNC-004255</t>
  </si>
  <si>
    <t>REH.08.26.3271-CRJ-RFI-EL-000105</t>
  </si>
  <si>
    <t>CCCEGY-RFI-000687</t>
  </si>
  <si>
    <t>REH.08.26.3271-CRJ-RFI-EL-000105, Inquiry about Infrastructure package (Electric)</t>
  </si>
  <si>
    <t xml:space="preserve">Electrical </t>
  </si>
  <si>
    <t>REH.08.26.3271-CRJ-RFI-GN-000106</t>
  </si>
  <si>
    <t>CCCEGY-RFI-000689</t>
  </si>
  <si>
    <t>REH.08.26.3271-CRJ-RFI-GN-000106, Inquiry about Infrastructure package (General)</t>
  </si>
  <si>
    <t xml:space="preserve">All Disciplines </t>
  </si>
  <si>
    <t>HillInt-GNC-004258</t>
  </si>
  <si>
    <t>REH.08.26.3271-CRJ-RFI-EL-000107</t>
  </si>
  <si>
    <t>CCCEGY-RFI-000688</t>
  </si>
  <si>
    <t>REH.08.26.3271-CRJ-RFI-EL-000107, Clarification on Earthing System Descoping vs. IFC Scope</t>
  </si>
  <si>
    <t>HillInt-GNC-004257</t>
  </si>
  <si>
    <t>REH.08.26.3271-CRJ-RFI-EL-000108</t>
  </si>
  <si>
    <t>CCCEGY-RFI-000690</t>
  </si>
  <si>
    <t>REH.08.26.3271-CRJ-RFI-EL-000108, Clarification &amp; Revision Request: Descoping of provisional sum Items</t>
  </si>
  <si>
    <t>HillInt-GNC-004259</t>
  </si>
  <si>
    <t>REH.08.26.3271-CRJ-RFI-AR-000109</t>
  </si>
  <si>
    <t>CCCEGY-RFI-000697</t>
  </si>
  <si>
    <t>REH.08.26.3271-CRJ-RFI-AR-000109, 3 Bedroom First Floor - Ceiling Queries</t>
  </si>
  <si>
    <t>HillInt-GNC-004424</t>
  </si>
  <si>
    <t>REH.08.26.3271-CRJ-RFI-AR-000110</t>
  </si>
  <si>
    <t>CCCEGY-RFI-000695</t>
  </si>
  <si>
    <t>REH.08.26.3271-CRJ-RFI-AR-000110, 4 Plex – Landscape Discrepancy</t>
  </si>
  <si>
    <t>HillInt-GNC-004422</t>
  </si>
  <si>
    <t>REH.08.26.3271-CRJ-RFI-ST-000111</t>
  </si>
  <si>
    <t>CCCEGY-RFI-000700</t>
  </si>
  <si>
    <t>REH.08.26.3271-CRJ-RFI-ST-000111, Fence Foundation &amp; Concrete walls Model</t>
  </si>
  <si>
    <t>HillInt-GNC-004428</t>
  </si>
  <si>
    <t>REH.08.26.3271-CRJ-RFI-ST-000112</t>
  </si>
  <si>
    <t>CCCEGY-RFI-000701</t>
  </si>
  <si>
    <t>REH.08.26.3271-CRJ-RFI-ST-000112, Request for Structural Calculations &amp; Geotechnical Data – Townhouse Fences</t>
  </si>
  <si>
    <t>HillInt-GNC-004429</t>
  </si>
  <si>
    <t>REH.08.26.3271-CRJ-RFI-ME-000113</t>
  </si>
  <si>
    <t>CCCEGY-RFI-000735</t>
  </si>
  <si>
    <t>REH.08.26.3271-CRJ-RFI-ME-000113, Coordination between fence and Plumbing work (WW 23)</t>
  </si>
  <si>
    <t>HillInt-GNC-004609</t>
  </si>
  <si>
    <t>REH.08.26.3271-CRJ-RFI-AR-000114</t>
  </si>
  <si>
    <t>REH.08.26.3271-CRJ-RFI-AR-000114, 3&amp;4 Bedroom – Discrepancy Between Architectural ID and HVAC Drawings</t>
  </si>
  <si>
    <t>CCCEGY-RFI-000746</t>
  </si>
  <si>
    <t>HillInt-GNC-004610</t>
  </si>
  <si>
    <t>REH.08.26.3271-CRJ-RFI-AR-000115</t>
  </si>
  <si>
    <t>CCCEGY-RFI-000747</t>
  </si>
  <si>
    <t>REH.08.26.3271-CRJ-RFI-AR-000115, 3&amp;4 Bedroom – Discrepancy between Arch &amp; Mep in dishwasher location</t>
  </si>
  <si>
    <t>HillInt-GNC-004611</t>
  </si>
  <si>
    <t>Darr-RTRFI-000189</t>
  </si>
  <si>
    <t> 3 October 2026</t>
  </si>
  <si>
    <t>HillInt-GNC-004655</t>
  </si>
  <si>
    <t>SHKECGCR-RTRFI-000135</t>
  </si>
  <si>
    <t>HillInt-GNC-004665</t>
  </si>
  <si>
    <t>SHKECGCR-RTRFI-000136</t>
  </si>
  <si>
    <t>HillInt-GNC-004666</t>
  </si>
  <si>
    <t>REH.08.26.3271-CRJ-RFI-ME-000117</t>
  </si>
  <si>
    <t>CCCEGY-RFI-000748</t>
  </si>
  <si>
    <t>REH.08.26.3271-CRJ-RFI-ME-000117, Requesting additional water hammer arrestor</t>
  </si>
  <si>
    <t>HillInt-GNC-004671</t>
  </si>
  <si>
    <t xml:space="preserve">HillInt-GNC-004682 : reminder </t>
  </si>
  <si>
    <t xml:space="preserve">HillInt-GNC-004683 : reminder </t>
  </si>
  <si>
    <t>HillInt-GNC-004707</t>
  </si>
  <si>
    <t>Darr-GNC-001182</t>
  </si>
  <si>
    <t>HillInt-GNC-004724</t>
  </si>
  <si>
    <t>SHKECGCR-RTRFI-000116</t>
  </si>
  <si>
    <t>REH.08.26.3271-CRJ-RFI-AR-000118</t>
  </si>
  <si>
    <t>CCCEGY-RFI-000749</t>
  </si>
  <si>
    <t>REH.08.26.3271-CRJ-RFI-AR-000118, 3&amp;4 Bedroom – Discrepancy between ID &amp; Material Approval</t>
  </si>
  <si>
    <t>HillInt-GNC-004730</t>
  </si>
  <si>
    <t>REH.08.26.3271-CRJ-RFI-AR-000119</t>
  </si>
  <si>
    <t>CCCEGY-RFI-000750</t>
  </si>
  <si>
    <t>REH.08.26.3271-CRJ-RFI-AR-000119, 3&amp;4 Bedroom – Discrepancy between ID &amp; Material Approved</t>
  </si>
  <si>
    <t>HillInt-GNC-004732</t>
  </si>
  <si>
    <t>CCCEGY-RFI-000751</t>
  </si>
  <si>
    <t>Re: REH.08.26.3271-CRJ-RFI-ST-000100-01, Contradiction between landscape &amp; structure drawings</t>
  </si>
  <si>
    <t>HillInt-GNC-004733</t>
  </si>
  <si>
    <t xml:space="preserve">HillInt-GNC-004734 : reminder </t>
  </si>
  <si>
    <t xml:space="preserve">HillInt-GNC-004735 : reminder </t>
  </si>
  <si>
    <t xml:space="preserve">HillInt-GNC-004742 : reminder </t>
  </si>
  <si>
    <t xml:space="preserve">HillInt-GNC-004743 : reminder </t>
  </si>
  <si>
    <t>ECG to DAR</t>
  </si>
  <si>
    <t xml:space="preserve">HillInt-GNC-004749 : reminder </t>
  </si>
  <si>
    <t>HillInt-GNC-004248</t>
  </si>
  <si>
    <t xml:space="preserve">HillInt-GNC-004750 : reminder </t>
  </si>
  <si>
    <t xml:space="preserve">HillInt-GNC-004751 : reminder </t>
  </si>
  <si>
    <t xml:space="preserve">HillInt-GNC-004752 : reminder </t>
  </si>
  <si>
    <t xml:space="preserve">HillInt-GNC-004753 : reminder </t>
  </si>
  <si>
    <t>HillInt-GNC-004256</t>
  </si>
  <si>
    <t>HillInt-GNC-004754 : reminder</t>
  </si>
  <si>
    <t>SHKECGCR-RTRFI-000114</t>
  </si>
  <si>
    <t>HillInt-GNC-004755</t>
  </si>
  <si>
    <t xml:space="preserve">HillInt-GNC-004756 : reminder </t>
  </si>
  <si>
    <t xml:space="preserve">HillInt-GNC-004757 : reminder </t>
  </si>
  <si>
    <t xml:space="preserve">HillInt-GNC-004758 : reminder </t>
  </si>
  <si>
    <t xml:space="preserve">HillInt-GNC-004759 : reminder </t>
  </si>
  <si>
    <t xml:space="preserve">HillInt-GNC-004748 : reminder </t>
  </si>
  <si>
    <t xml:space="preserve">HillInt-GNC-004760 : reminder </t>
  </si>
  <si>
    <t>REH.08.26.3271-CRJ-RFI-AR-000116</t>
  </si>
  <si>
    <t>CCCEGY-RFI-000752</t>
  </si>
  <si>
    <t>REH.08.26.3271-CRJ-RFI-AR-000116, discrepancy between Access panel location in MECH &amp; ARCH</t>
  </si>
  <si>
    <t>HillInt-GNC-004770</t>
  </si>
  <si>
    <t>REH.08.26.3271-CRJ-RFI-AR-000120</t>
  </si>
  <si>
    <t>CCCEGY-RFI-000753</t>
  </si>
  <si>
    <t>REH.08.26.3271-CRJ-RFI-AR-000120, 3&amp;4 Bedroom – Ironmongery Manual Is Missing</t>
  </si>
  <si>
    <t>HillInt-GNC-004771</t>
  </si>
  <si>
    <t>SHKECGCR-RTRFI-000143</t>
  </si>
  <si>
    <t>HillInt-GNC-004809</t>
  </si>
  <si>
    <t>CCCEGY-RFI-000754</t>
  </si>
  <si>
    <t>Re: REH.08.26.3271-CRJ-RFI-AR-000045-02, 3 Bedroom TH – Stair Discrepancy</t>
  </si>
  <si>
    <t>SHKECGCR-RTRFI-000150</t>
  </si>
  <si>
    <t>HillInt-GNC-004856</t>
  </si>
  <si>
    <t>SHKECGCR-RTRFI-000152</t>
  </si>
  <si>
    <t>HillInt-GNC-004857</t>
  </si>
  <si>
    <t>ecg</t>
  </si>
  <si>
    <t>action</t>
  </si>
  <si>
    <t>SHKECGCR-GNC-000530</t>
  </si>
  <si>
    <t>HillInt-GNC-004869</t>
  </si>
  <si>
    <t>SHKECGCR-RTRFI-000164</t>
  </si>
  <si>
    <t>HillInt-GNC-004909</t>
  </si>
  <si>
    <t>HillInt-GNC-004911</t>
  </si>
  <si>
    <t>SHKECGCR-RTRFI-000165</t>
  </si>
  <si>
    <t>SHKECGCR-RTRFI-000166</t>
  </si>
  <si>
    <t>HillInt-GNC-004912</t>
  </si>
  <si>
    <t>SHKECGCR-RTRFI-000167</t>
  </si>
  <si>
    <t>HillInt-GNC-004913</t>
  </si>
  <si>
    <t>SHKECGCR-RTRFI-000170</t>
  </si>
  <si>
    <t>HillInt-GNC-004914</t>
  </si>
  <si>
    <t>SHKECGCR-RTRFI-000171</t>
  </si>
  <si>
    <t>HillInt-GNC-004915</t>
  </si>
  <si>
    <t>SHKECGCR-RTRFI-000174</t>
  </si>
  <si>
    <t>HillInt-GNC-004920</t>
  </si>
  <si>
    <t>HillInt-GNC-004921</t>
  </si>
  <si>
    <t>SHKECGCR-RTRFI-000176</t>
  </si>
  <si>
    <t>SHKECGCR-RTRFI-000178</t>
  </si>
  <si>
    <t>HillInt-GNC-004925</t>
  </si>
  <si>
    <t>SHKECGCR-RTRFI-000181</t>
  </si>
  <si>
    <t>HillInt-GNC-004933</t>
  </si>
  <si>
    <t>SHKECGCR-RTRFI-000184</t>
  </si>
  <si>
    <t>HillInt-GNC-004937</t>
  </si>
  <si>
    <t>SHKECGCR-RTRFI-000185</t>
  </si>
  <si>
    <t>HillInt-GNC-004940</t>
  </si>
  <si>
    <t>SHKECGCR-RTRFI-000186</t>
  </si>
  <si>
    <t>HillInt-GNC-004942</t>
  </si>
  <si>
    <t>CCCEGY-RFI-000755</t>
  </si>
  <si>
    <t>Re: REH.08.26.3271-CRJ-RFI-AR-000047-02, General – Roof Shafts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</si>
</sst>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6"/>
      <color theme="1"/>
      <name val="Calibri"/>
      <family val="2"/>
      <scheme val="minor"/>
    </font>
    <font>
      <b/>
      <sz val="11"/>
      <color theme="1"/>
      <name val="Calibri"/>
      <family val="2"/>
      <scheme val="minor"/>
    </font>
    <font>
      <b/>
      <sz val="11"/>
      <color rgb="FF333333"/>
      <name val="Arial"/>
      <family val="2"/>
    </font>
    <font>
      <b/>
      <sz val="14"/>
      <color indexed="12"/>
      <name val="Calibri"/>
      <family val="2"/>
    </font>
    <font>
      <b/>
      <sz val="14"/>
      <color rgb="FF00B0F0"/>
      <name val="Calibri"/>
      <family val="2"/>
      <scheme val="minor"/>
    </font>
    <font>
      <sz val="12"/>
      <color theme="1"/>
      <name val="Calibri"/>
      <family val="2"/>
      <scheme val="minor"/>
    </font>
    <font>
      <sz val="8"/>
      <name val="Calibri"/>
      <family val="2"/>
      <scheme val="minor"/>
    </font>
    <font>
      <b/>
      <sz val="18"/>
      <color theme="1"/>
      <name val="Calibri"/>
      <family val="2"/>
      <scheme val="minor"/>
    </font>
    <font>
      <b/>
      <sz val="16"/>
      <color indexed="12"/>
      <name val="Calibri"/>
      <family val="2"/>
    </font>
    <font>
      <sz val="16"/>
      <color theme="1"/>
      <name val="Calibri"/>
      <family val="2"/>
      <scheme val="minor"/>
    </font>
    <font>
      <sz val="14"/>
      <color theme="1"/>
      <name val="Calibri"/>
      <family val="2"/>
      <scheme val="minor"/>
    </font>
  </fonts>
  <fills count="7">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4" tint="0.39997558519241921"/>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1">
    <xf numFmtId="0" fontId="0" fillId="0" borderId="0"/>
  </cellStyleXfs>
  <cellXfs count="93">
    <xf numFmtId="0" fontId="0" fillId="0" borderId="0" xfId="0"/>
    <xf numFmtId="0" fontId="0" fillId="0" borderId="0" xfId="0" applyAlignment="1">
      <alignment horizontal="center" vertical="center"/>
    </xf>
    <xf numFmtId="0" fontId="2" fillId="0" borderId="3" xfId="0" applyFont="1" applyBorder="1" applyAlignment="1">
      <alignment horizontal="center" vertical="center"/>
    </xf>
    <xf numFmtId="0" fontId="0" fillId="5" borderId="0" xfId="0" applyFill="1"/>
    <xf numFmtId="0" fontId="2" fillId="0" borderId="15" xfId="0" applyFont="1" applyBorder="1" applyAlignment="1">
      <alignment horizontal="center" vertical="center"/>
    </xf>
    <xf numFmtId="0" fontId="2" fillId="0" borderId="16" xfId="0" applyFont="1" applyBorder="1" applyAlignment="1">
      <alignment horizontal="center" vertical="center"/>
    </xf>
    <xf numFmtId="0" fontId="2" fillId="0" borderId="9" xfId="0" applyFont="1" applyBorder="1" applyAlignment="1">
      <alignment horizontal="center" vertical="center"/>
    </xf>
    <xf numFmtId="0" fontId="4" fillId="2" borderId="12" xfId="0" applyFont="1" applyFill="1" applyBorder="1" applyAlignment="1">
      <alignment horizontal="center" vertical="center"/>
    </xf>
    <xf numFmtId="0" fontId="2" fillId="0" borderId="0" xfId="0" applyFont="1" applyAlignment="1">
      <alignment horizontal="center" vertical="center"/>
    </xf>
    <xf numFmtId="15" fontId="0" fillId="0" borderId="0" xfId="0" applyNumberFormat="1" applyAlignment="1">
      <alignment horizontal="center" vertical="center"/>
    </xf>
    <xf numFmtId="0" fontId="4" fillId="2" borderId="13" xfId="0" applyFont="1" applyFill="1" applyBorder="1" applyAlignment="1">
      <alignment horizontal="center" vertical="center"/>
    </xf>
    <xf numFmtId="0" fontId="4" fillId="2" borderId="14" xfId="0" applyFont="1" applyFill="1" applyBorder="1" applyAlignment="1">
      <alignment horizontal="center" vertical="center"/>
    </xf>
    <xf numFmtId="0" fontId="2" fillId="0" borderId="1" xfId="0" applyFont="1" applyBorder="1" applyAlignment="1">
      <alignment horizontal="center" vertical="center"/>
    </xf>
    <xf numFmtId="1" fontId="1" fillId="0" borderId="0" xfId="0" applyNumberFormat="1" applyFont="1" applyAlignment="1">
      <alignment horizontal="center" vertical="center"/>
    </xf>
    <xf numFmtId="1" fontId="0" fillId="0" borderId="0" xfId="0" applyNumberFormat="1" applyAlignment="1">
      <alignment horizontal="center" vertical="center"/>
    </xf>
    <xf numFmtId="0" fontId="6" fillId="0" borderId="2" xfId="0" applyFont="1" applyBorder="1" applyAlignment="1">
      <alignment horizontal="center" vertical="center" wrapText="1"/>
    </xf>
    <xf numFmtId="0" fontId="6" fillId="0" borderId="6" xfId="0" applyFont="1" applyBorder="1" applyAlignment="1">
      <alignment horizontal="center" vertical="center" wrapText="1"/>
    </xf>
    <xf numFmtId="0" fontId="6" fillId="0" borderId="5" xfId="0" applyFont="1" applyBorder="1" applyAlignment="1">
      <alignment horizontal="center" vertical="center" wrapText="1"/>
    </xf>
    <xf numFmtId="0" fontId="6" fillId="0" borderId="8" xfId="0" applyFont="1" applyBorder="1" applyAlignment="1">
      <alignment horizontal="center" vertical="center" wrapText="1"/>
    </xf>
    <xf numFmtId="15" fontId="6" fillId="0" borderId="11" xfId="0" applyNumberFormat="1" applyFont="1" applyBorder="1" applyAlignment="1">
      <alignment horizontal="center" vertical="center" wrapText="1"/>
    </xf>
    <xf numFmtId="0" fontId="6" fillId="0" borderId="7" xfId="0" applyFont="1" applyBorder="1" applyAlignment="1">
      <alignment horizontal="center" vertical="center" wrapText="1"/>
    </xf>
    <xf numFmtId="0" fontId="4" fillId="2" borderId="18" xfId="0" applyFont="1" applyFill="1" applyBorder="1" applyAlignment="1">
      <alignment horizontal="center" vertical="center"/>
    </xf>
    <xf numFmtId="0" fontId="4" fillId="2" borderId="1" xfId="0" applyFont="1" applyFill="1" applyBorder="1" applyAlignment="1">
      <alignment horizontal="center" vertical="center"/>
    </xf>
    <xf numFmtId="14" fontId="4" fillId="2" borderId="14" xfId="0" applyNumberFormat="1" applyFont="1" applyFill="1" applyBorder="1" applyAlignment="1">
      <alignment horizontal="center" vertical="center"/>
    </xf>
    <xf numFmtId="14" fontId="0" fillId="0" borderId="0" xfId="0" applyNumberFormat="1" applyAlignment="1">
      <alignment horizontal="center" vertical="center"/>
    </xf>
    <xf numFmtId="1" fontId="6" fillId="0" borderId="17" xfId="0" applyNumberFormat="1" applyFont="1" applyBorder="1" applyAlignment="1">
      <alignment horizontal="center" vertical="center"/>
    </xf>
    <xf numFmtId="0" fontId="6" fillId="0" borderId="10" xfId="0" applyFont="1" applyBorder="1" applyAlignment="1">
      <alignment horizontal="center" vertical="center" wrapText="1"/>
    </xf>
    <xf numFmtId="0" fontId="4" fillId="2" borderId="8" xfId="0" applyFont="1" applyFill="1" applyBorder="1" applyAlignment="1">
      <alignment horizontal="center" vertical="center"/>
    </xf>
    <xf numFmtId="0" fontId="4" fillId="2" borderId="9" xfId="0" applyFont="1" applyFill="1" applyBorder="1" applyAlignment="1">
      <alignment horizontal="center" vertical="center"/>
    </xf>
    <xf numFmtId="0" fontId="6" fillId="0" borderId="11" xfId="0" applyFont="1" applyBorder="1" applyAlignment="1">
      <alignment horizontal="center" vertical="center" wrapText="1"/>
    </xf>
    <xf numFmtId="0" fontId="0" fillId="5" borderId="10" xfId="0" applyFill="1" applyBorder="1" applyAlignment="1">
      <alignment horizontal="center" vertical="center" wrapText="1"/>
    </xf>
    <xf numFmtId="15" fontId="6" fillId="0" borderId="5" xfId="0" applyNumberFormat="1" applyFont="1" applyBorder="1" applyAlignment="1">
      <alignment horizontal="center" vertical="center"/>
    </xf>
    <xf numFmtId="0" fontId="3" fillId="0" borderId="19" xfId="0" applyFont="1" applyBorder="1" applyAlignment="1">
      <alignment horizontal="center" vertical="center"/>
    </xf>
    <xf numFmtId="0" fontId="5" fillId="2" borderId="6" xfId="0" applyFont="1" applyFill="1" applyBorder="1" applyAlignment="1">
      <alignment horizontal="center" vertical="center" wrapText="1"/>
    </xf>
    <xf numFmtId="0" fontId="3" fillId="0" borderId="20" xfId="0" applyFont="1" applyBorder="1" applyAlignment="1">
      <alignment horizontal="center" vertical="center"/>
    </xf>
    <xf numFmtId="1" fontId="1" fillId="4" borderId="22" xfId="0" applyNumberFormat="1" applyFont="1" applyFill="1" applyBorder="1" applyAlignment="1">
      <alignment horizontal="center" vertical="center"/>
    </xf>
    <xf numFmtId="1" fontId="4" fillId="2" borderId="16" xfId="0" applyNumberFormat="1" applyFont="1" applyFill="1" applyBorder="1" applyAlignment="1">
      <alignment horizontal="center" vertical="center"/>
    </xf>
    <xf numFmtId="1" fontId="6" fillId="0" borderId="1" xfId="0" applyNumberFormat="1" applyFont="1" applyBorder="1" applyAlignment="1">
      <alignment horizontal="center" vertical="center" wrapText="1"/>
    </xf>
    <xf numFmtId="15" fontId="4" fillId="2" borderId="1" xfId="0" applyNumberFormat="1" applyFont="1" applyFill="1" applyBorder="1" applyAlignment="1">
      <alignment horizontal="center" vertical="center"/>
    </xf>
    <xf numFmtId="0" fontId="6" fillId="0" borderId="1" xfId="0" applyFont="1" applyBorder="1" applyAlignment="1">
      <alignment horizontal="center" vertical="center" wrapText="1"/>
    </xf>
    <xf numFmtId="15" fontId="6" fillId="0" borderId="1" xfId="0" applyNumberFormat="1" applyFont="1" applyBorder="1" applyAlignment="1">
      <alignment horizontal="center" vertical="center" wrapText="1"/>
    </xf>
    <xf numFmtId="0" fontId="0" fillId="5" borderId="8" xfId="0" applyFill="1" applyBorder="1" applyAlignment="1">
      <alignment horizontal="center" vertical="center" wrapText="1"/>
    </xf>
    <xf numFmtId="0" fontId="0" fillId="5" borderId="25" xfId="0" applyFill="1" applyBorder="1" applyAlignment="1">
      <alignment horizontal="center" vertical="center" wrapText="1"/>
    </xf>
    <xf numFmtId="0" fontId="6" fillId="0" borderId="26" xfId="0" applyFont="1" applyBorder="1" applyAlignment="1">
      <alignment horizontal="center" vertical="center" wrapText="1"/>
    </xf>
    <xf numFmtId="15" fontId="6" fillId="0" borderId="26" xfId="0" applyNumberFormat="1" applyFont="1" applyBorder="1" applyAlignment="1">
      <alignment horizontal="center" vertical="center" wrapText="1"/>
    </xf>
    <xf numFmtId="1" fontId="6" fillId="0" borderId="2" xfId="0" applyNumberFormat="1" applyFont="1" applyBorder="1" applyAlignment="1">
      <alignment horizontal="center" vertical="center" wrapText="1"/>
    </xf>
    <xf numFmtId="1" fontId="6" fillId="0" borderId="9" xfId="0" applyNumberFormat="1" applyFont="1" applyBorder="1" applyAlignment="1">
      <alignment horizontal="center" vertical="center" wrapText="1"/>
    </xf>
    <xf numFmtId="0" fontId="6" fillId="0" borderId="29" xfId="0" applyFont="1" applyBorder="1" applyAlignment="1">
      <alignment horizontal="center" vertical="center" wrapText="1"/>
    </xf>
    <xf numFmtId="1" fontId="6" fillId="0" borderId="27" xfId="0" applyNumberFormat="1" applyFont="1" applyBorder="1" applyAlignment="1">
      <alignment horizontal="center" vertical="center" wrapText="1"/>
    </xf>
    <xf numFmtId="14" fontId="6" fillId="0" borderId="5" xfId="0" applyNumberFormat="1" applyFont="1" applyBorder="1" applyAlignment="1">
      <alignment horizontal="center" vertical="center" wrapText="1"/>
    </xf>
    <xf numFmtId="0" fontId="6" fillId="0" borderId="30" xfId="0" applyFont="1" applyBorder="1" applyAlignment="1">
      <alignment horizontal="center" vertical="center" wrapText="1"/>
    </xf>
    <xf numFmtId="0" fontId="6" fillId="3" borderId="1" xfId="0" applyFont="1" applyFill="1" applyBorder="1" applyAlignment="1">
      <alignment horizontal="center" vertical="center" wrapText="1"/>
    </xf>
    <xf numFmtId="0" fontId="8" fillId="0" borderId="1" xfId="0" applyFont="1" applyBorder="1" applyAlignment="1">
      <alignment horizontal="center" vertical="center"/>
    </xf>
    <xf numFmtId="15" fontId="6" fillId="0" borderId="5" xfId="0" applyNumberFormat="1" applyFont="1" applyBorder="1" applyAlignment="1">
      <alignment horizontal="center" vertical="center" wrapText="1"/>
    </xf>
    <xf numFmtId="0" fontId="2" fillId="3" borderId="1" xfId="0" applyFont="1" applyFill="1" applyBorder="1" applyAlignment="1">
      <alignment horizontal="center" vertical="center"/>
    </xf>
    <xf numFmtId="14" fontId="6" fillId="0" borderId="2" xfId="0" applyNumberFormat="1" applyFont="1" applyBorder="1" applyAlignment="1">
      <alignment horizontal="center" vertical="center" wrapText="1"/>
    </xf>
    <xf numFmtId="14" fontId="6" fillId="0" borderId="11" xfId="0" applyNumberFormat="1" applyFont="1" applyBorder="1" applyAlignment="1">
      <alignment horizontal="center" vertical="center" wrapText="1"/>
    </xf>
    <xf numFmtId="0" fontId="6" fillId="3" borderId="30" xfId="0" applyFont="1" applyFill="1" applyBorder="1" applyAlignment="1">
      <alignment horizontal="center" vertical="center" wrapText="1"/>
    </xf>
    <xf numFmtId="0" fontId="2" fillId="0" borderId="1" xfId="0" applyFont="1" applyBorder="1" applyAlignment="1">
      <alignment horizontal="center" vertical="center" wrapText="1"/>
    </xf>
    <xf numFmtId="0" fontId="6" fillId="6" borderId="30" xfId="0" applyFont="1" applyFill="1" applyBorder="1" applyAlignment="1">
      <alignment horizontal="center" vertical="center" wrapText="1"/>
    </xf>
    <xf numFmtId="0" fontId="9" fillId="0" borderId="1" xfId="0" applyFont="1" applyBorder="1" applyAlignment="1">
      <alignment horizontal="center" vertical="center"/>
    </xf>
    <xf numFmtId="0" fontId="10" fillId="0" borderId="1"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0" xfId="0" applyFont="1" applyAlignment="1">
      <alignment horizontal="center" vertical="center"/>
    </xf>
    <xf numFmtId="0" fontId="10" fillId="0" borderId="30" xfId="0" applyFont="1" applyBorder="1" applyAlignment="1">
      <alignment horizontal="center" vertical="center" wrapText="1"/>
    </xf>
    <xf numFmtId="0" fontId="11" fillId="0" borderId="30" xfId="0" applyFont="1" applyBorder="1" applyAlignment="1">
      <alignment horizontal="center" vertical="center"/>
    </xf>
    <xf numFmtId="14" fontId="6" fillId="0" borderId="30" xfId="0" applyNumberFormat="1" applyFont="1" applyBorder="1" applyAlignment="1">
      <alignment horizontal="center" vertical="center" wrapText="1"/>
    </xf>
    <xf numFmtId="0" fontId="10" fillId="3" borderId="2" xfId="0" applyFont="1" applyFill="1" applyBorder="1" applyAlignment="1">
      <alignment horizontal="center" vertical="center" wrapText="1"/>
    </xf>
    <xf numFmtId="0" fontId="1" fillId="4" borderId="31" xfId="0" applyFont="1" applyFill="1" applyBorder="1" applyAlignment="1">
      <alignment horizontal="center" vertical="center"/>
    </xf>
    <xf numFmtId="1" fontId="4" fillId="2" borderId="32" xfId="0" applyNumberFormat="1" applyFont="1" applyFill="1" applyBorder="1" applyAlignment="1">
      <alignment horizontal="center" vertical="center"/>
    </xf>
    <xf numFmtId="1" fontId="6" fillId="0" borderId="31" xfId="0" applyNumberFormat="1" applyFont="1" applyBorder="1" applyAlignment="1">
      <alignment horizontal="center" vertical="center" wrapText="1"/>
    </xf>
    <xf numFmtId="1" fontId="6" fillId="0" borderId="4" xfId="0" applyNumberFormat="1" applyFont="1" applyBorder="1" applyAlignment="1">
      <alignment horizontal="center" vertical="center" wrapText="1"/>
    </xf>
    <xf numFmtId="1" fontId="6" fillId="0" borderId="32" xfId="0" applyNumberFormat="1" applyFont="1" applyBorder="1" applyAlignment="1">
      <alignment horizontal="center" vertical="center" wrapText="1"/>
    </xf>
    <xf numFmtId="1" fontId="6" fillId="0" borderId="7" xfId="0" applyNumberFormat="1" applyFont="1" applyBorder="1" applyAlignment="1">
      <alignment horizontal="center" vertical="center" wrapText="1"/>
    </xf>
    <xf numFmtId="1" fontId="6" fillId="0" borderId="6" xfId="0" applyNumberFormat="1" applyFont="1" applyBorder="1" applyAlignment="1">
      <alignment horizontal="center" vertical="center" wrapText="1"/>
    </xf>
    <xf numFmtId="1" fontId="6" fillId="0" borderId="5" xfId="0" applyNumberFormat="1" applyFont="1" applyBorder="1" applyAlignment="1">
      <alignment horizontal="center" vertical="center" wrapText="1"/>
    </xf>
    <xf numFmtId="0" fontId="1" fillId="3" borderId="5" xfId="0" applyFont="1" applyFill="1" applyBorder="1" applyAlignment="1">
      <alignment horizontal="center" vertical="center"/>
    </xf>
    <xf numFmtId="0" fontId="4" fillId="2" borderId="5" xfId="0" applyFont="1" applyFill="1" applyBorder="1" applyAlignment="1">
      <alignment horizontal="center" vertical="center"/>
    </xf>
    <xf numFmtId="0" fontId="1" fillId="0" borderId="0" xfId="0" applyFont="1" applyAlignment="1">
      <alignment horizontal="center" vertical="center"/>
    </xf>
    <xf numFmtId="15" fontId="1" fillId="0" borderId="0" xfId="0" applyNumberFormat="1" applyFont="1" applyAlignment="1">
      <alignment horizontal="center" vertical="center"/>
    </xf>
    <xf numFmtId="1" fontId="1" fillId="0" borderId="0" xfId="0" applyNumberFormat="1" applyFont="1" applyAlignment="1">
      <alignment horizontal="center" vertical="center"/>
    </xf>
    <xf numFmtId="14" fontId="1" fillId="0" borderId="0" xfId="0" applyNumberFormat="1" applyFont="1" applyAlignment="1">
      <alignment horizontal="center" vertical="center"/>
    </xf>
    <xf numFmtId="0" fontId="1" fillId="0" borderId="4" xfId="0" applyFont="1" applyBorder="1" applyAlignment="1">
      <alignment horizontal="center" vertical="center"/>
    </xf>
    <xf numFmtId="14" fontId="1" fillId="0" borderId="4" xfId="0" applyNumberFormat="1" applyFont="1" applyBorder="1" applyAlignment="1">
      <alignment horizontal="center" vertical="center"/>
    </xf>
    <xf numFmtId="0" fontId="1" fillId="3" borderId="23" xfId="0" applyFont="1" applyFill="1" applyBorder="1" applyAlignment="1">
      <alignment horizontal="center" vertical="center"/>
    </xf>
    <xf numFmtId="0" fontId="1" fillId="3" borderId="24" xfId="0" applyFont="1" applyFill="1" applyBorder="1" applyAlignment="1">
      <alignment horizontal="center" vertical="center"/>
    </xf>
    <xf numFmtId="15" fontId="1" fillId="3" borderId="24" xfId="0" applyNumberFormat="1" applyFont="1" applyFill="1" applyBorder="1" applyAlignment="1">
      <alignment horizontal="center" vertical="center"/>
    </xf>
    <xf numFmtId="0" fontId="1" fillId="4" borderId="6" xfId="0" applyFont="1" applyFill="1" applyBorder="1" applyAlignment="1">
      <alignment horizontal="center" vertical="center"/>
    </xf>
    <xf numFmtId="0" fontId="1" fillId="4" borderId="9" xfId="0" applyFont="1" applyFill="1" applyBorder="1" applyAlignment="1">
      <alignment horizontal="center" vertical="center"/>
    </xf>
    <xf numFmtId="0" fontId="1" fillId="4" borderId="8" xfId="0" applyFont="1" applyFill="1" applyBorder="1" applyAlignment="1">
      <alignment horizontal="center" vertical="center" wrapText="1"/>
    </xf>
    <xf numFmtId="14" fontId="1" fillId="4" borderId="5" xfId="0" applyNumberFormat="1" applyFont="1" applyFill="1" applyBorder="1" applyAlignment="1">
      <alignment horizontal="center" vertical="center" wrapText="1"/>
    </xf>
    <xf numFmtId="0" fontId="1" fillId="3" borderId="21" xfId="0" applyFont="1" applyFill="1" applyBorder="1" applyAlignment="1">
      <alignment horizontal="center" vertical="center"/>
    </xf>
    <xf numFmtId="0" fontId="1" fillId="3" borderId="28" xfId="0" applyFont="1" applyFill="1" applyBorder="1" applyAlignment="1">
      <alignment horizontal="center" vertical="center"/>
    </xf>
  </cellXfs>
  <cellStyles count="1">
    <cellStyle name="Normal" xfId="0" builtinId="0"/>
  </cellStyles>
  <dxfs count="10">
    <dxf>
      <fill>
        <patternFill>
          <bgColor rgb="FFFF0000"/>
        </patternFill>
      </fill>
    </dxf>
    <dxf>
      <fill>
        <patternFill>
          <bgColor rgb="FF00B050"/>
        </patternFill>
      </fill>
    </dxf>
    <dxf>
      <fill>
        <patternFill>
          <bgColor theme="8" tint="0.39994506668294322"/>
        </patternFill>
      </fill>
    </dxf>
    <dxf>
      <fill>
        <patternFill>
          <bgColor rgb="FF00B050"/>
        </patternFill>
      </fill>
    </dxf>
    <dxf>
      <fill>
        <patternFill>
          <bgColor rgb="FFFFC000"/>
        </patternFill>
      </fill>
    </dxf>
    <dxf>
      <fill>
        <patternFill>
          <bgColor rgb="FFFFFF00"/>
        </patternFill>
      </fill>
    </dxf>
    <dxf>
      <fill>
        <patternFill>
          <bgColor theme="8" tint="0.39994506668294322"/>
        </patternFill>
      </fill>
    </dxf>
    <dxf>
      <fill>
        <patternFill>
          <bgColor rgb="FF00B050"/>
        </patternFill>
      </fill>
    </dxf>
    <dxf>
      <fill>
        <patternFill>
          <bgColor rgb="FFFFC0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421822</xdr:colOff>
      <xdr:row>0</xdr:row>
      <xdr:rowOff>147774</xdr:rowOff>
    </xdr:from>
    <xdr:to>
      <xdr:col>1</xdr:col>
      <xdr:colOff>2567972</xdr:colOff>
      <xdr:row>1</xdr:row>
      <xdr:rowOff>364309</xdr:rowOff>
    </xdr:to>
    <xdr:pic>
      <xdr:nvPicPr>
        <xdr:cNvPr id="2" name="Picture 1">
          <a:extLst>
            <a:ext uri="{FF2B5EF4-FFF2-40B4-BE49-F238E27FC236}">
              <a16:creationId xmlns:a16="http://schemas.microsoft.com/office/drawing/2014/main" id="{22353396-5E20-419E-972C-AD9EBCC2FED9}"/>
            </a:ext>
          </a:extLst>
        </xdr:cNvPr>
        <xdr:cNvPicPr>
          <a:picLocks noChangeAspect="1"/>
        </xdr:cNvPicPr>
      </xdr:nvPicPr>
      <xdr:blipFill>
        <a:blip xmlns:r="http://schemas.openxmlformats.org/officeDocument/2006/relationships" r:embed="rId1"/>
        <a:stretch>
          <a:fillRect/>
        </a:stretch>
      </xdr:blipFill>
      <xdr:spPr>
        <a:xfrm>
          <a:off x="421822" y="147774"/>
          <a:ext cx="2149960" cy="700405"/>
        </a:xfrm>
        <a:prstGeom prst="rect">
          <a:avLst/>
        </a:prstGeom>
      </xdr:spPr>
    </xdr:pic>
    <xdr:clientData/>
  </xdr:twoCellAnchor>
  <xdr:twoCellAnchor editAs="oneCell">
    <xdr:from>
      <xdr:col>14</xdr:col>
      <xdr:colOff>305624</xdr:colOff>
      <xdr:row>0</xdr:row>
      <xdr:rowOff>65314</xdr:rowOff>
    </xdr:from>
    <xdr:to>
      <xdr:col>15</xdr:col>
      <xdr:colOff>1069487</xdr:colOff>
      <xdr:row>2</xdr:row>
      <xdr:rowOff>2546</xdr:rowOff>
    </xdr:to>
    <xdr:pic>
      <xdr:nvPicPr>
        <xdr:cNvPr id="3" name="Picture 2">
          <a:extLst>
            <a:ext uri="{FF2B5EF4-FFF2-40B4-BE49-F238E27FC236}">
              <a16:creationId xmlns:a16="http://schemas.microsoft.com/office/drawing/2014/main" id="{13D946A4-BB2B-4FC1-8762-A4888AA637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032024" y="65314"/>
          <a:ext cx="2538234" cy="1060811"/>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mea.aconex.com/ViewCorrespondence?Correspondence_ID=1845232641&amp;CORRESPONDENCE_MAILBOX=5&amp;PROJECT_ID=1744833878&amp;RETURN_URL=%2Frsrc%2F20260529.1112%2Fen_AU_DOC%2FmailSearch%2FCorrespondenceSearch.html%3Fmailbox%3DALLBOX&amp;index=0" TargetMode="External"/><Relationship Id="rId13" Type="http://schemas.openxmlformats.org/officeDocument/2006/relationships/hyperlink" Target="https://mea.aconex.com/ViewCorrespondence?Correspondence_ID=1845302061&amp;CORRESPONDENCE_MAILBOX=5&amp;PROJECT_ID=1744833878&amp;RETURN_URL=%2Frsrc%2F20260529.1112%2Fen_AU_DOC%2FmailSearch%2FCorrespondenceSearch.html%3Fmailbox%3DALLBOX&amp;index=0" TargetMode="External"/><Relationship Id="rId3" Type="http://schemas.openxmlformats.org/officeDocument/2006/relationships/hyperlink" Target="https://mea.aconex.com/ViewCorrespondence?Correspondence_ID=1844965571&amp;CORRESPONDENCE_MAILBOX=5&amp;PROJECT_ID=1744833878&amp;RETURN_URL=%2Frsrc%2F20260529.1112%2Fen_AU_DOC%2FmailSearch%2FCorrespondenceSearch.html%3Fmailbox%3DALLBOX&amp;index=0" TargetMode="External"/><Relationship Id="rId7" Type="http://schemas.openxmlformats.org/officeDocument/2006/relationships/hyperlink" Target="https://mea.aconex.com/ViewCorrespondence?Correspondence_ID=1845177136&amp;CORRESPONDENCE_MAILBOX=5&amp;PROJECT_ID=1744833878&amp;RETURN_URL=%2Frsrc%2F20260529.1112%2Fen_AU_DOC%2FmailSearch%2FCorrespondenceSearch.html%3Fmailbox%3DALLBOX&amp;index=0" TargetMode="External"/><Relationship Id="rId12" Type="http://schemas.openxmlformats.org/officeDocument/2006/relationships/hyperlink" Target="https://mea.aconex.com/ViewCorrespondence?Correspondence_ID=1845270752&amp;CORRESPONDENCE_MAILBOX=5&amp;PROJECT_ID=1744833878&amp;RETURN_URL=%2Frsrc%2F20260529.1112%2Fen_AU_DOC%2FmailSearch%2FCorrespondenceSearch.html%3Fmailbox%3DALLBOX&amp;index=0" TargetMode="External"/><Relationship Id="rId2" Type="http://schemas.openxmlformats.org/officeDocument/2006/relationships/hyperlink" Target="https://mea.aconex.com/ViewCorrespondence?Correspondence_ID=1844708012&amp;CORRESPONDENCE_MAILBOX=5&amp;PROJECT_ID=1744833878&amp;RETURN_URL=%2Frsrc%2F20260529.1112%2Fen_AU_DOC%2FmailSearch%2FCorrespondenceSearch.html%3Fmailbox%3DALLBOX&amp;index=0" TargetMode="External"/><Relationship Id="rId16" Type="http://schemas.openxmlformats.org/officeDocument/2006/relationships/drawing" Target="../drawings/drawing1.xml"/><Relationship Id="rId1" Type="http://schemas.openxmlformats.org/officeDocument/2006/relationships/hyperlink" Target="https://mea.aconex.com/ViewCorrespondence?Correspondence_ID=1844722847&amp;CORRESPONDENCE_MAILBOX=5&amp;PROJECT_ID=1744833878&amp;RETURN_URL=%2Frsrc%2F20260529.1112%2Fen_AU_DOC%2FmailSearch%2FCorrespondenceSearch.html%3Fmailbox%3DALLBOX&amp;index=0" TargetMode="External"/><Relationship Id="rId6" Type="http://schemas.openxmlformats.org/officeDocument/2006/relationships/hyperlink" Target="https://mea.aconex.com/ViewCorrespondence?Correspondence_ID=1845176804&amp;CORRESPONDENCE_MAILBOX=5&amp;PROJECT_ID=1744833878&amp;RETURN_URL=%2Frsrc%2F20260529.1112%2Fen_AU_DOC%2FmailSearch%2FCorrespondenceSearch.html%3Fmailbox%3DALLBOX&amp;index=0" TargetMode="External"/><Relationship Id="rId11" Type="http://schemas.openxmlformats.org/officeDocument/2006/relationships/hyperlink" Target="https://mea.aconex.com/ViewCorrespondence?Correspondence_ID=1845270714&amp;CORRESPONDENCE_MAILBOX=5&amp;PROJECT_ID=1744833878&amp;RETURN_URL=%2Frsrc%2F20260529.1112%2Fen_AU_DOC%2FmailSearch%2FCorrespondenceSearch.html%3Fmailbox%3DALLBOX&amp;index=0" TargetMode="External"/><Relationship Id="rId5" Type="http://schemas.openxmlformats.org/officeDocument/2006/relationships/hyperlink" Target="https://mea.aconex.com/ViewCorrespondence?Correspondence_ID=1845176628&amp;CORRESPONDENCE_MAILBOX=5&amp;PROJECT_ID=1744833878&amp;RETURN_URL=%2Frsrc%2F20260529.1112%2Fen_AU_DOC%2FmailSearch%2FCorrespondenceSearch.html%3Fmailbox%3DALLBOX&amp;index=0" TargetMode="External"/><Relationship Id="rId15" Type="http://schemas.openxmlformats.org/officeDocument/2006/relationships/printerSettings" Target="../printerSettings/printerSettings1.bin"/><Relationship Id="rId10" Type="http://schemas.openxmlformats.org/officeDocument/2006/relationships/hyperlink" Target="https://mea.aconex.com/ViewCorrespondence?Correspondence_ID=1845270681&amp;CORRESPONDENCE_MAILBOX=5&amp;PROJECT_ID=1744833878&amp;RETURN_URL=%2Frsrc%2F20260529.1112%2Fen_AU_DOC%2FmailSearch%2FCorrespondenceSearch.html%3Fmailbox%3DALLBOX&amp;index=0" TargetMode="External"/><Relationship Id="rId4" Type="http://schemas.openxmlformats.org/officeDocument/2006/relationships/hyperlink" Target="https://mea.aconex.com/ViewCorrespondence?Correspondence_ID=1845176520&amp;CORRESPONDENCE_MAILBOX=5&amp;PROJECT_ID=1744833878&amp;RETURN_URL=%2Frsrc%2F20260529.1112%2Fen_AU_DOC%2FmailSearch%2FCorrespondenceSearch.html%3Fmailbox%3DALLBOX&amp;index=0" TargetMode="External"/><Relationship Id="rId9" Type="http://schemas.openxmlformats.org/officeDocument/2006/relationships/hyperlink" Target="https://mea.aconex.com/ViewCorrespondence?Correspondence_ID=1845270597&amp;CORRESPONDENCE_MAILBOX=5&amp;PROJECT_ID=1744833878&amp;RETURN_URL=%2Frsrc%2F20260529.1112%2Fen_AU_DOC%2FmailSearch%2FCorrespondenceSearch.html%3Fmailbox%3DALLBOX&amp;index=0" TargetMode="External"/><Relationship Id="rId14" Type="http://schemas.openxmlformats.org/officeDocument/2006/relationships/hyperlink" Target="https://mea.aconex.com/ViewCorrespondence?Correspondence_ID=1846380126&amp;CORRESPONDENCE_MAILBOX=1&amp;PROJECT_ID=1744833878&amp;RETURN_URL=%2Frsrc%2F20260714.1055%2Fen_AU_DOC%2FmailSearch%2FCorrespondenceSearch.html%3Fmailbox%3DINBOX&amp;index=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224"/>
  <sheetViews>
    <sheetView tabSelected="1" view="pageBreakPreview" topLeftCell="B1" zoomScale="55" zoomScaleNormal="100" zoomScaleSheetLayoutView="55" workbookViewId="0">
      <pane xSplit="1" ySplit="4" topLeftCell="C120" activePane="bottomRight" state="frozen"/>
      <selection pane="topRight" activeCell="C1" sqref="C1"/>
      <selection pane="bottomLeft" activeCell="B5" sqref="B5"/>
      <selection pane="bottomRight" activeCell="H62" sqref="H62"/>
    </sheetView>
  </sheetViews>
  <sheetFormatPr defaultRowHeight="21" x14ac:dyDescent="0.3"/>
  <cols>
    <col min="1" max="1" width="25.109375" style="1" hidden="1" customWidth="1"/>
    <col min="2" max="2" width="57.44140625" style="63" customWidth="1"/>
    <col min="3" max="3" width="8.33203125" style="1" customWidth="1"/>
    <col min="4" max="4" width="25.109375" style="1" customWidth="1"/>
    <col min="5" max="5" width="61.88671875" style="1" customWidth="1"/>
    <col min="6" max="6" width="20.6640625" style="1" customWidth="1"/>
    <col min="7" max="7" width="17.6640625" style="9" customWidth="1"/>
    <col min="8" max="8" width="22.109375" style="1" customWidth="1"/>
    <col min="9" max="9" width="17.6640625" style="1" customWidth="1"/>
    <col min="10" max="10" width="14" style="14" customWidth="1"/>
    <col min="11" max="11" width="18.88671875" style="14" customWidth="1"/>
    <col min="12" max="12" width="21.33203125" style="1" customWidth="1"/>
    <col min="13" max="13" width="17.6640625" style="1" customWidth="1"/>
    <col min="14" max="14" width="16" style="1" customWidth="1"/>
    <col min="15" max="15" width="25.88671875" style="1" customWidth="1"/>
    <col min="16" max="16" width="17.33203125" style="24" customWidth="1"/>
    <col min="17" max="17" width="9.33203125" style="14" customWidth="1"/>
    <col min="18" max="18" width="17.5546875" style="1" customWidth="1"/>
    <col min="19" max="19" width="51.109375" style="8" customWidth="1"/>
  </cols>
  <sheetData>
    <row r="1" spans="1:19" ht="37.200000000000003" customHeight="1" x14ac:dyDescent="0.3">
      <c r="A1" s="78" t="s">
        <v>0</v>
      </c>
      <c r="B1" s="78"/>
      <c r="C1" s="78"/>
      <c r="D1" s="78"/>
      <c r="E1" s="78"/>
      <c r="F1" s="78"/>
      <c r="G1" s="79"/>
      <c r="H1" s="78"/>
      <c r="I1" s="78"/>
      <c r="J1" s="80"/>
      <c r="K1" s="80"/>
      <c r="L1" s="78"/>
      <c r="M1" s="78"/>
      <c r="N1" s="78"/>
      <c r="O1" s="78"/>
      <c r="P1" s="81"/>
      <c r="Q1" s="13">
        <v>2</v>
      </c>
      <c r="R1" s="4" t="s">
        <v>1</v>
      </c>
      <c r="S1" s="2">
        <f>COUNTA(R:R)</f>
        <v>144</v>
      </c>
    </row>
    <row r="2" spans="1:19" ht="52.95" customHeight="1" thickBot="1" x14ac:dyDescent="0.35">
      <c r="A2" s="78"/>
      <c r="B2" s="78"/>
      <c r="C2" s="78"/>
      <c r="D2" s="78"/>
      <c r="E2" s="78"/>
      <c r="F2" s="78"/>
      <c r="G2" s="79"/>
      <c r="H2" s="78"/>
      <c r="I2" s="78"/>
      <c r="J2" s="80"/>
      <c r="K2" s="80"/>
      <c r="L2" s="82"/>
      <c r="M2" s="82"/>
      <c r="N2" s="82"/>
      <c r="O2" s="82"/>
      <c r="P2" s="83"/>
      <c r="Q2" s="13"/>
      <c r="R2" s="5" t="s">
        <v>2</v>
      </c>
      <c r="S2" s="6">
        <f>COUNTIF(R$5:R$1048576,"Response ")</f>
        <v>127</v>
      </c>
    </row>
    <row r="3" spans="1:19" x14ac:dyDescent="0.3">
      <c r="A3" s="84" t="s">
        <v>3</v>
      </c>
      <c r="B3" s="85"/>
      <c r="C3" s="85"/>
      <c r="D3" s="85"/>
      <c r="E3" s="85"/>
      <c r="F3" s="85"/>
      <c r="G3" s="86"/>
      <c r="H3" s="91" t="s">
        <v>4</v>
      </c>
      <c r="I3" s="92"/>
      <c r="J3" s="92"/>
      <c r="K3" s="76" t="s">
        <v>807</v>
      </c>
      <c r="L3" s="87" t="s">
        <v>5</v>
      </c>
      <c r="M3" s="88"/>
      <c r="N3" s="68"/>
      <c r="O3" s="89" t="s">
        <v>6</v>
      </c>
      <c r="P3" s="90"/>
      <c r="Q3" s="35"/>
      <c r="R3" s="32" t="s">
        <v>7</v>
      </c>
      <c r="S3" s="6">
        <f>COUNTIF(R$5:R$1048576,"OPEN")</f>
        <v>14</v>
      </c>
    </row>
    <row r="4" spans="1:19" ht="59.4" customHeight="1" x14ac:dyDescent="0.3">
      <c r="A4" s="27" t="s">
        <v>8</v>
      </c>
      <c r="B4" s="60" t="s">
        <v>9</v>
      </c>
      <c r="C4" s="22" t="s">
        <v>10</v>
      </c>
      <c r="D4" s="22" t="s">
        <v>8</v>
      </c>
      <c r="E4" s="22" t="s">
        <v>11</v>
      </c>
      <c r="F4" s="22" t="s">
        <v>12</v>
      </c>
      <c r="G4" s="38" t="s">
        <v>14</v>
      </c>
      <c r="H4" s="27" t="s">
        <v>8</v>
      </c>
      <c r="I4" s="28" t="s">
        <v>14</v>
      </c>
      <c r="J4" s="69"/>
      <c r="K4" s="77" t="s">
        <v>841</v>
      </c>
      <c r="L4" s="7" t="s">
        <v>8</v>
      </c>
      <c r="M4" s="11" t="s">
        <v>14</v>
      </c>
      <c r="N4" s="22" t="s">
        <v>13</v>
      </c>
      <c r="O4" s="10" t="s">
        <v>8</v>
      </c>
      <c r="P4" s="23" t="s">
        <v>14</v>
      </c>
      <c r="Q4" s="36"/>
      <c r="R4" s="33"/>
      <c r="S4" s="21"/>
    </row>
    <row r="5" spans="1:19" s="3" customFormat="1" ht="46.2" customHeight="1" x14ac:dyDescent="0.3">
      <c r="A5" s="41" t="s">
        <v>15</v>
      </c>
      <c r="B5" s="61" t="s">
        <v>16</v>
      </c>
      <c r="C5" s="39">
        <v>0</v>
      </c>
      <c r="D5" s="39" t="s">
        <v>17</v>
      </c>
      <c r="E5" s="39" t="s">
        <v>18</v>
      </c>
      <c r="F5" s="39" t="s">
        <v>19</v>
      </c>
      <c r="G5" s="40">
        <v>46191</v>
      </c>
      <c r="H5" s="26" t="s">
        <v>21</v>
      </c>
      <c r="I5" s="40">
        <v>46194</v>
      </c>
      <c r="J5" s="46">
        <f t="shared" ref="J5:J36" si="0">M5-I5</f>
        <v>3</v>
      </c>
      <c r="K5" s="70"/>
      <c r="L5" s="16" t="s">
        <v>22</v>
      </c>
      <c r="M5" s="40">
        <v>46197</v>
      </c>
      <c r="N5" s="39" t="s">
        <v>20</v>
      </c>
      <c r="O5" s="18" t="s">
        <v>23</v>
      </c>
      <c r="P5" s="31">
        <v>46197</v>
      </c>
      <c r="Q5" s="25">
        <f t="shared" ref="Q5:Q36" ca="1" si="1">IF(AND(P5="",TODAY()-G5&gt;5),TODAY()-G5-5,0)</f>
        <v>0</v>
      </c>
      <c r="R5" s="34" t="s">
        <v>2</v>
      </c>
      <c r="S5" s="12"/>
    </row>
    <row r="6" spans="1:19" s="3" customFormat="1" ht="46.2" customHeight="1" x14ac:dyDescent="0.3">
      <c r="A6" s="41"/>
      <c r="B6" s="61" t="s">
        <v>24</v>
      </c>
      <c r="C6" s="39">
        <v>0</v>
      </c>
      <c r="D6" s="39" t="s">
        <v>25</v>
      </c>
      <c r="E6" s="39" t="s">
        <v>26</v>
      </c>
      <c r="F6" s="39" t="s">
        <v>19</v>
      </c>
      <c r="G6" s="40">
        <v>46191</v>
      </c>
      <c r="H6" s="26" t="s">
        <v>27</v>
      </c>
      <c r="I6" s="40">
        <v>46194</v>
      </c>
      <c r="J6" s="46">
        <f t="shared" si="0"/>
        <v>3</v>
      </c>
      <c r="K6" s="71"/>
      <c r="L6" s="26" t="s">
        <v>28</v>
      </c>
      <c r="M6" s="40">
        <v>46197</v>
      </c>
      <c r="N6" s="39" t="s">
        <v>20</v>
      </c>
      <c r="O6" s="18" t="s">
        <v>29</v>
      </c>
      <c r="P6" s="31">
        <v>46197</v>
      </c>
      <c r="Q6" s="25">
        <f t="shared" ca="1" si="1"/>
        <v>0</v>
      </c>
      <c r="R6" s="34" t="s">
        <v>2</v>
      </c>
      <c r="S6" s="12"/>
    </row>
    <row r="7" spans="1:19" s="3" customFormat="1" ht="46.2" customHeight="1" x14ac:dyDescent="0.3">
      <c r="A7" s="41"/>
      <c r="B7" s="61" t="s">
        <v>30</v>
      </c>
      <c r="C7" s="51">
        <v>0</v>
      </c>
      <c r="D7" s="51" t="s">
        <v>31</v>
      </c>
      <c r="E7" s="39" t="s">
        <v>32</v>
      </c>
      <c r="F7" s="39" t="s">
        <v>19</v>
      </c>
      <c r="G7" s="40">
        <v>46197</v>
      </c>
      <c r="H7" s="26" t="s">
        <v>33</v>
      </c>
      <c r="I7" s="40">
        <v>46197</v>
      </c>
      <c r="J7" s="46">
        <f t="shared" si="0"/>
        <v>34</v>
      </c>
      <c r="K7" s="70"/>
      <c r="L7" s="16" t="s">
        <v>34</v>
      </c>
      <c r="M7" s="40">
        <v>46231</v>
      </c>
      <c r="N7" s="39" t="s">
        <v>20</v>
      </c>
      <c r="O7" s="18" t="s">
        <v>35</v>
      </c>
      <c r="P7" s="31">
        <v>46231</v>
      </c>
      <c r="Q7" s="25">
        <f t="shared" ca="1" si="1"/>
        <v>0</v>
      </c>
      <c r="R7" s="34" t="s">
        <v>2</v>
      </c>
      <c r="S7" s="52" t="s">
        <v>36</v>
      </c>
    </row>
    <row r="8" spans="1:19" s="3" customFormat="1" ht="46.2" customHeight="1" x14ac:dyDescent="0.3">
      <c r="A8" s="41"/>
      <c r="B8" s="61" t="s">
        <v>37</v>
      </c>
      <c r="C8" s="39">
        <v>0</v>
      </c>
      <c r="D8" s="39" t="s">
        <v>38</v>
      </c>
      <c r="E8" s="39" t="s">
        <v>39</v>
      </c>
      <c r="F8" s="39" t="s">
        <v>19</v>
      </c>
      <c r="G8" s="40">
        <v>46200</v>
      </c>
      <c r="H8" s="26" t="s">
        <v>40</v>
      </c>
      <c r="I8" s="40">
        <v>46201</v>
      </c>
      <c r="J8" s="46">
        <f t="shared" si="0"/>
        <v>1</v>
      </c>
      <c r="K8" s="70"/>
      <c r="L8" s="16" t="s">
        <v>41</v>
      </c>
      <c r="M8" s="40">
        <v>46202</v>
      </c>
      <c r="N8" s="39" t="s">
        <v>20</v>
      </c>
      <c r="O8" s="18" t="s">
        <v>42</v>
      </c>
      <c r="P8" s="31">
        <v>46202</v>
      </c>
      <c r="Q8" s="25">
        <f t="shared" ca="1" si="1"/>
        <v>0</v>
      </c>
      <c r="R8" s="34" t="s">
        <v>2</v>
      </c>
      <c r="S8" s="12"/>
    </row>
    <row r="9" spans="1:19" s="3" customFormat="1" ht="46.2" customHeight="1" x14ac:dyDescent="0.3">
      <c r="A9" s="41"/>
      <c r="B9" s="61" t="s">
        <v>43</v>
      </c>
      <c r="C9" s="39">
        <v>0</v>
      </c>
      <c r="D9" s="39" t="s">
        <v>44</v>
      </c>
      <c r="E9" s="39" t="s">
        <v>45</v>
      </c>
      <c r="F9" s="39" t="s">
        <v>19</v>
      </c>
      <c r="G9" s="40">
        <v>46200</v>
      </c>
      <c r="H9" s="26" t="s">
        <v>46</v>
      </c>
      <c r="I9" s="40">
        <v>46201</v>
      </c>
      <c r="J9" s="46">
        <f t="shared" si="0"/>
        <v>0</v>
      </c>
      <c r="K9" s="70"/>
      <c r="L9" s="16" t="s">
        <v>47</v>
      </c>
      <c r="M9" s="40">
        <v>46201</v>
      </c>
      <c r="N9" s="39" t="s">
        <v>20</v>
      </c>
      <c r="O9" s="18" t="s">
        <v>48</v>
      </c>
      <c r="P9" s="31">
        <v>46202</v>
      </c>
      <c r="Q9" s="25">
        <f t="shared" ca="1" si="1"/>
        <v>0</v>
      </c>
      <c r="R9" s="34" t="s">
        <v>2</v>
      </c>
      <c r="S9" s="12"/>
    </row>
    <row r="10" spans="1:19" s="3" customFormat="1" ht="46.2" customHeight="1" x14ac:dyDescent="0.3">
      <c r="A10" s="41"/>
      <c r="B10" s="61" t="s">
        <v>49</v>
      </c>
      <c r="C10" s="39">
        <v>0</v>
      </c>
      <c r="D10" s="51" t="s">
        <v>50</v>
      </c>
      <c r="E10" s="39" t="s">
        <v>51</v>
      </c>
      <c r="F10" s="39" t="s">
        <v>19</v>
      </c>
      <c r="G10" s="40">
        <v>46200</v>
      </c>
      <c r="H10" s="26" t="s">
        <v>52</v>
      </c>
      <c r="I10" s="40">
        <v>46201</v>
      </c>
      <c r="J10" s="46">
        <f t="shared" si="0"/>
        <v>14</v>
      </c>
      <c r="K10" s="70"/>
      <c r="L10" s="16" t="s">
        <v>53</v>
      </c>
      <c r="M10" s="40">
        <v>46215</v>
      </c>
      <c r="N10" s="39" t="s">
        <v>20</v>
      </c>
      <c r="O10" s="18" t="s">
        <v>54</v>
      </c>
      <c r="P10" s="31">
        <v>46215</v>
      </c>
      <c r="Q10" s="25">
        <f t="shared" ca="1" si="1"/>
        <v>0</v>
      </c>
      <c r="R10" s="34" t="s">
        <v>2</v>
      </c>
      <c r="S10" s="52" t="s">
        <v>55</v>
      </c>
    </row>
    <row r="11" spans="1:19" s="3" customFormat="1" ht="46.2" customHeight="1" x14ac:dyDescent="0.3">
      <c r="A11" s="41"/>
      <c r="B11" s="61" t="s">
        <v>56</v>
      </c>
      <c r="C11" s="39">
        <v>0</v>
      </c>
      <c r="D11" s="39" t="s">
        <v>57</v>
      </c>
      <c r="E11" s="39" t="s">
        <v>58</v>
      </c>
      <c r="F11" s="39" t="s">
        <v>19</v>
      </c>
      <c r="G11" s="40">
        <v>46200</v>
      </c>
      <c r="H11" s="26" t="s">
        <v>59</v>
      </c>
      <c r="I11" s="40">
        <v>46201</v>
      </c>
      <c r="J11" s="46">
        <f t="shared" si="0"/>
        <v>0</v>
      </c>
      <c r="K11" s="70"/>
      <c r="L11" s="16" t="s">
        <v>60</v>
      </c>
      <c r="M11" s="40">
        <v>46201</v>
      </c>
      <c r="N11" s="39" t="s">
        <v>20</v>
      </c>
      <c r="O11" s="18" t="s">
        <v>61</v>
      </c>
      <c r="P11" s="31">
        <v>46202</v>
      </c>
      <c r="Q11" s="25">
        <f t="shared" ca="1" si="1"/>
        <v>0</v>
      </c>
      <c r="R11" s="34" t="s">
        <v>2</v>
      </c>
      <c r="S11" s="12"/>
    </row>
    <row r="12" spans="1:19" s="3" customFormat="1" ht="46.2" customHeight="1" x14ac:dyDescent="0.3">
      <c r="A12" s="41"/>
      <c r="B12" s="61" t="s">
        <v>62</v>
      </c>
      <c r="C12" s="39">
        <v>0</v>
      </c>
      <c r="D12" s="39" t="s">
        <v>63</v>
      </c>
      <c r="E12" s="39" t="s">
        <v>64</v>
      </c>
      <c r="F12" s="39" t="s">
        <v>19</v>
      </c>
      <c r="G12" s="40">
        <v>46202</v>
      </c>
      <c r="H12" s="26" t="s">
        <v>65</v>
      </c>
      <c r="I12" s="40">
        <v>46202</v>
      </c>
      <c r="J12" s="46">
        <f t="shared" si="0"/>
        <v>9</v>
      </c>
      <c r="K12" s="70"/>
      <c r="L12" s="16" t="s">
        <v>66</v>
      </c>
      <c r="M12" s="40">
        <v>46211</v>
      </c>
      <c r="N12" s="39" t="s">
        <v>20</v>
      </c>
      <c r="O12" s="18" t="s">
        <v>67</v>
      </c>
      <c r="P12" s="31">
        <v>46211</v>
      </c>
      <c r="Q12" s="25">
        <f t="shared" ca="1" si="1"/>
        <v>0</v>
      </c>
      <c r="R12" s="34" t="s">
        <v>2</v>
      </c>
      <c r="S12" s="52" t="s">
        <v>68</v>
      </c>
    </row>
    <row r="13" spans="1:19" s="3" customFormat="1" ht="46.2" customHeight="1" x14ac:dyDescent="0.3">
      <c r="A13" s="41"/>
      <c r="B13" s="61" t="s">
        <v>69</v>
      </c>
      <c r="C13" s="51">
        <v>0</v>
      </c>
      <c r="D13" s="51" t="s">
        <v>70</v>
      </c>
      <c r="E13" s="39" t="s">
        <v>71</v>
      </c>
      <c r="F13" s="39" t="s">
        <v>19</v>
      </c>
      <c r="G13" s="40">
        <v>46202</v>
      </c>
      <c r="H13" s="26" t="s">
        <v>72</v>
      </c>
      <c r="I13" s="40">
        <v>46203</v>
      </c>
      <c r="J13" s="46">
        <f t="shared" si="0"/>
        <v>19</v>
      </c>
      <c r="K13" s="70"/>
      <c r="L13" s="16" t="s">
        <v>73</v>
      </c>
      <c r="M13" s="40">
        <v>46222</v>
      </c>
      <c r="N13" s="39" t="s">
        <v>20</v>
      </c>
      <c r="O13" s="18" t="s">
        <v>74</v>
      </c>
      <c r="P13" s="31">
        <v>46222</v>
      </c>
      <c r="Q13" s="25">
        <f t="shared" ca="1" si="1"/>
        <v>0</v>
      </c>
      <c r="R13" s="34" t="s">
        <v>2</v>
      </c>
      <c r="S13" s="52" t="s">
        <v>75</v>
      </c>
    </row>
    <row r="14" spans="1:19" s="3" customFormat="1" ht="46.2" customHeight="1" x14ac:dyDescent="0.3">
      <c r="A14" s="41"/>
      <c r="B14" s="61" t="s">
        <v>76</v>
      </c>
      <c r="C14" s="39">
        <v>0</v>
      </c>
      <c r="D14" s="39" t="s">
        <v>77</v>
      </c>
      <c r="E14" s="39" t="s">
        <v>78</v>
      </c>
      <c r="F14" s="39" t="s">
        <v>19</v>
      </c>
      <c r="G14" s="40">
        <v>46202</v>
      </c>
      <c r="H14" s="26" t="s">
        <v>79</v>
      </c>
      <c r="I14" s="40">
        <v>46203</v>
      </c>
      <c r="J14" s="46">
        <f t="shared" si="0"/>
        <v>9</v>
      </c>
      <c r="K14" s="70"/>
      <c r="L14" s="16" t="s">
        <v>80</v>
      </c>
      <c r="M14" s="40">
        <v>46212</v>
      </c>
      <c r="N14" s="39" t="s">
        <v>20</v>
      </c>
      <c r="O14" s="18" t="s">
        <v>81</v>
      </c>
      <c r="P14" s="31">
        <v>46212</v>
      </c>
      <c r="Q14" s="25">
        <f t="shared" ca="1" si="1"/>
        <v>0</v>
      </c>
      <c r="R14" s="34" t="s">
        <v>2</v>
      </c>
      <c r="S14" s="52" t="s">
        <v>82</v>
      </c>
    </row>
    <row r="15" spans="1:19" s="3" customFormat="1" ht="46.2" customHeight="1" x14ac:dyDescent="0.3">
      <c r="A15" s="41"/>
      <c r="B15" s="61" t="s">
        <v>83</v>
      </c>
      <c r="C15" s="39">
        <v>0</v>
      </c>
      <c r="D15" s="39" t="s">
        <v>84</v>
      </c>
      <c r="E15" s="39" t="s">
        <v>85</v>
      </c>
      <c r="F15" s="39" t="s">
        <v>19</v>
      </c>
      <c r="G15" s="40">
        <v>46202</v>
      </c>
      <c r="H15" s="26" t="s">
        <v>86</v>
      </c>
      <c r="I15" s="40">
        <v>46203</v>
      </c>
      <c r="J15" s="46">
        <f t="shared" si="0"/>
        <v>9</v>
      </c>
      <c r="K15" s="70"/>
      <c r="L15" s="16" t="s">
        <v>87</v>
      </c>
      <c r="M15" s="40">
        <v>46212</v>
      </c>
      <c r="N15" s="39" t="s">
        <v>20</v>
      </c>
      <c r="O15" s="18" t="s">
        <v>88</v>
      </c>
      <c r="P15" s="53">
        <v>46212</v>
      </c>
      <c r="Q15" s="25">
        <f t="shared" ca="1" si="1"/>
        <v>0</v>
      </c>
      <c r="R15" s="34" t="s">
        <v>2</v>
      </c>
      <c r="S15" s="52" t="s">
        <v>89</v>
      </c>
    </row>
    <row r="16" spans="1:19" s="3" customFormat="1" ht="46.2" customHeight="1" x14ac:dyDescent="0.3">
      <c r="A16" s="41"/>
      <c r="B16" s="61" t="s">
        <v>90</v>
      </c>
      <c r="C16" s="51">
        <v>0</v>
      </c>
      <c r="D16" s="51" t="s">
        <v>91</v>
      </c>
      <c r="E16" s="39" t="s">
        <v>92</v>
      </c>
      <c r="F16" s="39" t="s">
        <v>19</v>
      </c>
      <c r="G16" s="40">
        <v>46202</v>
      </c>
      <c r="H16" s="26" t="s">
        <v>93</v>
      </c>
      <c r="I16" s="40">
        <v>46203</v>
      </c>
      <c r="J16" s="46">
        <f t="shared" si="0"/>
        <v>15</v>
      </c>
      <c r="K16" s="70"/>
      <c r="L16" s="16" t="s">
        <v>94</v>
      </c>
      <c r="M16" s="40">
        <v>46218</v>
      </c>
      <c r="N16" s="39" t="s">
        <v>20</v>
      </c>
      <c r="O16" s="18" t="s">
        <v>95</v>
      </c>
      <c r="P16" s="31">
        <v>46218</v>
      </c>
      <c r="Q16" s="25">
        <f t="shared" ca="1" si="1"/>
        <v>0</v>
      </c>
      <c r="R16" s="34" t="s">
        <v>2</v>
      </c>
      <c r="S16" s="52" t="s">
        <v>96</v>
      </c>
    </row>
    <row r="17" spans="1:19" s="3" customFormat="1" ht="46.2" customHeight="1" x14ac:dyDescent="0.3">
      <c r="A17" s="41"/>
      <c r="B17" s="61" t="s">
        <v>97</v>
      </c>
      <c r="C17" s="39">
        <v>0</v>
      </c>
      <c r="D17" s="39" t="s">
        <v>98</v>
      </c>
      <c r="E17" s="39" t="s">
        <v>99</v>
      </c>
      <c r="F17" s="39" t="s">
        <v>19</v>
      </c>
      <c r="G17" s="40">
        <v>46203</v>
      </c>
      <c r="H17" s="26" t="s">
        <v>100</v>
      </c>
      <c r="I17" s="40">
        <v>46203</v>
      </c>
      <c r="J17" s="46">
        <f t="shared" si="0"/>
        <v>9</v>
      </c>
      <c r="K17" s="70"/>
      <c r="L17" s="16" t="s">
        <v>101</v>
      </c>
      <c r="M17" s="40">
        <v>46212</v>
      </c>
      <c r="N17" s="39" t="s">
        <v>20</v>
      </c>
      <c r="O17" s="18" t="s">
        <v>102</v>
      </c>
      <c r="P17" s="53">
        <v>46212</v>
      </c>
      <c r="Q17" s="25">
        <f t="shared" ca="1" si="1"/>
        <v>0</v>
      </c>
      <c r="R17" s="34" t="s">
        <v>2</v>
      </c>
      <c r="S17" s="52" t="s">
        <v>103</v>
      </c>
    </row>
    <row r="18" spans="1:19" s="3" customFormat="1" ht="46.2" customHeight="1" thickBot="1" x14ac:dyDescent="0.35">
      <c r="A18" s="42"/>
      <c r="B18" s="61" t="s">
        <v>104</v>
      </c>
      <c r="C18" s="39">
        <v>0</v>
      </c>
      <c r="D18" s="43" t="s">
        <v>105</v>
      </c>
      <c r="E18" s="43" t="s">
        <v>106</v>
      </c>
      <c r="F18" s="39" t="s">
        <v>19</v>
      </c>
      <c r="G18" s="44">
        <v>46205</v>
      </c>
      <c r="H18" s="47" t="s">
        <v>107</v>
      </c>
      <c r="I18" s="40">
        <v>46205</v>
      </c>
      <c r="J18" s="48">
        <f t="shared" si="0"/>
        <v>7</v>
      </c>
      <c r="K18" s="72"/>
      <c r="L18" s="16" t="s">
        <v>108</v>
      </c>
      <c r="M18" s="40">
        <v>46212</v>
      </c>
      <c r="N18" s="39" t="s">
        <v>20</v>
      </c>
      <c r="O18" s="18" t="s">
        <v>109</v>
      </c>
      <c r="P18" s="53">
        <v>46212</v>
      </c>
      <c r="Q18" s="25">
        <f t="shared" ca="1" si="1"/>
        <v>0</v>
      </c>
      <c r="R18" s="34" t="s">
        <v>2</v>
      </c>
      <c r="S18" s="52"/>
    </row>
    <row r="19" spans="1:19" s="3" customFormat="1" ht="46.2" customHeight="1" x14ac:dyDescent="0.3">
      <c r="A19" s="30"/>
      <c r="B19" s="62" t="s">
        <v>110</v>
      </c>
      <c r="C19" s="51">
        <v>0</v>
      </c>
      <c r="D19" s="20" t="s">
        <v>111</v>
      </c>
      <c r="E19" s="15" t="s">
        <v>112</v>
      </c>
      <c r="F19" s="50" t="s">
        <v>113</v>
      </c>
      <c r="G19" s="19">
        <v>46208</v>
      </c>
      <c r="H19" s="26" t="s">
        <v>114</v>
      </c>
      <c r="I19" s="40">
        <v>46208</v>
      </c>
      <c r="J19" s="45">
        <f t="shared" si="0"/>
        <v>14</v>
      </c>
      <c r="K19" s="73"/>
      <c r="L19" s="16" t="s">
        <v>115</v>
      </c>
      <c r="M19" s="40">
        <v>46222</v>
      </c>
      <c r="N19" s="39" t="s">
        <v>20</v>
      </c>
      <c r="O19" s="18" t="s">
        <v>116</v>
      </c>
      <c r="P19" s="31">
        <v>46222</v>
      </c>
      <c r="Q19" s="25">
        <f t="shared" ca="1" si="1"/>
        <v>0</v>
      </c>
      <c r="R19" s="34" t="s">
        <v>2</v>
      </c>
      <c r="S19" s="52" t="s">
        <v>117</v>
      </c>
    </row>
    <row r="20" spans="1:19" s="3" customFormat="1" ht="46.2" customHeight="1" x14ac:dyDescent="0.3">
      <c r="A20" s="30"/>
      <c r="B20" s="62" t="s">
        <v>118</v>
      </c>
      <c r="C20" s="39">
        <v>0</v>
      </c>
      <c r="D20" s="20" t="s">
        <v>119</v>
      </c>
      <c r="E20" s="15" t="s">
        <v>120</v>
      </c>
      <c r="F20" s="50" t="s">
        <v>19</v>
      </c>
      <c r="G20" s="19">
        <v>46215</v>
      </c>
      <c r="H20" s="26" t="s">
        <v>121</v>
      </c>
      <c r="I20" s="40">
        <v>46215</v>
      </c>
      <c r="J20" s="45">
        <f t="shared" si="0"/>
        <v>3</v>
      </c>
      <c r="K20" s="73"/>
      <c r="L20" s="16" t="s">
        <v>122</v>
      </c>
      <c r="M20" s="40">
        <v>46218</v>
      </c>
      <c r="N20" s="39" t="s">
        <v>20</v>
      </c>
      <c r="O20" s="18" t="s">
        <v>123</v>
      </c>
      <c r="P20" s="31">
        <v>46232</v>
      </c>
      <c r="Q20" s="25">
        <f t="shared" ca="1" si="1"/>
        <v>0</v>
      </c>
      <c r="R20" s="34" t="s">
        <v>2</v>
      </c>
      <c r="S20" s="52"/>
    </row>
    <row r="21" spans="1:19" s="3" customFormat="1" ht="46.2" customHeight="1" x14ac:dyDescent="0.3">
      <c r="A21" s="30"/>
      <c r="B21" s="62" t="s">
        <v>124</v>
      </c>
      <c r="C21" s="39">
        <v>0</v>
      </c>
      <c r="D21" s="20" t="s">
        <v>125</v>
      </c>
      <c r="E21" s="15" t="s">
        <v>126</v>
      </c>
      <c r="F21" s="50" t="s">
        <v>19</v>
      </c>
      <c r="G21" s="19">
        <v>46214</v>
      </c>
      <c r="H21" s="26" t="s">
        <v>127</v>
      </c>
      <c r="I21" s="40">
        <v>46214</v>
      </c>
      <c r="J21" s="45">
        <f t="shared" si="0"/>
        <v>4</v>
      </c>
      <c r="K21" s="73"/>
      <c r="L21" s="16" t="s">
        <v>128</v>
      </c>
      <c r="M21" s="40">
        <v>46218</v>
      </c>
      <c r="N21" s="39" t="s">
        <v>20</v>
      </c>
      <c r="O21" s="18" t="s">
        <v>129</v>
      </c>
      <c r="P21" s="31">
        <v>46218</v>
      </c>
      <c r="Q21" s="25">
        <f t="shared" ca="1" si="1"/>
        <v>0</v>
      </c>
      <c r="R21" s="34" t="s">
        <v>2</v>
      </c>
      <c r="S21" s="52"/>
    </row>
    <row r="22" spans="1:19" s="3" customFormat="1" ht="46.2" customHeight="1" x14ac:dyDescent="0.3">
      <c r="A22" s="30"/>
      <c r="B22" s="62" t="s">
        <v>130</v>
      </c>
      <c r="C22" s="39">
        <v>0</v>
      </c>
      <c r="D22" s="20" t="s">
        <v>131</v>
      </c>
      <c r="E22" s="15" t="s">
        <v>132</v>
      </c>
      <c r="F22" s="50" t="s">
        <v>19</v>
      </c>
      <c r="G22" s="19">
        <v>46214</v>
      </c>
      <c r="H22" s="26" t="s">
        <v>133</v>
      </c>
      <c r="I22" s="40">
        <v>46214</v>
      </c>
      <c r="J22" s="45">
        <f t="shared" si="0"/>
        <v>4</v>
      </c>
      <c r="K22" s="73"/>
      <c r="L22" s="16" t="s">
        <v>134</v>
      </c>
      <c r="M22" s="40">
        <v>46218</v>
      </c>
      <c r="N22" s="39" t="s">
        <v>20</v>
      </c>
      <c r="O22" s="18" t="s">
        <v>135</v>
      </c>
      <c r="P22" s="31">
        <v>46218</v>
      </c>
      <c r="Q22" s="25">
        <f t="shared" ca="1" si="1"/>
        <v>0</v>
      </c>
      <c r="R22" s="34" t="s">
        <v>2</v>
      </c>
      <c r="S22" s="52"/>
    </row>
    <row r="23" spans="1:19" s="3" customFormat="1" ht="46.2" customHeight="1" x14ac:dyDescent="0.3">
      <c r="A23" s="30"/>
      <c r="B23" s="62" t="s">
        <v>136</v>
      </c>
      <c r="C23" s="39">
        <v>0</v>
      </c>
      <c r="D23" s="20" t="s">
        <v>137</v>
      </c>
      <c r="E23" s="15" t="s">
        <v>138</v>
      </c>
      <c r="F23" s="50" t="s">
        <v>19</v>
      </c>
      <c r="G23" s="19">
        <v>46220</v>
      </c>
      <c r="H23" s="26" t="s">
        <v>139</v>
      </c>
      <c r="I23" s="40">
        <v>46222</v>
      </c>
      <c r="J23" s="45">
        <f t="shared" si="0"/>
        <v>9</v>
      </c>
      <c r="K23" s="73"/>
      <c r="L23" s="16" t="s">
        <v>140</v>
      </c>
      <c r="M23" s="40">
        <v>46231</v>
      </c>
      <c r="N23" s="39" t="s">
        <v>20</v>
      </c>
      <c r="O23" s="18" t="s">
        <v>141</v>
      </c>
      <c r="P23" s="31">
        <v>46231</v>
      </c>
      <c r="Q23" s="25">
        <f t="shared" ca="1" si="1"/>
        <v>0</v>
      </c>
      <c r="R23" s="34" t="s">
        <v>2</v>
      </c>
      <c r="S23" s="52"/>
    </row>
    <row r="24" spans="1:19" s="3" customFormat="1" ht="46.2" customHeight="1" x14ac:dyDescent="0.3">
      <c r="A24" s="30"/>
      <c r="B24" s="62" t="s">
        <v>142</v>
      </c>
      <c r="C24" s="39">
        <v>0</v>
      </c>
      <c r="D24" s="20" t="s">
        <v>143</v>
      </c>
      <c r="E24" s="15" t="s">
        <v>144</v>
      </c>
      <c r="F24" s="50" t="s">
        <v>113</v>
      </c>
      <c r="G24" s="19">
        <v>46220</v>
      </c>
      <c r="H24" s="26" t="s">
        <v>145</v>
      </c>
      <c r="I24" s="40">
        <v>46222</v>
      </c>
      <c r="J24" s="45">
        <f t="shared" si="0"/>
        <v>8</v>
      </c>
      <c r="K24" s="73"/>
      <c r="L24" s="16" t="s">
        <v>146</v>
      </c>
      <c r="M24" s="40">
        <v>46230</v>
      </c>
      <c r="N24" s="39" t="s">
        <v>20</v>
      </c>
      <c r="O24" s="18" t="s">
        <v>147</v>
      </c>
      <c r="P24" s="31">
        <v>46230</v>
      </c>
      <c r="Q24" s="25">
        <f t="shared" ca="1" si="1"/>
        <v>0</v>
      </c>
      <c r="R24" s="34" t="s">
        <v>2</v>
      </c>
      <c r="S24" s="52"/>
    </row>
    <row r="25" spans="1:19" s="3" customFormat="1" ht="46.2" customHeight="1" x14ac:dyDescent="0.3">
      <c r="A25" s="30"/>
      <c r="B25" s="62" t="s">
        <v>148</v>
      </c>
      <c r="C25" s="39">
        <v>0</v>
      </c>
      <c r="D25" s="20" t="s">
        <v>149</v>
      </c>
      <c r="E25" s="15" t="s">
        <v>150</v>
      </c>
      <c r="F25" s="50" t="s">
        <v>151</v>
      </c>
      <c r="G25" s="19">
        <v>46221</v>
      </c>
      <c r="H25" s="26" t="s">
        <v>152</v>
      </c>
      <c r="I25" s="40">
        <v>46222</v>
      </c>
      <c r="J25" s="45">
        <f t="shared" si="0"/>
        <v>14</v>
      </c>
      <c r="K25" s="73"/>
      <c r="L25" s="18" t="s">
        <v>153</v>
      </c>
      <c r="M25" s="40">
        <v>46236</v>
      </c>
      <c r="N25" s="39" t="s">
        <v>20</v>
      </c>
      <c r="O25" s="18" t="s">
        <v>154</v>
      </c>
      <c r="P25" s="31">
        <v>46236</v>
      </c>
      <c r="Q25" s="25">
        <f t="shared" ca="1" si="1"/>
        <v>0</v>
      </c>
      <c r="R25" s="34" t="s">
        <v>2</v>
      </c>
      <c r="S25" s="52"/>
    </row>
    <row r="26" spans="1:19" s="3" customFormat="1" ht="46.2" customHeight="1" x14ac:dyDescent="0.3">
      <c r="A26" s="30"/>
      <c r="B26" s="62" t="s">
        <v>155</v>
      </c>
      <c r="C26" s="39">
        <v>1</v>
      </c>
      <c r="D26" s="20" t="s">
        <v>156</v>
      </c>
      <c r="E26" s="15" t="s">
        <v>157</v>
      </c>
      <c r="F26" s="50" t="s">
        <v>151</v>
      </c>
      <c r="G26" s="19">
        <v>46239</v>
      </c>
      <c r="H26" s="26" t="s">
        <v>158</v>
      </c>
      <c r="I26" s="40">
        <v>46239</v>
      </c>
      <c r="J26" s="45">
        <f t="shared" si="0"/>
        <v>12</v>
      </c>
      <c r="K26" s="73"/>
      <c r="L26" s="18" t="s">
        <v>159</v>
      </c>
      <c r="M26" s="40">
        <v>46251</v>
      </c>
      <c r="N26" s="39" t="s">
        <v>20</v>
      </c>
      <c r="O26" s="18" t="s">
        <v>160</v>
      </c>
      <c r="P26" s="31">
        <v>46251</v>
      </c>
      <c r="Q26" s="25">
        <f t="shared" ca="1" si="1"/>
        <v>0</v>
      </c>
      <c r="R26" s="34" t="s">
        <v>2</v>
      </c>
      <c r="S26" s="52"/>
    </row>
    <row r="27" spans="1:19" s="3" customFormat="1" ht="46.2" customHeight="1" x14ac:dyDescent="0.3">
      <c r="A27" s="30"/>
      <c r="B27" s="62" t="s">
        <v>161</v>
      </c>
      <c r="C27" s="39">
        <v>0</v>
      </c>
      <c r="D27" s="20" t="s">
        <v>162</v>
      </c>
      <c r="E27" s="15" t="s">
        <v>163</v>
      </c>
      <c r="F27" s="64" t="s">
        <v>164</v>
      </c>
      <c r="G27" s="19">
        <v>46221</v>
      </c>
      <c r="H27" s="26" t="s">
        <v>165</v>
      </c>
      <c r="I27" s="40">
        <v>46222</v>
      </c>
      <c r="J27" s="45">
        <f t="shared" si="0"/>
        <v>9</v>
      </c>
      <c r="K27" s="73"/>
      <c r="L27" s="16" t="s">
        <v>166</v>
      </c>
      <c r="M27" s="40">
        <v>46231</v>
      </c>
      <c r="N27" s="39" t="s">
        <v>20</v>
      </c>
      <c r="O27" s="18" t="s">
        <v>167</v>
      </c>
      <c r="P27" s="31">
        <v>46236</v>
      </c>
      <c r="Q27" s="25">
        <f t="shared" ca="1" si="1"/>
        <v>0</v>
      </c>
      <c r="R27" s="34" t="s">
        <v>2</v>
      </c>
      <c r="S27" s="54" t="s">
        <v>168</v>
      </c>
    </row>
    <row r="28" spans="1:19" s="3" customFormat="1" ht="46.2" customHeight="1" x14ac:dyDescent="0.3">
      <c r="A28" s="30"/>
      <c r="B28" s="62" t="s">
        <v>169</v>
      </c>
      <c r="C28" s="39">
        <v>0</v>
      </c>
      <c r="D28" s="20" t="s">
        <v>170</v>
      </c>
      <c r="E28" s="15" t="s">
        <v>171</v>
      </c>
      <c r="F28" s="50" t="s">
        <v>172</v>
      </c>
      <c r="G28" s="19">
        <v>46221</v>
      </c>
      <c r="H28" s="26" t="s">
        <v>173</v>
      </c>
      <c r="I28" s="40">
        <v>46222</v>
      </c>
      <c r="J28" s="45">
        <f t="shared" si="0"/>
        <v>9</v>
      </c>
      <c r="K28" s="73"/>
      <c r="L28" s="16" t="s">
        <v>174</v>
      </c>
      <c r="M28" s="40">
        <v>46231</v>
      </c>
      <c r="N28" s="39" t="s">
        <v>20</v>
      </c>
      <c r="O28" s="18" t="s">
        <v>175</v>
      </c>
      <c r="P28" s="31">
        <v>46231</v>
      </c>
      <c r="Q28" s="25">
        <f t="shared" ca="1" si="1"/>
        <v>0</v>
      </c>
      <c r="R28" s="34" t="s">
        <v>2</v>
      </c>
      <c r="S28" s="52" t="s">
        <v>176</v>
      </c>
    </row>
    <row r="29" spans="1:19" s="3" customFormat="1" ht="46.2" customHeight="1" x14ac:dyDescent="0.3">
      <c r="A29" s="30"/>
      <c r="B29" s="62" t="s">
        <v>177</v>
      </c>
      <c r="C29" s="51">
        <v>0</v>
      </c>
      <c r="D29" s="20" t="s">
        <v>178</v>
      </c>
      <c r="E29" s="15" t="s">
        <v>179</v>
      </c>
      <c r="F29" s="39" t="s">
        <v>19</v>
      </c>
      <c r="G29" s="19">
        <v>46210</v>
      </c>
      <c r="H29" s="26" t="s">
        <v>180</v>
      </c>
      <c r="I29" s="40">
        <v>46210</v>
      </c>
      <c r="J29" s="37">
        <f t="shared" si="0"/>
        <v>8</v>
      </c>
      <c r="K29" s="74"/>
      <c r="L29" s="16" t="s">
        <v>181</v>
      </c>
      <c r="M29" s="40">
        <v>46218</v>
      </c>
      <c r="N29" s="39" t="s">
        <v>20</v>
      </c>
      <c r="O29" s="18" t="s">
        <v>182</v>
      </c>
      <c r="P29" s="31">
        <v>46218</v>
      </c>
      <c r="Q29" s="25">
        <f t="shared" ca="1" si="1"/>
        <v>0</v>
      </c>
      <c r="R29" s="34" t="s">
        <v>2</v>
      </c>
      <c r="S29" s="52" t="s">
        <v>183</v>
      </c>
    </row>
    <row r="30" spans="1:19" s="3" customFormat="1" ht="46.2" customHeight="1" x14ac:dyDescent="0.3">
      <c r="A30" s="30"/>
      <c r="B30" s="62" t="s">
        <v>184</v>
      </c>
      <c r="C30" s="51">
        <v>0</v>
      </c>
      <c r="D30" s="20" t="s">
        <v>185</v>
      </c>
      <c r="E30" s="15" t="s">
        <v>186</v>
      </c>
      <c r="F30" s="39" t="s">
        <v>19</v>
      </c>
      <c r="G30" s="19">
        <v>46224</v>
      </c>
      <c r="H30" s="26" t="s">
        <v>187</v>
      </c>
      <c r="I30" s="40">
        <v>46224</v>
      </c>
      <c r="J30" s="37">
        <f t="shared" si="0"/>
        <v>8</v>
      </c>
      <c r="K30" s="74"/>
      <c r="L30" s="16" t="s">
        <v>188</v>
      </c>
      <c r="M30" s="40">
        <v>46232</v>
      </c>
      <c r="N30" s="39" t="s">
        <v>20</v>
      </c>
      <c r="O30" s="18" t="s">
        <v>189</v>
      </c>
      <c r="P30" s="31">
        <v>46232</v>
      </c>
      <c r="Q30" s="25">
        <f t="shared" ca="1" si="1"/>
        <v>0</v>
      </c>
      <c r="R30" s="34" t="s">
        <v>2</v>
      </c>
      <c r="S30" s="52" t="s">
        <v>190</v>
      </c>
    </row>
    <row r="31" spans="1:19" s="3" customFormat="1" ht="46.2" customHeight="1" x14ac:dyDescent="0.3">
      <c r="A31" s="30"/>
      <c r="B31" s="62" t="s">
        <v>184</v>
      </c>
      <c r="C31" s="51">
        <v>1</v>
      </c>
      <c r="D31" s="20" t="s">
        <v>191</v>
      </c>
      <c r="E31" s="15" t="s">
        <v>192</v>
      </c>
      <c r="F31" s="39" t="s">
        <v>19</v>
      </c>
      <c r="G31" s="19">
        <v>46239</v>
      </c>
      <c r="H31" s="26" t="s">
        <v>193</v>
      </c>
      <c r="I31" s="40">
        <v>46239</v>
      </c>
      <c r="J31" s="37">
        <f t="shared" si="0"/>
        <v>5</v>
      </c>
      <c r="K31" s="74"/>
      <c r="L31" s="16" t="s">
        <v>194</v>
      </c>
      <c r="M31" s="40">
        <v>46244</v>
      </c>
      <c r="N31" s="39" t="s">
        <v>20</v>
      </c>
      <c r="O31" s="18" t="s">
        <v>195</v>
      </c>
      <c r="P31" s="31">
        <v>46244</v>
      </c>
      <c r="Q31" s="25">
        <f t="shared" ca="1" si="1"/>
        <v>0</v>
      </c>
      <c r="R31" s="34" t="s">
        <v>2</v>
      </c>
      <c r="S31" s="52"/>
    </row>
    <row r="32" spans="1:19" s="3" customFormat="1" ht="46.2" customHeight="1" x14ac:dyDescent="0.3">
      <c r="A32" s="30"/>
      <c r="B32" s="62" t="s">
        <v>184</v>
      </c>
      <c r="C32" s="51">
        <v>2</v>
      </c>
      <c r="D32" s="20" t="s">
        <v>196</v>
      </c>
      <c r="E32" s="15" t="s">
        <v>197</v>
      </c>
      <c r="F32" s="39" t="s">
        <v>19</v>
      </c>
      <c r="G32" s="19">
        <v>46251</v>
      </c>
      <c r="H32" s="26" t="s">
        <v>198</v>
      </c>
      <c r="I32" s="40">
        <v>46251</v>
      </c>
      <c r="J32" s="37">
        <f t="shared" si="0"/>
        <v>16</v>
      </c>
      <c r="K32" s="74"/>
      <c r="L32" s="16" t="s">
        <v>199</v>
      </c>
      <c r="M32" s="40">
        <v>46267</v>
      </c>
      <c r="N32" s="39" t="s">
        <v>20</v>
      </c>
      <c r="O32" s="18" t="s">
        <v>200</v>
      </c>
      <c r="P32" s="31">
        <v>46267</v>
      </c>
      <c r="Q32" s="25">
        <f t="shared" ca="1" si="1"/>
        <v>0</v>
      </c>
      <c r="R32" s="34" t="s">
        <v>2</v>
      </c>
      <c r="S32" s="52"/>
    </row>
    <row r="33" spans="1:19" s="3" customFormat="1" ht="46.2" customHeight="1" x14ac:dyDescent="0.3">
      <c r="A33" s="30"/>
      <c r="B33" s="62" t="s">
        <v>201</v>
      </c>
      <c r="C33" s="51">
        <v>0</v>
      </c>
      <c r="D33" s="20" t="s">
        <v>202</v>
      </c>
      <c r="E33" s="15" t="s">
        <v>203</v>
      </c>
      <c r="F33" s="39" t="s">
        <v>19</v>
      </c>
      <c r="G33" s="19">
        <v>46226</v>
      </c>
      <c r="H33" s="26" t="s">
        <v>204</v>
      </c>
      <c r="I33" s="40">
        <v>46226</v>
      </c>
      <c r="J33" s="37">
        <f t="shared" si="0"/>
        <v>5</v>
      </c>
      <c r="K33" s="74"/>
      <c r="L33" s="16" t="s">
        <v>205</v>
      </c>
      <c r="M33" s="40">
        <v>46231</v>
      </c>
      <c r="N33" s="39" t="s">
        <v>20</v>
      </c>
      <c r="O33" s="18" t="s">
        <v>206</v>
      </c>
      <c r="P33" s="31">
        <v>46231</v>
      </c>
      <c r="Q33" s="25">
        <f t="shared" ca="1" si="1"/>
        <v>0</v>
      </c>
      <c r="R33" s="34" t="s">
        <v>2</v>
      </c>
      <c r="S33" s="12"/>
    </row>
    <row r="34" spans="1:19" s="3" customFormat="1" ht="46.2" customHeight="1" x14ac:dyDescent="0.3">
      <c r="A34" s="30"/>
      <c r="B34" s="62" t="s">
        <v>207</v>
      </c>
      <c r="C34" s="51">
        <v>0</v>
      </c>
      <c r="D34" s="20" t="s">
        <v>208</v>
      </c>
      <c r="E34" s="15" t="s">
        <v>209</v>
      </c>
      <c r="F34" s="39" t="s">
        <v>19</v>
      </c>
      <c r="G34" s="19">
        <v>46228</v>
      </c>
      <c r="H34" s="26" t="s">
        <v>210</v>
      </c>
      <c r="I34" s="40">
        <v>46229</v>
      </c>
      <c r="J34" s="37">
        <f t="shared" si="0"/>
        <v>2</v>
      </c>
      <c r="K34" s="74"/>
      <c r="L34" s="16" t="s">
        <v>211</v>
      </c>
      <c r="M34" s="40">
        <v>46231</v>
      </c>
      <c r="N34" s="39" t="s">
        <v>20</v>
      </c>
      <c r="O34" s="18" t="s">
        <v>212</v>
      </c>
      <c r="P34" s="31">
        <v>46231</v>
      </c>
      <c r="Q34" s="25">
        <f t="shared" ca="1" si="1"/>
        <v>0</v>
      </c>
      <c r="R34" s="34" t="s">
        <v>2</v>
      </c>
      <c r="S34" s="12"/>
    </row>
    <row r="35" spans="1:19" s="3" customFormat="1" ht="46.2" customHeight="1" x14ac:dyDescent="0.3">
      <c r="A35" s="30"/>
      <c r="B35" s="62" t="s">
        <v>213</v>
      </c>
      <c r="C35" s="51">
        <v>0</v>
      </c>
      <c r="D35" s="20" t="s">
        <v>214</v>
      </c>
      <c r="E35" s="15" t="s">
        <v>215</v>
      </c>
      <c r="F35" s="50" t="s">
        <v>172</v>
      </c>
      <c r="G35" s="19">
        <v>46228</v>
      </c>
      <c r="H35" s="26" t="s">
        <v>216</v>
      </c>
      <c r="I35" s="40">
        <v>46229</v>
      </c>
      <c r="J35" s="37">
        <f t="shared" si="0"/>
        <v>2</v>
      </c>
      <c r="K35" s="74"/>
      <c r="L35" s="16" t="s">
        <v>217</v>
      </c>
      <c r="M35" s="40">
        <v>46231</v>
      </c>
      <c r="N35" s="39" t="s">
        <v>20</v>
      </c>
      <c r="O35" s="18" t="s">
        <v>218</v>
      </c>
      <c r="P35" s="31">
        <v>46231</v>
      </c>
      <c r="Q35" s="25">
        <f t="shared" ca="1" si="1"/>
        <v>0</v>
      </c>
      <c r="R35" s="34" t="s">
        <v>2</v>
      </c>
      <c r="S35" s="12"/>
    </row>
    <row r="36" spans="1:19" s="3" customFormat="1" ht="46.2" customHeight="1" x14ac:dyDescent="0.3">
      <c r="A36" s="30"/>
      <c r="B36" s="62" t="s">
        <v>219</v>
      </c>
      <c r="C36" s="51">
        <v>0</v>
      </c>
      <c r="D36" s="20" t="s">
        <v>220</v>
      </c>
      <c r="E36" s="15" t="s">
        <v>221</v>
      </c>
      <c r="F36" s="50" t="s">
        <v>151</v>
      </c>
      <c r="G36" s="19">
        <v>46228</v>
      </c>
      <c r="H36" s="26" t="s">
        <v>222</v>
      </c>
      <c r="I36" s="40">
        <v>46229</v>
      </c>
      <c r="J36" s="37">
        <f t="shared" si="0"/>
        <v>3</v>
      </c>
      <c r="K36" s="74"/>
      <c r="L36" s="16" t="s">
        <v>223</v>
      </c>
      <c r="M36" s="40">
        <v>46232</v>
      </c>
      <c r="N36" s="39" t="s">
        <v>20</v>
      </c>
      <c r="O36" s="18" t="s">
        <v>224</v>
      </c>
      <c r="P36" s="31">
        <v>46233</v>
      </c>
      <c r="Q36" s="25">
        <f t="shared" ca="1" si="1"/>
        <v>0</v>
      </c>
      <c r="R36" s="34" t="s">
        <v>2</v>
      </c>
      <c r="S36" s="12"/>
    </row>
    <row r="37" spans="1:19" s="3" customFormat="1" ht="46.2" customHeight="1" x14ac:dyDescent="0.3">
      <c r="A37" s="30"/>
      <c r="B37" s="62" t="s">
        <v>225</v>
      </c>
      <c r="C37" s="51">
        <v>0</v>
      </c>
      <c r="D37" s="20" t="s">
        <v>226</v>
      </c>
      <c r="E37" s="15" t="s">
        <v>227</v>
      </c>
      <c r="F37" s="50" t="s">
        <v>151</v>
      </c>
      <c r="G37" s="19">
        <v>46230</v>
      </c>
      <c r="H37" s="26" t="s">
        <v>228</v>
      </c>
      <c r="I37" s="40">
        <v>46230</v>
      </c>
      <c r="J37" s="37">
        <f t="shared" ref="J37:J69" si="2">M37-I37</f>
        <v>2</v>
      </c>
      <c r="K37" s="74"/>
      <c r="L37" s="16" t="s">
        <v>229</v>
      </c>
      <c r="M37" s="40">
        <v>46232</v>
      </c>
      <c r="N37" s="39" t="s">
        <v>20</v>
      </c>
      <c r="O37" s="18" t="s">
        <v>230</v>
      </c>
      <c r="P37" s="31">
        <v>46232</v>
      </c>
      <c r="Q37" s="25">
        <f t="shared" ref="Q37:Q69" ca="1" si="3">IF(AND(P37="",TODAY()-G37&gt;5),TODAY()-G37-5,0)</f>
        <v>0</v>
      </c>
      <c r="R37" s="34" t="s">
        <v>2</v>
      </c>
      <c r="S37" s="12"/>
    </row>
    <row r="38" spans="1:19" s="3" customFormat="1" ht="46.2" customHeight="1" x14ac:dyDescent="0.3">
      <c r="A38" s="30"/>
      <c r="B38" s="62" t="s">
        <v>231</v>
      </c>
      <c r="C38" s="51">
        <v>1</v>
      </c>
      <c r="D38" s="20" t="s">
        <v>232</v>
      </c>
      <c r="E38" s="15" t="s">
        <v>233</v>
      </c>
      <c r="F38" s="50" t="s">
        <v>151</v>
      </c>
      <c r="G38" s="19">
        <v>46239</v>
      </c>
      <c r="H38" s="26" t="s">
        <v>234</v>
      </c>
      <c r="I38" s="40">
        <v>46239</v>
      </c>
      <c r="J38" s="37">
        <f t="shared" si="2"/>
        <v>4</v>
      </c>
      <c r="K38" s="74"/>
      <c r="L38" s="16" t="s">
        <v>235</v>
      </c>
      <c r="M38" s="40">
        <v>46243</v>
      </c>
      <c r="N38" s="39" t="s">
        <v>20</v>
      </c>
      <c r="O38" s="18" t="s">
        <v>236</v>
      </c>
      <c r="P38" s="40">
        <v>46243</v>
      </c>
      <c r="Q38" s="25">
        <f t="shared" ca="1" si="3"/>
        <v>0</v>
      </c>
      <c r="R38" s="34" t="s">
        <v>2</v>
      </c>
      <c r="S38" s="12"/>
    </row>
    <row r="39" spans="1:19" s="3" customFormat="1" ht="46.2" customHeight="1" x14ac:dyDescent="0.3">
      <c r="A39" s="30"/>
      <c r="B39" s="62" t="s">
        <v>237</v>
      </c>
      <c r="C39" s="51">
        <v>0</v>
      </c>
      <c r="D39" s="20" t="s">
        <v>238</v>
      </c>
      <c r="E39" s="15" t="s">
        <v>239</v>
      </c>
      <c r="F39" s="50" t="s">
        <v>151</v>
      </c>
      <c r="G39" s="19">
        <v>46231</v>
      </c>
      <c r="H39" s="26" t="s">
        <v>240</v>
      </c>
      <c r="I39" s="40">
        <v>46231</v>
      </c>
      <c r="J39" s="37">
        <f t="shared" si="2"/>
        <v>0</v>
      </c>
      <c r="K39" s="74"/>
      <c r="L39" s="16" t="s">
        <v>241</v>
      </c>
      <c r="M39" s="40">
        <v>46231</v>
      </c>
      <c r="N39" s="39" t="s">
        <v>20</v>
      </c>
      <c r="O39" s="18" t="s">
        <v>242</v>
      </c>
      <c r="P39" s="31">
        <v>46231</v>
      </c>
      <c r="Q39" s="25">
        <f t="shared" ca="1" si="3"/>
        <v>0</v>
      </c>
      <c r="R39" s="34" t="s">
        <v>2</v>
      </c>
      <c r="S39" s="12"/>
    </row>
    <row r="40" spans="1:19" s="3" customFormat="1" ht="46.2" customHeight="1" x14ac:dyDescent="0.3">
      <c r="A40" s="30"/>
      <c r="B40" s="62" t="s">
        <v>243</v>
      </c>
      <c r="C40" s="51">
        <v>0</v>
      </c>
      <c r="D40" s="20" t="s">
        <v>244</v>
      </c>
      <c r="E40" s="15" t="s">
        <v>245</v>
      </c>
      <c r="F40" s="50" t="s">
        <v>151</v>
      </c>
      <c r="G40" s="19">
        <v>46232</v>
      </c>
      <c r="H40" s="26" t="s">
        <v>246</v>
      </c>
      <c r="I40" s="40">
        <v>46232</v>
      </c>
      <c r="J40" s="37">
        <f t="shared" si="2"/>
        <v>0</v>
      </c>
      <c r="K40" s="74"/>
      <c r="L40" s="16" t="s">
        <v>247</v>
      </c>
      <c r="M40" s="40">
        <v>46232</v>
      </c>
      <c r="N40" s="39" t="s">
        <v>20</v>
      </c>
      <c r="O40" s="18" t="s">
        <v>248</v>
      </c>
      <c r="P40" s="31">
        <v>46232</v>
      </c>
      <c r="Q40" s="25">
        <f t="shared" ca="1" si="3"/>
        <v>0</v>
      </c>
      <c r="R40" s="34" t="s">
        <v>2</v>
      </c>
      <c r="S40" s="12"/>
    </row>
    <row r="41" spans="1:19" s="3" customFormat="1" ht="46.2" customHeight="1" x14ac:dyDescent="0.3">
      <c r="A41" s="30"/>
      <c r="B41" s="62" t="s">
        <v>249</v>
      </c>
      <c r="C41" s="51">
        <v>0</v>
      </c>
      <c r="D41" s="20" t="s">
        <v>250</v>
      </c>
      <c r="E41" s="15" t="s">
        <v>251</v>
      </c>
      <c r="F41" s="50" t="s">
        <v>113</v>
      </c>
      <c r="G41" s="19">
        <v>46237</v>
      </c>
      <c r="H41" s="26" t="s">
        <v>252</v>
      </c>
      <c r="I41" s="40">
        <v>46237</v>
      </c>
      <c r="J41" s="37">
        <f t="shared" si="2"/>
        <v>3</v>
      </c>
      <c r="K41" s="74"/>
      <c r="L41" s="16" t="s">
        <v>253</v>
      </c>
      <c r="M41" s="40">
        <v>46240</v>
      </c>
      <c r="N41" s="39" t="s">
        <v>20</v>
      </c>
      <c r="O41" s="18" t="s">
        <v>254</v>
      </c>
      <c r="P41" s="49">
        <v>46240</v>
      </c>
      <c r="Q41" s="25">
        <f t="shared" ca="1" si="3"/>
        <v>0</v>
      </c>
      <c r="R41" s="34" t="s">
        <v>2</v>
      </c>
      <c r="S41" s="12"/>
    </row>
    <row r="42" spans="1:19" s="3" customFormat="1" ht="46.2" customHeight="1" x14ac:dyDescent="0.3">
      <c r="A42" s="30"/>
      <c r="B42" s="62" t="s">
        <v>249</v>
      </c>
      <c r="C42" s="51">
        <v>1</v>
      </c>
      <c r="D42" s="20" t="s">
        <v>255</v>
      </c>
      <c r="E42" s="15" t="s">
        <v>256</v>
      </c>
      <c r="F42" s="50" t="s">
        <v>113</v>
      </c>
      <c r="G42" s="19">
        <v>46243</v>
      </c>
      <c r="H42" s="26" t="s">
        <v>257</v>
      </c>
      <c r="I42" s="40">
        <v>46243</v>
      </c>
      <c r="J42" s="37">
        <f t="shared" si="2"/>
        <v>8</v>
      </c>
      <c r="K42" s="74"/>
      <c r="L42" s="16" t="s">
        <v>258</v>
      </c>
      <c r="M42" s="40">
        <v>46251</v>
      </c>
      <c r="N42" s="39" t="s">
        <v>20</v>
      </c>
      <c r="O42" s="18" t="s">
        <v>259</v>
      </c>
      <c r="P42" s="49">
        <v>46251</v>
      </c>
      <c r="Q42" s="25">
        <f t="shared" ca="1" si="3"/>
        <v>0</v>
      </c>
      <c r="R42" s="34" t="s">
        <v>2</v>
      </c>
      <c r="S42" s="12"/>
    </row>
    <row r="43" spans="1:19" s="3" customFormat="1" ht="46.2" customHeight="1" x14ac:dyDescent="0.3">
      <c r="A43" s="30"/>
      <c r="B43" s="62" t="s">
        <v>260</v>
      </c>
      <c r="C43" s="51">
        <v>0</v>
      </c>
      <c r="D43" s="20" t="s">
        <v>261</v>
      </c>
      <c r="E43" s="15" t="s">
        <v>262</v>
      </c>
      <c r="F43" s="50" t="s">
        <v>151</v>
      </c>
      <c r="G43" s="19">
        <v>46239</v>
      </c>
      <c r="H43" s="26" t="s">
        <v>263</v>
      </c>
      <c r="I43" s="40">
        <v>46239</v>
      </c>
      <c r="J43" s="37">
        <f t="shared" si="2"/>
        <v>1</v>
      </c>
      <c r="K43" s="74"/>
      <c r="L43" s="16" t="s">
        <v>264</v>
      </c>
      <c r="M43" s="40">
        <v>46240</v>
      </c>
      <c r="N43" s="39" t="s">
        <v>20</v>
      </c>
      <c r="O43" s="18" t="s">
        <v>265</v>
      </c>
      <c r="P43" s="31">
        <v>46240</v>
      </c>
      <c r="Q43" s="25">
        <f t="shared" ca="1" si="3"/>
        <v>0</v>
      </c>
      <c r="R43" s="34" t="s">
        <v>2</v>
      </c>
      <c r="S43" s="12"/>
    </row>
    <row r="44" spans="1:19" s="3" customFormat="1" ht="46.2" customHeight="1" x14ac:dyDescent="0.3">
      <c r="A44" s="30"/>
      <c r="B44" s="62" t="s">
        <v>266</v>
      </c>
      <c r="C44" s="51">
        <v>0</v>
      </c>
      <c r="D44" s="20" t="s">
        <v>267</v>
      </c>
      <c r="E44" s="15" t="s">
        <v>268</v>
      </c>
      <c r="F44" s="50" t="s">
        <v>113</v>
      </c>
      <c r="G44" s="19">
        <v>46238</v>
      </c>
      <c r="H44" s="26" t="s">
        <v>269</v>
      </c>
      <c r="I44" s="40">
        <v>46239</v>
      </c>
      <c r="J44" s="37">
        <f t="shared" si="2"/>
        <v>5</v>
      </c>
      <c r="K44" s="74"/>
      <c r="L44" s="16" t="s">
        <v>270</v>
      </c>
      <c r="M44" s="40">
        <v>46244</v>
      </c>
      <c r="N44" s="39" t="s">
        <v>20</v>
      </c>
      <c r="O44" s="18" t="s">
        <v>271</v>
      </c>
      <c r="P44" s="31">
        <v>46244</v>
      </c>
      <c r="Q44" s="25">
        <f t="shared" ca="1" si="3"/>
        <v>0</v>
      </c>
      <c r="R44" s="34" t="s">
        <v>2</v>
      </c>
      <c r="S44" s="12"/>
    </row>
    <row r="45" spans="1:19" s="3" customFormat="1" ht="46.2" customHeight="1" x14ac:dyDescent="0.3">
      <c r="A45" s="30"/>
      <c r="B45" s="62" t="s">
        <v>272</v>
      </c>
      <c r="C45" s="51">
        <v>0</v>
      </c>
      <c r="D45" s="20" t="s">
        <v>273</v>
      </c>
      <c r="E45" s="15" t="s">
        <v>274</v>
      </c>
      <c r="F45" s="50" t="s">
        <v>19</v>
      </c>
      <c r="G45" s="19">
        <v>46239</v>
      </c>
      <c r="H45" s="26" t="s">
        <v>275</v>
      </c>
      <c r="I45" s="40">
        <v>46239</v>
      </c>
      <c r="J45" s="37">
        <f t="shared" si="2"/>
        <v>5</v>
      </c>
      <c r="K45" s="74"/>
      <c r="L45" s="16" t="s">
        <v>276</v>
      </c>
      <c r="M45" s="40">
        <v>46244</v>
      </c>
      <c r="N45" s="39" t="s">
        <v>20</v>
      </c>
      <c r="O45" s="18" t="s">
        <v>277</v>
      </c>
      <c r="P45" s="31">
        <v>46244</v>
      </c>
      <c r="Q45" s="25">
        <f t="shared" ca="1" si="3"/>
        <v>0</v>
      </c>
      <c r="R45" s="34" t="s">
        <v>2</v>
      </c>
      <c r="S45" s="12"/>
    </row>
    <row r="46" spans="1:19" s="3" customFormat="1" ht="46.2" customHeight="1" x14ac:dyDescent="0.3">
      <c r="A46" s="30"/>
      <c r="B46" s="62" t="s">
        <v>272</v>
      </c>
      <c r="C46" s="51">
        <v>1</v>
      </c>
      <c r="D46" s="20" t="s">
        <v>278</v>
      </c>
      <c r="E46" s="15" t="s">
        <v>279</v>
      </c>
      <c r="F46" s="50" t="s">
        <v>19</v>
      </c>
      <c r="G46" s="19">
        <v>46251</v>
      </c>
      <c r="H46" s="26" t="s">
        <v>280</v>
      </c>
      <c r="I46" s="40">
        <v>46251</v>
      </c>
      <c r="J46" s="37">
        <f t="shared" si="2"/>
        <v>6</v>
      </c>
      <c r="K46" s="74"/>
      <c r="L46" s="16" t="s">
        <v>281</v>
      </c>
      <c r="M46" s="53">
        <v>46257</v>
      </c>
      <c r="N46" s="39" t="s">
        <v>20</v>
      </c>
      <c r="O46" s="18" t="s">
        <v>282</v>
      </c>
      <c r="P46" s="31">
        <v>46258</v>
      </c>
      <c r="Q46" s="25">
        <f t="shared" ca="1" si="3"/>
        <v>0</v>
      </c>
      <c r="R46" s="34" t="s">
        <v>2</v>
      </c>
      <c r="S46" s="12"/>
    </row>
    <row r="47" spans="1:19" s="3" customFormat="1" ht="46.2" customHeight="1" x14ac:dyDescent="0.3">
      <c r="A47" s="30"/>
      <c r="B47" s="62" t="s">
        <v>283</v>
      </c>
      <c r="C47" s="51">
        <v>0</v>
      </c>
      <c r="D47" s="20" t="s">
        <v>284</v>
      </c>
      <c r="E47" s="55" t="s">
        <v>285</v>
      </c>
      <c r="F47" s="50" t="s">
        <v>113</v>
      </c>
      <c r="G47" s="19">
        <v>46247</v>
      </c>
      <c r="H47" s="26" t="s">
        <v>286</v>
      </c>
      <c r="I47" s="40">
        <v>46247</v>
      </c>
      <c r="J47" s="37">
        <f t="shared" si="2"/>
        <v>5</v>
      </c>
      <c r="K47" s="74"/>
      <c r="L47" s="16" t="s">
        <v>287</v>
      </c>
      <c r="M47" s="49">
        <v>46252</v>
      </c>
      <c r="N47" s="39" t="s">
        <v>20</v>
      </c>
      <c r="O47" s="18" t="s">
        <v>288</v>
      </c>
      <c r="P47" s="31">
        <v>46252</v>
      </c>
      <c r="Q47" s="25">
        <f t="shared" ca="1" si="3"/>
        <v>0</v>
      </c>
      <c r="R47" s="34" t="s">
        <v>2</v>
      </c>
      <c r="S47" s="12"/>
    </row>
    <row r="48" spans="1:19" s="3" customFormat="1" ht="46.2" customHeight="1" x14ac:dyDescent="0.3">
      <c r="A48" s="30"/>
      <c r="B48" s="62" t="s">
        <v>289</v>
      </c>
      <c r="C48" s="51">
        <v>0</v>
      </c>
      <c r="D48" s="20" t="s">
        <v>290</v>
      </c>
      <c r="E48" s="15" t="s">
        <v>291</v>
      </c>
      <c r="F48" s="50" t="s">
        <v>19</v>
      </c>
      <c r="G48" s="19">
        <v>46251</v>
      </c>
      <c r="H48" s="26" t="s">
        <v>292</v>
      </c>
      <c r="I48" s="40">
        <v>46251</v>
      </c>
      <c r="J48" s="37">
        <f t="shared" si="2"/>
        <v>3</v>
      </c>
      <c r="K48" s="74"/>
      <c r="L48" s="16" t="s">
        <v>293</v>
      </c>
      <c r="M48" s="49">
        <v>46254</v>
      </c>
      <c r="N48" s="39" t="s">
        <v>20</v>
      </c>
      <c r="O48" s="18" t="s">
        <v>294</v>
      </c>
      <c r="P48" s="31">
        <v>46254</v>
      </c>
      <c r="Q48" s="25">
        <f t="shared" ca="1" si="3"/>
        <v>0</v>
      </c>
      <c r="R48" s="34" t="s">
        <v>2</v>
      </c>
      <c r="S48" s="12"/>
    </row>
    <row r="49" spans="1:19" s="3" customFormat="1" ht="46.2" customHeight="1" x14ac:dyDescent="0.3">
      <c r="A49" s="30"/>
      <c r="B49" s="62" t="s">
        <v>295</v>
      </c>
      <c r="C49" s="51">
        <v>0</v>
      </c>
      <c r="D49" s="20" t="s">
        <v>296</v>
      </c>
      <c r="E49" s="15" t="s">
        <v>297</v>
      </c>
      <c r="F49" s="50" t="s">
        <v>19</v>
      </c>
      <c r="G49" s="19">
        <v>46251</v>
      </c>
      <c r="H49" s="26" t="s">
        <v>298</v>
      </c>
      <c r="I49" s="56">
        <v>46251</v>
      </c>
      <c r="J49" s="37">
        <f t="shared" si="2"/>
        <v>7</v>
      </c>
      <c r="K49" s="74"/>
      <c r="L49" s="16" t="s">
        <v>299</v>
      </c>
      <c r="M49" s="49">
        <v>46258</v>
      </c>
      <c r="N49" s="39" t="s">
        <v>20</v>
      </c>
      <c r="O49" s="18" t="s">
        <v>300</v>
      </c>
      <c r="P49" s="31">
        <v>46258</v>
      </c>
      <c r="Q49" s="25">
        <f t="shared" ca="1" si="3"/>
        <v>0</v>
      </c>
      <c r="R49" s="34" t="s">
        <v>2</v>
      </c>
      <c r="S49" s="12"/>
    </row>
    <row r="50" spans="1:19" s="3" customFormat="1" ht="46.2" customHeight="1" x14ac:dyDescent="0.3">
      <c r="A50" s="30"/>
      <c r="B50" s="62" t="s">
        <v>301</v>
      </c>
      <c r="C50" s="51">
        <v>0</v>
      </c>
      <c r="D50" s="20" t="s">
        <v>302</v>
      </c>
      <c r="E50" s="15" t="s">
        <v>303</v>
      </c>
      <c r="F50" s="50" t="s">
        <v>19</v>
      </c>
      <c r="G50" s="19">
        <v>46251</v>
      </c>
      <c r="H50" s="26" t="s">
        <v>304</v>
      </c>
      <c r="I50" s="56">
        <v>46251</v>
      </c>
      <c r="J50" s="37">
        <f t="shared" si="2"/>
        <v>7</v>
      </c>
      <c r="K50" s="74"/>
      <c r="L50" s="16" t="s">
        <v>305</v>
      </c>
      <c r="M50" s="49">
        <v>46258</v>
      </c>
      <c r="N50" s="39" t="s">
        <v>20</v>
      </c>
      <c r="O50" s="18" t="s">
        <v>306</v>
      </c>
      <c r="P50" s="31">
        <v>46258</v>
      </c>
      <c r="Q50" s="25">
        <f t="shared" ca="1" si="3"/>
        <v>0</v>
      </c>
      <c r="R50" s="34" t="s">
        <v>2</v>
      </c>
      <c r="S50" s="12"/>
    </row>
    <row r="51" spans="1:19" s="3" customFormat="1" ht="46.2" customHeight="1" x14ac:dyDescent="0.3">
      <c r="A51" s="30"/>
      <c r="B51" s="62" t="s">
        <v>307</v>
      </c>
      <c r="C51" s="51">
        <v>0</v>
      </c>
      <c r="D51" s="20" t="s">
        <v>308</v>
      </c>
      <c r="E51" s="15" t="s">
        <v>309</v>
      </c>
      <c r="F51" s="50" t="s">
        <v>113</v>
      </c>
      <c r="G51" s="19">
        <v>46257</v>
      </c>
      <c r="H51" s="26" t="s">
        <v>310</v>
      </c>
      <c r="I51" s="56">
        <v>46257</v>
      </c>
      <c r="J51" s="37">
        <f t="shared" si="2"/>
        <v>7</v>
      </c>
      <c r="K51" s="74"/>
      <c r="L51" s="16" t="s">
        <v>311</v>
      </c>
      <c r="M51" s="49">
        <v>46264</v>
      </c>
      <c r="N51" s="39" t="s">
        <v>20</v>
      </c>
      <c r="O51" s="18" t="s">
        <v>312</v>
      </c>
      <c r="P51" s="31">
        <v>46265</v>
      </c>
      <c r="Q51" s="25">
        <f t="shared" ca="1" si="3"/>
        <v>0</v>
      </c>
      <c r="R51" s="34" t="s">
        <v>2</v>
      </c>
      <c r="S51" s="12"/>
    </row>
    <row r="52" spans="1:19" s="3" customFormat="1" ht="46.2" customHeight="1" x14ac:dyDescent="0.3">
      <c r="A52" s="30"/>
      <c r="B52" s="62" t="s">
        <v>307</v>
      </c>
      <c r="C52" s="51">
        <v>1</v>
      </c>
      <c r="D52" s="20" t="s">
        <v>313</v>
      </c>
      <c r="E52" s="15" t="s">
        <v>314</v>
      </c>
      <c r="F52" s="50" t="s">
        <v>113</v>
      </c>
      <c r="G52" s="19">
        <v>46293</v>
      </c>
      <c r="H52" s="26" t="s">
        <v>316</v>
      </c>
      <c r="I52" s="19">
        <v>46294</v>
      </c>
      <c r="J52" s="37">
        <f t="shared" si="2"/>
        <v>7</v>
      </c>
      <c r="K52" s="75" t="s">
        <v>315</v>
      </c>
      <c r="L52" s="16" t="s">
        <v>832</v>
      </c>
      <c r="M52" s="49">
        <v>46301</v>
      </c>
      <c r="N52" s="39"/>
      <c r="O52" s="18" t="s">
        <v>833</v>
      </c>
      <c r="P52" s="31">
        <v>46301</v>
      </c>
      <c r="Q52" s="25">
        <f t="shared" ca="1" si="3"/>
        <v>0</v>
      </c>
      <c r="R52" s="34" t="s">
        <v>2</v>
      </c>
      <c r="S52" s="12" t="s">
        <v>823</v>
      </c>
    </row>
    <row r="53" spans="1:19" s="3" customFormat="1" ht="46.2" customHeight="1" x14ac:dyDescent="0.3">
      <c r="A53" s="30"/>
      <c r="B53" s="62" t="s">
        <v>317</v>
      </c>
      <c r="C53" s="51">
        <v>0</v>
      </c>
      <c r="D53" s="20" t="s">
        <v>318</v>
      </c>
      <c r="E53" s="15" t="s">
        <v>319</v>
      </c>
      <c r="F53" s="50" t="s">
        <v>151</v>
      </c>
      <c r="G53" s="19">
        <v>46257</v>
      </c>
      <c r="H53" s="26" t="s">
        <v>320</v>
      </c>
      <c r="I53" s="56">
        <v>46257</v>
      </c>
      <c r="J53" s="37">
        <f t="shared" si="2"/>
        <v>8</v>
      </c>
      <c r="K53" s="74"/>
      <c r="L53" s="16" t="s">
        <v>321</v>
      </c>
      <c r="M53" s="49">
        <v>46265</v>
      </c>
      <c r="N53" s="39" t="s">
        <v>20</v>
      </c>
      <c r="O53" s="18" t="s">
        <v>322</v>
      </c>
      <c r="P53" s="31">
        <v>46265</v>
      </c>
      <c r="Q53" s="25">
        <f t="shared" ca="1" si="3"/>
        <v>0</v>
      </c>
      <c r="R53" s="34" t="s">
        <v>2</v>
      </c>
      <c r="S53" s="12"/>
    </row>
    <row r="54" spans="1:19" s="3" customFormat="1" ht="46.2" customHeight="1" x14ac:dyDescent="0.3">
      <c r="A54" s="30"/>
      <c r="B54" s="62" t="s">
        <v>323</v>
      </c>
      <c r="C54" s="51">
        <v>0</v>
      </c>
      <c r="D54" s="20" t="s">
        <v>324</v>
      </c>
      <c r="E54" s="15" t="s">
        <v>325</v>
      </c>
      <c r="F54" s="50" t="s">
        <v>113</v>
      </c>
      <c r="G54" s="19">
        <v>46259</v>
      </c>
      <c r="H54" s="26" t="s">
        <v>326</v>
      </c>
      <c r="I54" s="56">
        <v>46260</v>
      </c>
      <c r="J54" s="37">
        <f t="shared" si="2"/>
        <v>4</v>
      </c>
      <c r="K54" s="74"/>
      <c r="L54" s="16" t="s">
        <v>324</v>
      </c>
      <c r="M54" s="49">
        <v>46264</v>
      </c>
      <c r="N54" s="39" t="s">
        <v>20</v>
      </c>
      <c r="O54" s="18" t="s">
        <v>327</v>
      </c>
      <c r="P54" s="31">
        <v>46265</v>
      </c>
      <c r="Q54" s="25">
        <f t="shared" ca="1" si="3"/>
        <v>0</v>
      </c>
      <c r="R54" s="34" t="s">
        <v>2</v>
      </c>
      <c r="S54" s="12"/>
    </row>
    <row r="55" spans="1:19" s="3" customFormat="1" ht="46.2" customHeight="1" x14ac:dyDescent="0.3">
      <c r="A55" s="30"/>
      <c r="B55" s="62" t="s">
        <v>328</v>
      </c>
      <c r="C55" s="51">
        <v>0</v>
      </c>
      <c r="D55" s="20" t="s">
        <v>329</v>
      </c>
      <c r="E55" s="15" t="s">
        <v>330</v>
      </c>
      <c r="F55" s="50" t="s">
        <v>113</v>
      </c>
      <c r="G55" s="19">
        <v>46257</v>
      </c>
      <c r="H55" s="26" t="s">
        <v>331</v>
      </c>
      <c r="I55" s="56">
        <v>46257</v>
      </c>
      <c r="J55" s="37">
        <f t="shared" si="2"/>
        <v>7</v>
      </c>
      <c r="K55" s="74"/>
      <c r="L55" s="16" t="s">
        <v>332</v>
      </c>
      <c r="M55" s="49">
        <v>46264</v>
      </c>
      <c r="N55" s="39" t="s">
        <v>20</v>
      </c>
      <c r="O55" s="18" t="s">
        <v>333</v>
      </c>
      <c r="P55" s="31">
        <v>46265</v>
      </c>
      <c r="Q55" s="25">
        <f t="shared" ca="1" si="3"/>
        <v>0</v>
      </c>
      <c r="R55" s="34" t="s">
        <v>2</v>
      </c>
      <c r="S55" s="12"/>
    </row>
    <row r="56" spans="1:19" s="3" customFormat="1" ht="46.2" customHeight="1" x14ac:dyDescent="0.3">
      <c r="A56" s="30"/>
      <c r="B56" s="62" t="s">
        <v>334</v>
      </c>
      <c r="C56" s="51">
        <v>0</v>
      </c>
      <c r="D56" s="20" t="s">
        <v>335</v>
      </c>
      <c r="E56" s="15" t="s">
        <v>336</v>
      </c>
      <c r="F56" s="50" t="s">
        <v>113</v>
      </c>
      <c r="G56" s="19">
        <v>46264</v>
      </c>
      <c r="H56" s="26" t="s">
        <v>337</v>
      </c>
      <c r="I56" s="56">
        <v>46265</v>
      </c>
      <c r="J56" s="37">
        <f t="shared" si="2"/>
        <v>3</v>
      </c>
      <c r="K56" s="74"/>
      <c r="L56" s="16" t="s">
        <v>338</v>
      </c>
      <c r="M56" s="53">
        <v>46268</v>
      </c>
      <c r="N56" s="50" t="s">
        <v>315</v>
      </c>
      <c r="O56" s="18" t="s">
        <v>339</v>
      </c>
      <c r="P56" s="31">
        <v>46268</v>
      </c>
      <c r="Q56" s="25">
        <f t="shared" ca="1" si="3"/>
        <v>0</v>
      </c>
      <c r="R56" s="34" t="s">
        <v>2</v>
      </c>
      <c r="S56" s="12" t="s">
        <v>340</v>
      </c>
    </row>
    <row r="57" spans="1:19" s="3" customFormat="1" ht="46.2" customHeight="1" x14ac:dyDescent="0.3">
      <c r="A57" s="30"/>
      <c r="B57" s="62" t="s">
        <v>334</v>
      </c>
      <c r="C57" s="51">
        <v>1</v>
      </c>
      <c r="D57" s="20" t="s">
        <v>341</v>
      </c>
      <c r="E57" s="15" t="s">
        <v>342</v>
      </c>
      <c r="F57" s="50" t="s">
        <v>343</v>
      </c>
      <c r="G57" s="19">
        <v>46293</v>
      </c>
      <c r="H57" s="26" t="s">
        <v>344</v>
      </c>
      <c r="I57" s="56">
        <v>46294</v>
      </c>
      <c r="J57" s="37">
        <f t="shared" si="2"/>
        <v>5</v>
      </c>
      <c r="K57" s="74"/>
      <c r="L57" s="16" t="s">
        <v>778</v>
      </c>
      <c r="M57" s="53">
        <v>46299</v>
      </c>
      <c r="N57" s="50" t="s">
        <v>315</v>
      </c>
      <c r="O57" s="18" t="s">
        <v>779</v>
      </c>
      <c r="P57" s="31">
        <v>46299</v>
      </c>
      <c r="Q57" s="25">
        <f t="shared" ca="1" si="3"/>
        <v>0</v>
      </c>
      <c r="R57" s="34" t="s">
        <v>2</v>
      </c>
      <c r="S57" s="12"/>
    </row>
    <row r="58" spans="1:19" s="3" customFormat="1" ht="46.2" customHeight="1" x14ac:dyDescent="0.3">
      <c r="A58" s="30"/>
      <c r="B58" s="62" t="s">
        <v>334</v>
      </c>
      <c r="C58" s="51">
        <v>2</v>
      </c>
      <c r="D58" s="20" t="s">
        <v>834</v>
      </c>
      <c r="E58" s="15" t="s">
        <v>835</v>
      </c>
      <c r="F58" s="50" t="s">
        <v>343</v>
      </c>
      <c r="G58" s="19">
        <v>46301</v>
      </c>
      <c r="H58" s="26"/>
      <c r="I58" s="56"/>
      <c r="J58" s="37"/>
      <c r="K58" s="74"/>
      <c r="L58" s="16"/>
      <c r="M58" s="53"/>
      <c r="N58" s="50" t="s">
        <v>315</v>
      </c>
      <c r="O58" s="18"/>
      <c r="P58" s="31"/>
      <c r="Q58" s="25"/>
      <c r="R58" s="34" t="s">
        <v>7</v>
      </c>
      <c r="S58" s="12"/>
    </row>
    <row r="59" spans="1:19" s="3" customFormat="1" ht="46.2" customHeight="1" x14ac:dyDescent="0.3">
      <c r="A59" s="30"/>
      <c r="B59" s="62" t="s">
        <v>345</v>
      </c>
      <c r="C59" s="51">
        <v>0</v>
      </c>
      <c r="D59" s="20" t="s">
        <v>346</v>
      </c>
      <c r="E59" s="15" t="s">
        <v>347</v>
      </c>
      <c r="F59" s="50" t="s">
        <v>348</v>
      </c>
      <c r="G59" s="19">
        <v>46259</v>
      </c>
      <c r="H59" s="26" t="s">
        <v>349</v>
      </c>
      <c r="I59" s="56">
        <v>46260</v>
      </c>
      <c r="J59" s="37">
        <f t="shared" ref="J59:J105" si="4">M59-I59</f>
        <v>5</v>
      </c>
      <c r="K59" s="74"/>
      <c r="L59" s="16" t="s">
        <v>350</v>
      </c>
      <c r="M59" s="53">
        <v>46265</v>
      </c>
      <c r="N59" s="39" t="s">
        <v>20</v>
      </c>
      <c r="O59" s="18" t="s">
        <v>351</v>
      </c>
      <c r="P59" s="31">
        <v>46266</v>
      </c>
      <c r="Q59" s="25">
        <f t="shared" ref="Q59:Q91" ca="1" si="5">IF(AND(P59="",TODAY()-G59&gt;5),TODAY()-G59-5,0)</f>
        <v>0</v>
      </c>
      <c r="R59" s="34" t="s">
        <v>2</v>
      </c>
      <c r="S59" s="12"/>
    </row>
    <row r="60" spans="1:19" s="3" customFormat="1" ht="46.2" customHeight="1" x14ac:dyDescent="0.3">
      <c r="A60" s="30"/>
      <c r="B60" s="62" t="s">
        <v>352</v>
      </c>
      <c r="C60" s="51">
        <v>0</v>
      </c>
      <c r="D60" s="20" t="s">
        <v>353</v>
      </c>
      <c r="E60" s="15" t="s">
        <v>354</v>
      </c>
      <c r="F60" s="50" t="s">
        <v>113</v>
      </c>
      <c r="G60" s="19">
        <v>46258</v>
      </c>
      <c r="H60" s="26" t="s">
        <v>355</v>
      </c>
      <c r="I60" s="56">
        <v>46258</v>
      </c>
      <c r="J60" s="37">
        <f t="shared" si="4"/>
        <v>8</v>
      </c>
      <c r="K60" s="74"/>
      <c r="L60" s="16" t="s">
        <v>356</v>
      </c>
      <c r="M60" s="53">
        <v>46266</v>
      </c>
      <c r="N60" s="39" t="s">
        <v>20</v>
      </c>
      <c r="O60" s="18" t="s">
        <v>357</v>
      </c>
      <c r="P60" s="31">
        <v>46266</v>
      </c>
      <c r="Q60" s="25">
        <f t="shared" ca="1" si="5"/>
        <v>0</v>
      </c>
      <c r="R60" s="34" t="s">
        <v>2</v>
      </c>
      <c r="S60" s="12"/>
    </row>
    <row r="61" spans="1:19" s="3" customFormat="1" ht="46.2" customHeight="1" x14ac:dyDescent="0.3">
      <c r="A61" s="30"/>
      <c r="B61" s="62" t="s">
        <v>352</v>
      </c>
      <c r="C61" s="51">
        <v>1</v>
      </c>
      <c r="D61" s="20" t="s">
        <v>358</v>
      </c>
      <c r="E61" s="15" t="s">
        <v>359</v>
      </c>
      <c r="F61" s="50" t="s">
        <v>113</v>
      </c>
      <c r="G61" s="19">
        <v>46273</v>
      </c>
      <c r="H61" s="26" t="s">
        <v>360</v>
      </c>
      <c r="I61" s="19">
        <v>46273</v>
      </c>
      <c r="J61" s="37">
        <f t="shared" si="4"/>
        <v>19</v>
      </c>
      <c r="K61" s="74"/>
      <c r="L61" s="16" t="s">
        <v>361</v>
      </c>
      <c r="M61" s="53">
        <v>46292</v>
      </c>
      <c r="N61" s="39" t="s">
        <v>315</v>
      </c>
      <c r="O61" s="18" t="s">
        <v>362</v>
      </c>
      <c r="P61" s="31">
        <v>46292</v>
      </c>
      <c r="Q61" s="25">
        <f t="shared" ca="1" si="5"/>
        <v>0</v>
      </c>
      <c r="R61" s="34" t="s">
        <v>2</v>
      </c>
      <c r="S61" s="12"/>
    </row>
    <row r="62" spans="1:19" s="3" customFormat="1" ht="46.2" customHeight="1" x14ac:dyDescent="0.3">
      <c r="A62" s="30"/>
      <c r="B62" s="62" t="s">
        <v>352</v>
      </c>
      <c r="C62" s="51">
        <v>2</v>
      </c>
      <c r="D62" s="20" t="s">
        <v>870</v>
      </c>
      <c r="E62" s="15" t="s">
        <v>871</v>
      </c>
      <c r="F62" s="50" t="s">
        <v>343</v>
      </c>
      <c r="G62" s="19">
        <v>46302</v>
      </c>
      <c r="H62" s="26"/>
      <c r="I62" s="19"/>
      <c r="J62" s="37">
        <f t="shared" ref="J62" si="6">M62-I62</f>
        <v>0</v>
      </c>
      <c r="K62" s="74"/>
      <c r="L62" s="16"/>
      <c r="M62" s="53"/>
      <c r="N62" s="39" t="s">
        <v>315</v>
      </c>
      <c r="O62" s="18"/>
      <c r="P62" s="31"/>
      <c r="Q62" s="25">
        <f t="shared" ref="Q62" ca="1" si="7">IF(AND(P62="",TODAY()-G62&gt;5),TODAY()-G62-5,0)</f>
        <v>0</v>
      </c>
      <c r="R62" s="34" t="s">
        <v>7</v>
      </c>
      <c r="S62" s="12"/>
    </row>
    <row r="63" spans="1:19" s="3" customFormat="1" ht="46.2" customHeight="1" x14ac:dyDescent="0.3">
      <c r="A63" s="30"/>
      <c r="B63" s="62" t="s">
        <v>363</v>
      </c>
      <c r="C63" s="51">
        <v>0</v>
      </c>
      <c r="D63" s="20" t="s">
        <v>364</v>
      </c>
      <c r="E63" s="15" t="s">
        <v>365</v>
      </c>
      <c r="F63" s="50" t="s">
        <v>366</v>
      </c>
      <c r="G63" s="19">
        <v>46258</v>
      </c>
      <c r="H63" s="26" t="s">
        <v>367</v>
      </c>
      <c r="I63" s="19">
        <v>46258</v>
      </c>
      <c r="J63" s="37">
        <f t="shared" si="4"/>
        <v>7</v>
      </c>
      <c r="K63" s="74"/>
      <c r="L63" s="16" t="s">
        <v>368</v>
      </c>
      <c r="M63" s="53">
        <v>46265</v>
      </c>
      <c r="N63" s="39" t="s">
        <v>20</v>
      </c>
      <c r="O63" s="18" t="s">
        <v>369</v>
      </c>
      <c r="P63" s="31">
        <v>46265</v>
      </c>
      <c r="Q63" s="25">
        <f t="shared" ca="1" si="5"/>
        <v>0</v>
      </c>
      <c r="R63" s="34" t="s">
        <v>2</v>
      </c>
      <c r="S63" s="12"/>
    </row>
    <row r="64" spans="1:19" s="3" customFormat="1" ht="46.2" customHeight="1" x14ac:dyDescent="0.3">
      <c r="A64" s="30"/>
      <c r="B64" s="62" t="s">
        <v>363</v>
      </c>
      <c r="C64" s="51">
        <v>1</v>
      </c>
      <c r="D64" s="20" t="s">
        <v>364</v>
      </c>
      <c r="E64" s="15" t="s">
        <v>370</v>
      </c>
      <c r="F64" s="50" t="s">
        <v>366</v>
      </c>
      <c r="G64" s="19">
        <v>46268</v>
      </c>
      <c r="H64" s="26" t="s">
        <v>371</v>
      </c>
      <c r="I64" s="19">
        <v>46273</v>
      </c>
      <c r="J64" s="37">
        <f t="shared" si="4"/>
        <v>13</v>
      </c>
      <c r="K64" s="74"/>
      <c r="L64" s="16" t="s">
        <v>372</v>
      </c>
      <c r="M64" s="53">
        <v>46286</v>
      </c>
      <c r="N64" s="39" t="s">
        <v>315</v>
      </c>
      <c r="O64" s="18" t="s">
        <v>373</v>
      </c>
      <c r="P64" s="31">
        <v>46286</v>
      </c>
      <c r="Q64" s="25">
        <f t="shared" ca="1" si="5"/>
        <v>0</v>
      </c>
      <c r="R64" s="34" t="s">
        <v>2</v>
      </c>
      <c r="S64" s="58"/>
    </row>
    <row r="65" spans="1:19" s="3" customFormat="1" ht="46.2" customHeight="1" x14ac:dyDescent="0.3">
      <c r="A65" s="30"/>
      <c r="B65" s="62" t="s">
        <v>374</v>
      </c>
      <c r="C65" s="51">
        <v>0</v>
      </c>
      <c r="D65" s="20" t="s">
        <v>375</v>
      </c>
      <c r="E65" s="15" t="s">
        <v>376</v>
      </c>
      <c r="F65" s="50" t="s">
        <v>348</v>
      </c>
      <c r="G65" s="19">
        <v>46259</v>
      </c>
      <c r="H65" s="26" t="s">
        <v>377</v>
      </c>
      <c r="I65" s="19">
        <v>46260</v>
      </c>
      <c r="J65" s="37">
        <f t="shared" si="4"/>
        <v>5</v>
      </c>
      <c r="K65" s="74"/>
      <c r="L65" s="16" t="s">
        <v>378</v>
      </c>
      <c r="M65" s="53">
        <v>46265</v>
      </c>
      <c r="N65" s="39" t="s">
        <v>20</v>
      </c>
      <c r="O65" s="18" t="s">
        <v>379</v>
      </c>
      <c r="P65" s="31">
        <v>46265</v>
      </c>
      <c r="Q65" s="25">
        <f t="shared" ca="1" si="5"/>
        <v>0</v>
      </c>
      <c r="R65" s="34" t="s">
        <v>2</v>
      </c>
      <c r="S65" s="12"/>
    </row>
    <row r="66" spans="1:19" s="3" customFormat="1" ht="46.2" customHeight="1" x14ac:dyDescent="0.3">
      <c r="A66" s="30"/>
      <c r="B66" s="62" t="s">
        <v>380</v>
      </c>
      <c r="C66" s="51">
        <v>0</v>
      </c>
      <c r="D66" s="20" t="s">
        <v>381</v>
      </c>
      <c r="E66" s="15" t="s">
        <v>382</v>
      </c>
      <c r="F66" s="50" t="s">
        <v>113</v>
      </c>
      <c r="G66" s="19">
        <v>46264</v>
      </c>
      <c r="H66" s="26" t="s">
        <v>383</v>
      </c>
      <c r="I66" s="19">
        <v>46265</v>
      </c>
      <c r="J66" s="37">
        <f t="shared" si="4"/>
        <v>6</v>
      </c>
      <c r="K66" s="74"/>
      <c r="L66" s="16" t="s">
        <v>384</v>
      </c>
      <c r="M66" s="53">
        <v>46271</v>
      </c>
      <c r="N66" s="50" t="s">
        <v>315</v>
      </c>
      <c r="O66" s="18" t="s">
        <v>340</v>
      </c>
      <c r="P66" s="31"/>
      <c r="Q66" s="25">
        <f t="shared" ca="1" si="5"/>
        <v>33</v>
      </c>
      <c r="R66" s="34" t="s">
        <v>2</v>
      </c>
      <c r="S66" s="12"/>
    </row>
    <row r="67" spans="1:19" s="3" customFormat="1" ht="46.2" customHeight="1" x14ac:dyDescent="0.3">
      <c r="A67" s="30"/>
      <c r="B67" s="62" t="s">
        <v>385</v>
      </c>
      <c r="C67" s="51">
        <v>0</v>
      </c>
      <c r="D67" s="20" t="s">
        <v>386</v>
      </c>
      <c r="E67" s="15" t="s">
        <v>387</v>
      </c>
      <c r="F67" s="50" t="s">
        <v>366</v>
      </c>
      <c r="G67" s="19">
        <v>46260</v>
      </c>
      <c r="H67" s="26" t="s">
        <v>388</v>
      </c>
      <c r="I67" s="19">
        <v>46260</v>
      </c>
      <c r="J67" s="37">
        <f t="shared" si="4"/>
        <v>6</v>
      </c>
      <c r="K67" s="74"/>
      <c r="L67" s="16" t="s">
        <v>389</v>
      </c>
      <c r="M67" s="53">
        <v>46266</v>
      </c>
      <c r="N67" s="39" t="s">
        <v>20</v>
      </c>
      <c r="O67" s="18" t="s">
        <v>390</v>
      </c>
      <c r="P67" s="31">
        <v>46267</v>
      </c>
      <c r="Q67" s="25">
        <f t="shared" ca="1" si="5"/>
        <v>0</v>
      </c>
      <c r="R67" s="34" t="s">
        <v>2</v>
      </c>
      <c r="S67" s="12"/>
    </row>
    <row r="68" spans="1:19" s="3" customFormat="1" ht="46.2" customHeight="1" x14ac:dyDescent="0.3">
      <c r="A68" s="30"/>
      <c r="B68" s="62" t="s">
        <v>391</v>
      </c>
      <c r="C68" s="51">
        <v>0</v>
      </c>
      <c r="D68" s="20" t="s">
        <v>392</v>
      </c>
      <c r="E68" s="15" t="s">
        <v>393</v>
      </c>
      <c r="F68" s="50" t="s">
        <v>113</v>
      </c>
      <c r="G68" s="19">
        <v>46259</v>
      </c>
      <c r="H68" s="26" t="s">
        <v>394</v>
      </c>
      <c r="I68" s="19">
        <v>46260</v>
      </c>
      <c r="J68" s="37">
        <f t="shared" si="4"/>
        <v>7</v>
      </c>
      <c r="K68" s="74"/>
      <c r="L68" s="16" t="s">
        <v>395</v>
      </c>
      <c r="M68" s="53">
        <v>46267</v>
      </c>
      <c r="N68" s="39" t="s">
        <v>20</v>
      </c>
      <c r="O68" s="18" t="s">
        <v>396</v>
      </c>
      <c r="P68" s="31">
        <v>46267</v>
      </c>
      <c r="Q68" s="25">
        <f t="shared" ca="1" si="5"/>
        <v>0</v>
      </c>
      <c r="R68" s="34" t="s">
        <v>2</v>
      </c>
      <c r="S68" s="12"/>
    </row>
    <row r="69" spans="1:19" s="3" customFormat="1" ht="46.2" customHeight="1" x14ac:dyDescent="0.3">
      <c r="A69" s="30"/>
      <c r="B69" s="62" t="s">
        <v>397</v>
      </c>
      <c r="C69" s="39">
        <v>0</v>
      </c>
      <c r="D69" s="20" t="s">
        <v>398</v>
      </c>
      <c r="E69" s="15" t="s">
        <v>399</v>
      </c>
      <c r="F69" s="57" t="s">
        <v>366</v>
      </c>
      <c r="G69" s="19">
        <v>46260</v>
      </c>
      <c r="H69" s="26" t="s">
        <v>400</v>
      </c>
      <c r="I69" s="19">
        <v>46265</v>
      </c>
      <c r="J69" s="37">
        <f t="shared" si="4"/>
        <v>16</v>
      </c>
      <c r="K69" s="74"/>
      <c r="L69" s="16" t="s">
        <v>401</v>
      </c>
      <c r="M69" s="31">
        <v>46281</v>
      </c>
      <c r="N69" s="39" t="s">
        <v>315</v>
      </c>
      <c r="O69" s="18" t="s">
        <v>402</v>
      </c>
      <c r="P69" s="31">
        <v>46282</v>
      </c>
      <c r="Q69" s="25">
        <f t="shared" ca="1" si="5"/>
        <v>0</v>
      </c>
      <c r="R69" s="34" t="s">
        <v>2</v>
      </c>
      <c r="S69" s="12"/>
    </row>
    <row r="70" spans="1:19" s="3" customFormat="1" ht="99.75" customHeight="1" x14ac:dyDescent="0.3">
      <c r="A70" s="30"/>
      <c r="B70" s="67" t="s">
        <v>385</v>
      </c>
      <c r="C70" s="51">
        <v>1</v>
      </c>
      <c r="D70" s="20" t="s">
        <v>403</v>
      </c>
      <c r="E70" s="15" t="s">
        <v>404</v>
      </c>
      <c r="F70" s="50" t="s">
        <v>366</v>
      </c>
      <c r="G70" s="19">
        <v>46271</v>
      </c>
      <c r="H70" s="26" t="s">
        <v>405</v>
      </c>
      <c r="I70" s="19">
        <v>46273</v>
      </c>
      <c r="J70" s="37" t="e">
        <f t="shared" si="4"/>
        <v>#VALUE!</v>
      </c>
      <c r="K70" s="74"/>
      <c r="L70" s="16" t="s">
        <v>775</v>
      </c>
      <c r="M70" s="53" t="s">
        <v>776</v>
      </c>
      <c r="N70" s="39" t="s">
        <v>20</v>
      </c>
      <c r="O70" s="18" t="s">
        <v>777</v>
      </c>
      <c r="P70" s="31">
        <v>46299</v>
      </c>
      <c r="Q70" s="25">
        <f t="shared" ca="1" si="5"/>
        <v>0</v>
      </c>
      <c r="R70" s="34" t="s">
        <v>2</v>
      </c>
      <c r="S70" s="58" t="s">
        <v>406</v>
      </c>
    </row>
    <row r="71" spans="1:19" s="3" customFormat="1" ht="46.2" customHeight="1" x14ac:dyDescent="0.3">
      <c r="A71" s="30"/>
      <c r="B71" s="67" t="s">
        <v>407</v>
      </c>
      <c r="C71" s="39">
        <v>0</v>
      </c>
      <c r="D71" s="20" t="s">
        <v>408</v>
      </c>
      <c r="E71" s="15" t="s">
        <v>409</v>
      </c>
      <c r="F71" s="50" t="s">
        <v>113</v>
      </c>
      <c r="G71" s="19">
        <v>46260</v>
      </c>
      <c r="H71" s="26" t="s">
        <v>410</v>
      </c>
      <c r="I71" s="19">
        <v>46265</v>
      </c>
      <c r="J71" s="26">
        <f t="shared" si="4"/>
        <v>23</v>
      </c>
      <c r="K71" s="20"/>
      <c r="L71" s="16" t="s">
        <v>789</v>
      </c>
      <c r="M71" s="19">
        <v>46288</v>
      </c>
      <c r="N71" s="39" t="s">
        <v>315</v>
      </c>
      <c r="O71" s="18" t="s">
        <v>788</v>
      </c>
      <c r="P71" s="31">
        <v>46300</v>
      </c>
      <c r="Q71" s="25">
        <f t="shared" ca="1" si="5"/>
        <v>0</v>
      </c>
      <c r="R71" s="34" t="s">
        <v>2</v>
      </c>
      <c r="S71" s="12" t="s">
        <v>411</v>
      </c>
    </row>
    <row r="72" spans="1:19" s="3" customFormat="1" ht="46.2" customHeight="1" x14ac:dyDescent="0.3">
      <c r="A72" s="30"/>
      <c r="B72" s="62" t="s">
        <v>412</v>
      </c>
      <c r="C72" s="39">
        <v>0</v>
      </c>
      <c r="D72" s="20" t="s">
        <v>413</v>
      </c>
      <c r="E72" s="15" t="s">
        <v>414</v>
      </c>
      <c r="F72" s="57" t="s">
        <v>366</v>
      </c>
      <c r="G72" s="19">
        <v>46260</v>
      </c>
      <c r="H72" s="26" t="s">
        <v>415</v>
      </c>
      <c r="I72" s="19">
        <v>46265</v>
      </c>
      <c r="J72" s="26">
        <f t="shared" si="4"/>
        <v>22</v>
      </c>
      <c r="K72" s="20"/>
      <c r="L72" s="16" t="s">
        <v>416</v>
      </c>
      <c r="M72" s="49">
        <v>46287</v>
      </c>
      <c r="N72" s="39" t="s">
        <v>315</v>
      </c>
      <c r="O72" s="18" t="s">
        <v>412</v>
      </c>
      <c r="P72" s="31">
        <v>46288</v>
      </c>
      <c r="Q72" s="25">
        <f t="shared" ca="1" si="5"/>
        <v>0</v>
      </c>
      <c r="R72" s="34" t="s">
        <v>2</v>
      </c>
      <c r="S72" s="12"/>
    </row>
    <row r="73" spans="1:19" s="3" customFormat="1" ht="46.2" customHeight="1" x14ac:dyDescent="0.3">
      <c r="A73" s="30"/>
      <c r="B73" s="62" t="s">
        <v>417</v>
      </c>
      <c r="C73" s="39">
        <v>0</v>
      </c>
      <c r="D73" s="20" t="s">
        <v>418</v>
      </c>
      <c r="E73" s="15" t="s">
        <v>419</v>
      </c>
      <c r="F73" s="50" t="s">
        <v>366</v>
      </c>
      <c r="G73" s="19">
        <v>46264</v>
      </c>
      <c r="H73" s="26" t="s">
        <v>421</v>
      </c>
      <c r="I73" s="19">
        <v>46265</v>
      </c>
      <c r="J73" s="37">
        <f t="shared" si="4"/>
        <v>23</v>
      </c>
      <c r="K73" s="74"/>
      <c r="L73" s="16" t="s">
        <v>422</v>
      </c>
      <c r="M73" s="49">
        <v>46288</v>
      </c>
      <c r="N73" s="50" t="s">
        <v>420</v>
      </c>
      <c r="O73" s="18" t="s">
        <v>423</v>
      </c>
      <c r="P73" s="31">
        <v>46288</v>
      </c>
      <c r="Q73" s="25">
        <f t="shared" ca="1" si="5"/>
        <v>0</v>
      </c>
      <c r="R73" s="34" t="s">
        <v>2</v>
      </c>
      <c r="S73" s="12" t="s">
        <v>424</v>
      </c>
    </row>
    <row r="74" spans="1:19" s="3" customFormat="1" ht="46.2" customHeight="1" x14ac:dyDescent="0.3">
      <c r="A74" s="30"/>
      <c r="B74" s="62" t="s">
        <v>425</v>
      </c>
      <c r="C74" s="39">
        <v>0</v>
      </c>
      <c r="D74" s="20" t="s">
        <v>426</v>
      </c>
      <c r="E74" s="15" t="s">
        <v>427</v>
      </c>
      <c r="F74" s="50" t="s">
        <v>366</v>
      </c>
      <c r="G74" s="19">
        <v>46264</v>
      </c>
      <c r="H74" s="26" t="s">
        <v>428</v>
      </c>
      <c r="I74" s="19">
        <v>46265</v>
      </c>
      <c r="J74" s="37">
        <f t="shared" si="4"/>
        <v>23</v>
      </c>
      <c r="K74" s="74"/>
      <c r="L74" s="16" t="s">
        <v>429</v>
      </c>
      <c r="M74" s="66">
        <v>46288</v>
      </c>
      <c r="N74" s="50" t="s">
        <v>420</v>
      </c>
      <c r="O74" s="18" t="s">
        <v>430</v>
      </c>
      <c r="P74" s="31">
        <v>46288</v>
      </c>
      <c r="Q74" s="25">
        <f t="shared" ca="1" si="5"/>
        <v>0</v>
      </c>
      <c r="R74" s="34" t="s">
        <v>2</v>
      </c>
      <c r="S74" s="12" t="s">
        <v>424</v>
      </c>
    </row>
    <row r="75" spans="1:19" s="3" customFormat="1" ht="46.2" customHeight="1" x14ac:dyDescent="0.3">
      <c r="A75" s="30"/>
      <c r="B75" s="62" t="s">
        <v>431</v>
      </c>
      <c r="C75" s="39">
        <v>0</v>
      </c>
      <c r="D75" s="20" t="s">
        <v>432</v>
      </c>
      <c r="E75" s="15" t="s">
        <v>433</v>
      </c>
      <c r="F75" s="50" t="s">
        <v>366</v>
      </c>
      <c r="G75" s="19">
        <v>46261</v>
      </c>
      <c r="H75" s="26" t="s">
        <v>434</v>
      </c>
      <c r="I75" s="19"/>
      <c r="J75" s="37">
        <f t="shared" si="4"/>
        <v>46261</v>
      </c>
      <c r="K75" s="74"/>
      <c r="L75" s="16" t="s">
        <v>435</v>
      </c>
      <c r="M75" s="19">
        <v>46261</v>
      </c>
      <c r="N75" s="39" t="s">
        <v>315</v>
      </c>
      <c r="O75" s="18" t="s">
        <v>436</v>
      </c>
      <c r="P75" s="31">
        <v>46265</v>
      </c>
      <c r="Q75" s="25">
        <f t="shared" ca="1" si="5"/>
        <v>0</v>
      </c>
      <c r="R75" s="34" t="s">
        <v>2</v>
      </c>
      <c r="S75" s="12"/>
    </row>
    <row r="76" spans="1:19" s="3" customFormat="1" ht="46.2" customHeight="1" x14ac:dyDescent="0.3">
      <c r="A76" s="30"/>
      <c r="B76" s="62" t="s">
        <v>437</v>
      </c>
      <c r="C76" s="39">
        <v>0</v>
      </c>
      <c r="D76" s="20" t="s">
        <v>438</v>
      </c>
      <c r="E76" s="15" t="s">
        <v>439</v>
      </c>
      <c r="F76" s="50" t="s">
        <v>366</v>
      </c>
      <c r="G76" s="19">
        <v>46261</v>
      </c>
      <c r="H76" s="26" t="s">
        <v>434</v>
      </c>
      <c r="I76" s="19"/>
      <c r="J76" s="37">
        <f t="shared" si="4"/>
        <v>46262</v>
      </c>
      <c r="K76" s="74"/>
      <c r="L76" s="16" t="s">
        <v>440</v>
      </c>
      <c r="M76" s="53">
        <v>46262</v>
      </c>
      <c r="N76" s="39" t="s">
        <v>315</v>
      </c>
      <c r="O76" s="18" t="s">
        <v>441</v>
      </c>
      <c r="P76" s="31">
        <v>46265</v>
      </c>
      <c r="Q76" s="25">
        <f t="shared" ca="1" si="5"/>
        <v>0</v>
      </c>
      <c r="R76" s="34" t="s">
        <v>2</v>
      </c>
      <c r="S76" s="12"/>
    </row>
    <row r="77" spans="1:19" s="3" customFormat="1" ht="46.2" customHeight="1" x14ac:dyDescent="0.3">
      <c r="A77" s="30"/>
      <c r="B77" s="62" t="s">
        <v>442</v>
      </c>
      <c r="C77" s="39">
        <v>0</v>
      </c>
      <c r="D77" s="20" t="s">
        <v>443</v>
      </c>
      <c r="E77" s="15" t="s">
        <v>444</v>
      </c>
      <c r="F77" s="50" t="s">
        <v>113</v>
      </c>
      <c r="G77" s="19">
        <v>46270</v>
      </c>
      <c r="H77" s="26" t="s">
        <v>445</v>
      </c>
      <c r="I77" s="19">
        <v>46273</v>
      </c>
      <c r="J77" s="37">
        <f t="shared" si="4"/>
        <v>1</v>
      </c>
      <c r="K77" s="74"/>
      <c r="L77" s="16" t="s">
        <v>446</v>
      </c>
      <c r="M77" s="31">
        <v>46274</v>
      </c>
      <c r="N77" s="50" t="s">
        <v>315</v>
      </c>
      <c r="O77" s="18" t="s">
        <v>447</v>
      </c>
      <c r="P77" s="31">
        <v>46274</v>
      </c>
      <c r="Q77" s="25">
        <f t="shared" ca="1" si="5"/>
        <v>0</v>
      </c>
      <c r="R77" s="34" t="s">
        <v>2</v>
      </c>
      <c r="S77" s="58" t="s">
        <v>448</v>
      </c>
    </row>
    <row r="78" spans="1:19" s="3" customFormat="1" ht="46.2" customHeight="1" x14ac:dyDescent="0.3">
      <c r="A78" s="30"/>
      <c r="B78" s="62" t="s">
        <v>449</v>
      </c>
      <c r="C78" s="39">
        <v>0</v>
      </c>
      <c r="D78" s="20" t="s">
        <v>450</v>
      </c>
      <c r="E78" s="15" t="s">
        <v>451</v>
      </c>
      <c r="F78" s="50" t="s">
        <v>348</v>
      </c>
      <c r="G78" s="19">
        <v>46264</v>
      </c>
      <c r="H78" s="26" t="s">
        <v>452</v>
      </c>
      <c r="I78" s="19">
        <v>46265</v>
      </c>
      <c r="J78" s="37">
        <f t="shared" si="4"/>
        <v>4</v>
      </c>
      <c r="K78" s="74"/>
      <c r="L78" s="16" t="s">
        <v>453</v>
      </c>
      <c r="M78" s="31">
        <v>46269</v>
      </c>
      <c r="N78" s="50" t="s">
        <v>315</v>
      </c>
      <c r="O78" s="18" t="s">
        <v>454</v>
      </c>
      <c r="P78" s="31">
        <v>46280</v>
      </c>
      <c r="Q78" s="25">
        <f t="shared" ca="1" si="5"/>
        <v>0</v>
      </c>
      <c r="R78" s="34" t="s">
        <v>2</v>
      </c>
      <c r="S78" s="12"/>
    </row>
    <row r="79" spans="1:19" s="3" customFormat="1" ht="46.2" customHeight="1" x14ac:dyDescent="0.3">
      <c r="A79" s="30"/>
      <c r="B79" s="62" t="s">
        <v>455</v>
      </c>
      <c r="C79" s="39">
        <v>0</v>
      </c>
      <c r="D79" s="20" t="s">
        <v>456</v>
      </c>
      <c r="E79" s="15" t="s">
        <v>457</v>
      </c>
      <c r="F79" s="50" t="s">
        <v>348</v>
      </c>
      <c r="G79" s="19">
        <v>46264</v>
      </c>
      <c r="H79" s="26" t="s">
        <v>458</v>
      </c>
      <c r="I79" s="19">
        <v>46265</v>
      </c>
      <c r="J79" s="37">
        <f t="shared" si="4"/>
        <v>15</v>
      </c>
      <c r="K79" s="74"/>
      <c r="L79" s="16" t="s">
        <v>459</v>
      </c>
      <c r="M79" s="31">
        <v>46280</v>
      </c>
      <c r="N79" s="39" t="s">
        <v>315</v>
      </c>
      <c r="O79" s="18" t="s">
        <v>460</v>
      </c>
      <c r="P79" s="31">
        <v>46280</v>
      </c>
      <c r="Q79" s="25">
        <f t="shared" ca="1" si="5"/>
        <v>0</v>
      </c>
      <c r="R79" s="34" t="s">
        <v>2</v>
      </c>
      <c r="S79" s="12"/>
    </row>
    <row r="80" spans="1:19" s="3" customFormat="1" ht="46.2" customHeight="1" x14ac:dyDescent="0.3">
      <c r="A80" s="30"/>
      <c r="B80" s="62" t="s">
        <v>461</v>
      </c>
      <c r="C80" s="39">
        <v>0</v>
      </c>
      <c r="D80" s="20" t="s">
        <v>462</v>
      </c>
      <c r="E80" s="15" t="s">
        <v>463</v>
      </c>
      <c r="F80" s="50" t="s">
        <v>348</v>
      </c>
      <c r="G80" s="19">
        <v>46265</v>
      </c>
      <c r="H80" s="26" t="s">
        <v>464</v>
      </c>
      <c r="I80" s="19">
        <v>46266</v>
      </c>
      <c r="J80" s="37">
        <f t="shared" si="4"/>
        <v>12</v>
      </c>
      <c r="K80" s="74"/>
      <c r="L80" s="16" t="s">
        <v>465</v>
      </c>
      <c r="M80" s="31">
        <v>46278</v>
      </c>
      <c r="N80" s="50" t="s">
        <v>315</v>
      </c>
      <c r="O80" s="18" t="s">
        <v>466</v>
      </c>
      <c r="P80" s="31">
        <v>46278</v>
      </c>
      <c r="Q80" s="25">
        <f t="shared" ca="1" si="5"/>
        <v>0</v>
      </c>
      <c r="R80" s="34" t="s">
        <v>2</v>
      </c>
      <c r="S80" s="12"/>
    </row>
    <row r="81" spans="1:19" s="3" customFormat="1" ht="46.2" customHeight="1" x14ac:dyDescent="0.3">
      <c r="A81" s="30"/>
      <c r="B81" s="62" t="s">
        <v>461</v>
      </c>
      <c r="C81" s="51">
        <v>1</v>
      </c>
      <c r="D81" s="20" t="s">
        <v>467</v>
      </c>
      <c r="E81" s="15" t="s">
        <v>468</v>
      </c>
      <c r="F81" s="50" t="s">
        <v>348</v>
      </c>
      <c r="G81" s="19">
        <v>46286</v>
      </c>
      <c r="H81" s="26" t="s">
        <v>469</v>
      </c>
      <c r="I81" s="19">
        <v>46286</v>
      </c>
      <c r="J81" s="37">
        <f t="shared" si="4"/>
        <v>4</v>
      </c>
      <c r="K81" s="74"/>
      <c r="L81" s="16" t="s">
        <v>470</v>
      </c>
      <c r="M81" s="31">
        <v>46290</v>
      </c>
      <c r="N81" s="50" t="s">
        <v>315</v>
      </c>
      <c r="O81" s="18" t="s">
        <v>471</v>
      </c>
      <c r="P81" s="31">
        <v>46292</v>
      </c>
      <c r="Q81" s="25">
        <f t="shared" ca="1" si="5"/>
        <v>0</v>
      </c>
      <c r="R81" s="34" t="s">
        <v>2</v>
      </c>
      <c r="S81" s="12"/>
    </row>
    <row r="82" spans="1:19" s="3" customFormat="1" ht="46.2" customHeight="1" x14ac:dyDescent="0.3">
      <c r="A82" s="30"/>
      <c r="B82" s="62" t="s">
        <v>472</v>
      </c>
      <c r="C82" s="39">
        <v>0</v>
      </c>
      <c r="D82" s="20" t="s">
        <v>473</v>
      </c>
      <c r="E82" s="15" t="s">
        <v>474</v>
      </c>
      <c r="F82" s="50" t="s">
        <v>113</v>
      </c>
      <c r="G82" s="19">
        <v>46265</v>
      </c>
      <c r="H82" s="26" t="s">
        <v>475</v>
      </c>
      <c r="I82" s="19">
        <v>46266</v>
      </c>
      <c r="J82" s="37">
        <f t="shared" si="4"/>
        <v>20</v>
      </c>
      <c r="K82" s="74"/>
      <c r="L82" s="16" t="s">
        <v>476</v>
      </c>
      <c r="M82" s="31">
        <v>46286</v>
      </c>
      <c r="N82" s="50" t="s">
        <v>315</v>
      </c>
      <c r="O82" s="18" t="s">
        <v>477</v>
      </c>
      <c r="P82" s="31">
        <v>46286</v>
      </c>
      <c r="Q82" s="25">
        <f t="shared" ca="1" si="5"/>
        <v>0</v>
      </c>
      <c r="R82" s="34" t="s">
        <v>2</v>
      </c>
      <c r="S82" s="12"/>
    </row>
    <row r="83" spans="1:19" s="3" customFormat="1" ht="46.2" customHeight="1" x14ac:dyDescent="0.3">
      <c r="A83" s="30"/>
      <c r="B83" s="62" t="s">
        <v>478</v>
      </c>
      <c r="C83" s="39">
        <v>0</v>
      </c>
      <c r="D83" s="20" t="s">
        <v>479</v>
      </c>
      <c r="E83" s="15" t="s">
        <v>480</v>
      </c>
      <c r="F83" s="50" t="s">
        <v>113</v>
      </c>
      <c r="G83" s="19">
        <v>46266</v>
      </c>
      <c r="H83" s="26" t="s">
        <v>481</v>
      </c>
      <c r="I83" s="19">
        <v>46266</v>
      </c>
      <c r="J83" s="37">
        <f t="shared" si="4"/>
        <v>15</v>
      </c>
      <c r="K83" s="74"/>
      <c r="L83" s="16" t="s">
        <v>482</v>
      </c>
      <c r="M83" s="31">
        <v>46281</v>
      </c>
      <c r="N83" s="50" t="s">
        <v>315</v>
      </c>
      <c r="O83" s="18" t="s">
        <v>483</v>
      </c>
      <c r="P83" s="31">
        <v>46282</v>
      </c>
      <c r="Q83" s="25">
        <f t="shared" ca="1" si="5"/>
        <v>0</v>
      </c>
      <c r="R83" s="34" t="s">
        <v>2</v>
      </c>
      <c r="S83" s="12"/>
    </row>
    <row r="84" spans="1:19" s="3" customFormat="1" ht="46.2" customHeight="1" x14ac:dyDescent="0.3">
      <c r="A84" s="30"/>
      <c r="B84" s="62" t="s">
        <v>484</v>
      </c>
      <c r="C84" s="39">
        <v>0</v>
      </c>
      <c r="D84" s="20" t="s">
        <v>485</v>
      </c>
      <c r="E84" s="15" t="s">
        <v>486</v>
      </c>
      <c r="F84" s="50" t="s">
        <v>113</v>
      </c>
      <c r="G84" s="19">
        <v>46265</v>
      </c>
      <c r="H84" s="26" t="s">
        <v>487</v>
      </c>
      <c r="I84" s="19">
        <v>46266</v>
      </c>
      <c r="J84" s="37">
        <f t="shared" si="4"/>
        <v>22</v>
      </c>
      <c r="K84" s="74"/>
      <c r="L84" s="16" t="s">
        <v>488</v>
      </c>
      <c r="M84" s="49">
        <v>46288</v>
      </c>
      <c r="N84" s="50" t="s">
        <v>315</v>
      </c>
      <c r="O84" s="18" t="s">
        <v>489</v>
      </c>
      <c r="P84" s="31">
        <v>46288</v>
      </c>
      <c r="Q84" s="25">
        <f t="shared" ca="1" si="5"/>
        <v>0</v>
      </c>
      <c r="R84" s="34" t="s">
        <v>2</v>
      </c>
      <c r="S84" s="12"/>
    </row>
    <row r="85" spans="1:19" s="3" customFormat="1" ht="46.2" customHeight="1" x14ac:dyDescent="0.3">
      <c r="A85" s="30"/>
      <c r="B85" s="62" t="s">
        <v>490</v>
      </c>
      <c r="C85" s="39">
        <v>0</v>
      </c>
      <c r="D85" s="20" t="s">
        <v>491</v>
      </c>
      <c r="E85" s="15" t="s">
        <v>492</v>
      </c>
      <c r="F85" s="50" t="s">
        <v>113</v>
      </c>
      <c r="G85" s="19">
        <v>46267</v>
      </c>
      <c r="H85" s="26" t="s">
        <v>493</v>
      </c>
      <c r="I85" s="19">
        <v>46267</v>
      </c>
      <c r="J85" s="37">
        <f t="shared" si="4"/>
        <v>22</v>
      </c>
      <c r="K85" s="74"/>
      <c r="L85" s="16" t="s">
        <v>494</v>
      </c>
      <c r="M85" s="53">
        <v>46289</v>
      </c>
      <c r="N85" s="50" t="s">
        <v>20</v>
      </c>
      <c r="O85" s="18" t="s">
        <v>495</v>
      </c>
      <c r="P85" s="31">
        <v>46292</v>
      </c>
      <c r="Q85" s="25">
        <f t="shared" ca="1" si="5"/>
        <v>0</v>
      </c>
      <c r="R85" s="34" t="s">
        <v>2</v>
      </c>
      <c r="S85" s="12"/>
    </row>
    <row r="86" spans="1:19" s="3" customFormat="1" ht="46.2" customHeight="1" x14ac:dyDescent="0.3">
      <c r="A86" s="30"/>
      <c r="B86" s="62" t="s">
        <v>496</v>
      </c>
      <c r="C86" s="39">
        <v>0</v>
      </c>
      <c r="D86" s="20" t="s">
        <v>497</v>
      </c>
      <c r="E86" s="15" t="s">
        <v>498</v>
      </c>
      <c r="F86" s="50" t="s">
        <v>113</v>
      </c>
      <c r="G86" s="19">
        <v>46265</v>
      </c>
      <c r="H86" s="26" t="s">
        <v>499</v>
      </c>
      <c r="I86" s="19">
        <v>46266</v>
      </c>
      <c r="J86" s="37">
        <f t="shared" si="4"/>
        <v>21</v>
      </c>
      <c r="K86" s="74"/>
      <c r="L86" s="16" t="s">
        <v>500</v>
      </c>
      <c r="M86" s="49">
        <v>46287</v>
      </c>
      <c r="N86" s="50" t="s">
        <v>315</v>
      </c>
      <c r="O86" s="18" t="s">
        <v>501</v>
      </c>
      <c r="P86" s="31">
        <v>46287</v>
      </c>
      <c r="Q86" s="25">
        <f t="shared" ca="1" si="5"/>
        <v>0</v>
      </c>
      <c r="R86" s="34" t="s">
        <v>2</v>
      </c>
      <c r="S86" s="12" t="s">
        <v>424</v>
      </c>
    </row>
    <row r="87" spans="1:19" s="3" customFormat="1" ht="46.2" customHeight="1" x14ac:dyDescent="0.3">
      <c r="A87" s="30"/>
      <c r="B87" s="62" t="s">
        <v>502</v>
      </c>
      <c r="C87" s="39">
        <v>1</v>
      </c>
      <c r="D87" s="20" t="s">
        <v>503</v>
      </c>
      <c r="E87" s="15" t="s">
        <v>504</v>
      </c>
      <c r="F87" s="50" t="s">
        <v>113</v>
      </c>
      <c r="G87" s="19">
        <v>46287</v>
      </c>
      <c r="H87" s="26" t="s">
        <v>505</v>
      </c>
      <c r="I87" s="19">
        <v>46287</v>
      </c>
      <c r="J87" s="37">
        <f t="shared" si="4"/>
        <v>4</v>
      </c>
      <c r="K87" s="74"/>
      <c r="L87" s="16" t="s">
        <v>506</v>
      </c>
      <c r="M87" s="49">
        <v>46291</v>
      </c>
      <c r="N87" s="50" t="s">
        <v>315</v>
      </c>
      <c r="O87" s="18" t="s">
        <v>507</v>
      </c>
      <c r="P87" s="31">
        <v>46292</v>
      </c>
      <c r="Q87" s="25">
        <f t="shared" ca="1" si="5"/>
        <v>0</v>
      </c>
      <c r="R87" s="34" t="s">
        <v>2</v>
      </c>
      <c r="S87" s="12"/>
    </row>
    <row r="88" spans="1:19" s="3" customFormat="1" ht="46.2" customHeight="1" x14ac:dyDescent="0.3">
      <c r="A88" s="30"/>
      <c r="B88" s="62" t="s">
        <v>508</v>
      </c>
      <c r="C88" s="39">
        <v>0</v>
      </c>
      <c r="D88" s="20" t="s">
        <v>509</v>
      </c>
      <c r="E88" s="15" t="s">
        <v>510</v>
      </c>
      <c r="F88" s="50" t="s">
        <v>113</v>
      </c>
      <c r="G88" s="19">
        <v>46271</v>
      </c>
      <c r="H88" s="26" t="s">
        <v>511</v>
      </c>
      <c r="I88" s="19">
        <v>46273</v>
      </c>
      <c r="J88" s="37">
        <f t="shared" si="4"/>
        <v>4</v>
      </c>
      <c r="K88" s="74"/>
      <c r="L88" s="16" t="s">
        <v>512</v>
      </c>
      <c r="M88" s="31">
        <v>46277</v>
      </c>
      <c r="N88" s="50" t="s">
        <v>315</v>
      </c>
      <c r="O88" s="18" t="s">
        <v>513</v>
      </c>
      <c r="P88" s="31">
        <v>46280</v>
      </c>
      <c r="Q88" s="25">
        <f t="shared" ca="1" si="5"/>
        <v>0</v>
      </c>
      <c r="R88" s="34" t="s">
        <v>2</v>
      </c>
      <c r="S88" s="58" t="s">
        <v>448</v>
      </c>
    </row>
    <row r="89" spans="1:19" s="3" customFormat="1" ht="46.2" customHeight="1" x14ac:dyDescent="0.3">
      <c r="A89" s="30"/>
      <c r="B89" s="62" t="s">
        <v>514</v>
      </c>
      <c r="C89" s="39">
        <v>0</v>
      </c>
      <c r="D89" s="20" t="s">
        <v>515</v>
      </c>
      <c r="E89" s="15" t="s">
        <v>516</v>
      </c>
      <c r="F89" s="50" t="s">
        <v>113</v>
      </c>
      <c r="G89" s="19">
        <v>46267</v>
      </c>
      <c r="H89" s="26" t="s">
        <v>517</v>
      </c>
      <c r="I89" s="19">
        <v>46267</v>
      </c>
      <c r="J89" s="37">
        <f t="shared" si="4"/>
        <v>4</v>
      </c>
      <c r="K89" s="74"/>
      <c r="L89" s="16" t="s">
        <v>518</v>
      </c>
      <c r="M89" s="31">
        <v>46271</v>
      </c>
      <c r="N89" s="50" t="s">
        <v>315</v>
      </c>
      <c r="O89" s="18" t="s">
        <v>519</v>
      </c>
      <c r="P89" s="31">
        <v>46286</v>
      </c>
      <c r="Q89" s="25">
        <f t="shared" ca="1" si="5"/>
        <v>0</v>
      </c>
      <c r="R89" s="34" t="s">
        <v>2</v>
      </c>
      <c r="S89" s="12" t="s">
        <v>340</v>
      </c>
    </row>
    <row r="90" spans="1:19" s="3" customFormat="1" ht="46.2" customHeight="1" x14ac:dyDescent="0.3">
      <c r="A90" s="30"/>
      <c r="B90" s="62" t="s">
        <v>520</v>
      </c>
      <c r="C90" s="39">
        <v>0</v>
      </c>
      <c r="D90" s="20" t="s">
        <v>521</v>
      </c>
      <c r="E90" s="15" t="s">
        <v>522</v>
      </c>
      <c r="F90" s="50" t="s">
        <v>348</v>
      </c>
      <c r="G90" s="19">
        <v>46268</v>
      </c>
      <c r="H90" s="26" t="s">
        <v>523</v>
      </c>
      <c r="I90" s="19">
        <v>46273</v>
      </c>
      <c r="J90" s="37">
        <f t="shared" si="4"/>
        <v>3</v>
      </c>
      <c r="K90" s="74"/>
      <c r="L90" s="16" t="s">
        <v>524</v>
      </c>
      <c r="M90" s="31">
        <v>46276</v>
      </c>
      <c r="N90" s="50" t="s">
        <v>315</v>
      </c>
      <c r="O90" s="18" t="s">
        <v>525</v>
      </c>
      <c r="P90" s="31">
        <v>46278</v>
      </c>
      <c r="Q90" s="25">
        <f t="shared" ca="1" si="5"/>
        <v>0</v>
      </c>
      <c r="R90" s="34" t="s">
        <v>2</v>
      </c>
      <c r="S90" s="58" t="s">
        <v>448</v>
      </c>
    </row>
    <row r="91" spans="1:19" s="3" customFormat="1" ht="46.2" customHeight="1" x14ac:dyDescent="0.3">
      <c r="A91" s="30"/>
      <c r="B91" s="62" t="s">
        <v>526</v>
      </c>
      <c r="C91" s="39">
        <v>0</v>
      </c>
      <c r="D91" s="20" t="s">
        <v>527</v>
      </c>
      <c r="E91" s="15" t="s">
        <v>528</v>
      </c>
      <c r="F91" s="50" t="s">
        <v>366</v>
      </c>
      <c r="G91" s="19">
        <v>46271</v>
      </c>
      <c r="H91" s="26" t="s">
        <v>529</v>
      </c>
      <c r="I91" s="19">
        <v>46273</v>
      </c>
      <c r="J91" s="37">
        <f t="shared" si="4"/>
        <v>7</v>
      </c>
      <c r="K91" s="74"/>
      <c r="L91" s="16" t="s">
        <v>530</v>
      </c>
      <c r="M91" s="31">
        <v>46280</v>
      </c>
      <c r="N91" s="50" t="s">
        <v>315</v>
      </c>
      <c r="O91" s="18" t="s">
        <v>531</v>
      </c>
      <c r="P91" s="31">
        <v>46280</v>
      </c>
      <c r="Q91" s="25">
        <f t="shared" ca="1" si="5"/>
        <v>0</v>
      </c>
      <c r="R91" s="34" t="s">
        <v>2</v>
      </c>
      <c r="S91" s="58" t="s">
        <v>448</v>
      </c>
    </row>
    <row r="92" spans="1:19" s="3" customFormat="1" ht="46.2" customHeight="1" x14ac:dyDescent="0.3">
      <c r="A92" s="30"/>
      <c r="B92" s="62" t="s">
        <v>526</v>
      </c>
      <c r="C92" s="39">
        <v>1</v>
      </c>
      <c r="D92" s="20" t="s">
        <v>532</v>
      </c>
      <c r="E92" s="15" t="s">
        <v>533</v>
      </c>
      <c r="F92" s="50" t="s">
        <v>366</v>
      </c>
      <c r="G92" s="19">
        <v>46293</v>
      </c>
      <c r="H92" s="26" t="s">
        <v>534</v>
      </c>
      <c r="I92" s="19">
        <v>46294</v>
      </c>
      <c r="J92" s="37">
        <f t="shared" si="4"/>
        <v>8</v>
      </c>
      <c r="K92" s="75" t="s">
        <v>315</v>
      </c>
      <c r="L92" s="16" t="s">
        <v>854</v>
      </c>
      <c r="M92" s="31">
        <v>46302</v>
      </c>
      <c r="N92" s="50" t="s">
        <v>315</v>
      </c>
      <c r="O92" s="18" t="s">
        <v>855</v>
      </c>
      <c r="P92" s="31">
        <v>46302</v>
      </c>
      <c r="Q92" s="25">
        <f t="shared" ref="Q92:Q123" ca="1" si="8">IF(AND(P92="",TODAY()-G92&gt;5),TODAY()-G92-5,0)</f>
        <v>0</v>
      </c>
      <c r="R92" s="34" t="s">
        <v>2</v>
      </c>
      <c r="S92" s="58" t="s">
        <v>822</v>
      </c>
    </row>
    <row r="93" spans="1:19" s="3" customFormat="1" ht="46.2" customHeight="1" x14ac:dyDescent="0.3">
      <c r="A93" s="30"/>
      <c r="B93" s="62" t="s">
        <v>535</v>
      </c>
      <c r="C93" s="39">
        <v>0</v>
      </c>
      <c r="D93" s="20" t="s">
        <v>536</v>
      </c>
      <c r="E93" s="15" t="s">
        <v>537</v>
      </c>
      <c r="F93" s="50" t="s">
        <v>348</v>
      </c>
      <c r="G93" s="19">
        <v>46271</v>
      </c>
      <c r="H93" s="26" t="s">
        <v>538</v>
      </c>
      <c r="I93" s="19">
        <v>46273</v>
      </c>
      <c r="J93" s="37">
        <f t="shared" si="4"/>
        <v>6</v>
      </c>
      <c r="K93" s="74"/>
      <c r="L93" s="16" t="s">
        <v>539</v>
      </c>
      <c r="M93" s="31">
        <v>46279</v>
      </c>
      <c r="N93" s="50" t="s">
        <v>315</v>
      </c>
      <c r="O93" s="18" t="s">
        <v>540</v>
      </c>
      <c r="P93" s="31">
        <v>46280</v>
      </c>
      <c r="Q93" s="25">
        <f t="shared" ca="1" si="8"/>
        <v>0</v>
      </c>
      <c r="R93" s="34" t="s">
        <v>2</v>
      </c>
      <c r="S93" s="58" t="s">
        <v>448</v>
      </c>
    </row>
    <row r="94" spans="1:19" s="3" customFormat="1" ht="46.2" customHeight="1" x14ac:dyDescent="0.3">
      <c r="A94" s="30"/>
      <c r="B94" s="62" t="s">
        <v>535</v>
      </c>
      <c r="C94" s="51">
        <v>1</v>
      </c>
      <c r="D94" s="20" t="s">
        <v>541</v>
      </c>
      <c r="E94" s="15" t="s">
        <v>542</v>
      </c>
      <c r="F94" s="50" t="s">
        <v>348</v>
      </c>
      <c r="G94" s="19">
        <v>46286</v>
      </c>
      <c r="H94" s="26" t="s">
        <v>544</v>
      </c>
      <c r="I94" s="19">
        <v>46286</v>
      </c>
      <c r="J94" s="37">
        <f t="shared" si="4"/>
        <v>3</v>
      </c>
      <c r="K94" s="74"/>
      <c r="L94" s="16" t="s">
        <v>545</v>
      </c>
      <c r="M94" s="31">
        <v>46289</v>
      </c>
      <c r="N94" s="50" t="s">
        <v>543</v>
      </c>
      <c r="O94" s="18" t="s">
        <v>546</v>
      </c>
      <c r="P94" s="31">
        <v>46292</v>
      </c>
      <c r="Q94" s="25">
        <f t="shared" ca="1" si="8"/>
        <v>0</v>
      </c>
      <c r="R94" s="34" t="s">
        <v>2</v>
      </c>
      <c r="S94" s="58"/>
    </row>
    <row r="95" spans="1:19" s="3" customFormat="1" ht="46.2" customHeight="1" x14ac:dyDescent="0.3">
      <c r="A95" s="30"/>
      <c r="B95" s="62" t="s">
        <v>547</v>
      </c>
      <c r="C95" s="39">
        <v>0</v>
      </c>
      <c r="D95" s="20" t="s">
        <v>548</v>
      </c>
      <c r="E95" s="15" t="s">
        <v>549</v>
      </c>
      <c r="F95" s="50" t="s">
        <v>113</v>
      </c>
      <c r="G95" s="19">
        <v>46282</v>
      </c>
      <c r="H95" s="26" t="s">
        <v>550</v>
      </c>
      <c r="I95" s="19">
        <v>46282</v>
      </c>
      <c r="J95" s="37">
        <f t="shared" si="4"/>
        <v>3</v>
      </c>
      <c r="K95" s="74"/>
      <c r="L95" s="16" t="s">
        <v>551</v>
      </c>
      <c r="M95" s="31">
        <v>46285</v>
      </c>
      <c r="N95" s="50" t="s">
        <v>315</v>
      </c>
      <c r="O95" s="18" t="s">
        <v>552</v>
      </c>
      <c r="P95" s="31">
        <v>46285</v>
      </c>
      <c r="Q95" s="25">
        <f t="shared" ca="1" si="8"/>
        <v>0</v>
      </c>
      <c r="R95" s="34" t="s">
        <v>2</v>
      </c>
      <c r="S95" s="12"/>
    </row>
    <row r="96" spans="1:19" s="3" customFormat="1" ht="46.2" customHeight="1" x14ac:dyDescent="0.3">
      <c r="A96" s="30"/>
      <c r="B96" s="62" t="s">
        <v>553</v>
      </c>
      <c r="C96" s="39">
        <v>0</v>
      </c>
      <c r="D96" s="20" t="s">
        <v>554</v>
      </c>
      <c r="E96" s="15" t="s">
        <v>555</v>
      </c>
      <c r="F96" s="50" t="s">
        <v>366</v>
      </c>
      <c r="G96" s="19">
        <v>46274</v>
      </c>
      <c r="H96" s="26" t="s">
        <v>556</v>
      </c>
      <c r="I96" s="19">
        <v>46274</v>
      </c>
      <c r="J96" s="37">
        <f t="shared" si="4"/>
        <v>1</v>
      </c>
      <c r="K96" s="74"/>
      <c r="L96" s="16" t="s">
        <v>557</v>
      </c>
      <c r="M96" s="31">
        <v>46275</v>
      </c>
      <c r="N96" s="50" t="s">
        <v>315</v>
      </c>
      <c r="O96" s="18" t="s">
        <v>558</v>
      </c>
      <c r="P96" s="31">
        <v>46281</v>
      </c>
      <c r="Q96" s="25">
        <f t="shared" ca="1" si="8"/>
        <v>0</v>
      </c>
      <c r="R96" s="34" t="s">
        <v>2</v>
      </c>
      <c r="S96" s="12"/>
    </row>
    <row r="97" spans="1:19" s="3" customFormat="1" ht="46.2" customHeight="1" x14ac:dyDescent="0.3">
      <c r="A97" s="30"/>
      <c r="B97" s="62" t="s">
        <v>553</v>
      </c>
      <c r="C97" s="51">
        <v>1</v>
      </c>
      <c r="D97" s="20" t="s">
        <v>559</v>
      </c>
      <c r="E97" s="15" t="s">
        <v>560</v>
      </c>
      <c r="F97" s="50" t="s">
        <v>366</v>
      </c>
      <c r="G97" s="19">
        <v>46285</v>
      </c>
      <c r="H97" s="26" t="s">
        <v>561</v>
      </c>
      <c r="I97" s="19">
        <v>46286</v>
      </c>
      <c r="J97" s="37">
        <f t="shared" si="4"/>
        <v>2</v>
      </c>
      <c r="K97" s="74"/>
      <c r="L97" s="16" t="s">
        <v>562</v>
      </c>
      <c r="M97" s="31">
        <v>46288</v>
      </c>
      <c r="N97" s="50" t="s">
        <v>315</v>
      </c>
      <c r="O97" s="18" t="s">
        <v>563</v>
      </c>
      <c r="P97" s="31">
        <v>46289</v>
      </c>
      <c r="Q97" s="25">
        <f t="shared" ca="1" si="8"/>
        <v>0</v>
      </c>
      <c r="R97" s="34" t="s">
        <v>2</v>
      </c>
      <c r="S97" s="12"/>
    </row>
    <row r="98" spans="1:19" s="3" customFormat="1" ht="46.2" customHeight="1" x14ac:dyDescent="0.3">
      <c r="A98" s="30"/>
      <c r="B98" s="62" t="s">
        <v>553</v>
      </c>
      <c r="C98" s="51">
        <v>2</v>
      </c>
      <c r="D98" s="20" t="s">
        <v>564</v>
      </c>
      <c r="E98" s="15" t="s">
        <v>565</v>
      </c>
      <c r="F98" s="50" t="s">
        <v>366</v>
      </c>
      <c r="G98" s="19">
        <v>46294</v>
      </c>
      <c r="H98" s="26" t="s">
        <v>566</v>
      </c>
      <c r="I98" s="19">
        <v>46294</v>
      </c>
      <c r="J98" s="37">
        <f t="shared" si="4"/>
        <v>1</v>
      </c>
      <c r="K98" s="74"/>
      <c r="L98" s="16" t="s">
        <v>567</v>
      </c>
      <c r="M98" s="31">
        <v>46295</v>
      </c>
      <c r="N98" s="50" t="s">
        <v>543</v>
      </c>
      <c r="O98" s="18" t="s">
        <v>568</v>
      </c>
      <c r="P98" s="31">
        <v>46295</v>
      </c>
      <c r="Q98" s="25">
        <f t="shared" ca="1" si="8"/>
        <v>0</v>
      </c>
      <c r="R98" s="34" t="s">
        <v>2</v>
      </c>
      <c r="S98" s="12"/>
    </row>
    <row r="99" spans="1:19" s="3" customFormat="1" ht="46.2" customHeight="1" x14ac:dyDescent="0.3">
      <c r="A99" s="30"/>
      <c r="B99" s="62" t="s">
        <v>569</v>
      </c>
      <c r="C99" s="39">
        <v>0</v>
      </c>
      <c r="D99" s="20" t="s">
        <v>570</v>
      </c>
      <c r="E99" s="15" t="s">
        <v>571</v>
      </c>
      <c r="F99" s="50" t="s">
        <v>366</v>
      </c>
      <c r="G99" s="19">
        <v>46274</v>
      </c>
      <c r="H99" s="26" t="s">
        <v>572</v>
      </c>
      <c r="I99" s="19">
        <v>46274</v>
      </c>
      <c r="J99" s="37">
        <f t="shared" si="4"/>
        <v>7</v>
      </c>
      <c r="K99" s="74"/>
      <c r="L99" s="16" t="s">
        <v>573</v>
      </c>
      <c r="M99" s="31">
        <v>46281</v>
      </c>
      <c r="N99" s="50" t="s">
        <v>315</v>
      </c>
      <c r="O99" s="18" t="s">
        <v>574</v>
      </c>
      <c r="P99" s="31">
        <v>46282</v>
      </c>
      <c r="Q99" s="25">
        <f t="shared" ca="1" si="8"/>
        <v>0</v>
      </c>
      <c r="R99" s="34" t="s">
        <v>2</v>
      </c>
      <c r="S99" s="12"/>
    </row>
    <row r="100" spans="1:19" s="3" customFormat="1" ht="46.2" customHeight="1" x14ac:dyDescent="0.3">
      <c r="A100" s="30"/>
      <c r="B100" s="62" t="s">
        <v>575</v>
      </c>
      <c r="C100" s="15">
        <v>0</v>
      </c>
      <c r="D100" s="20" t="s">
        <v>576</v>
      </c>
      <c r="E100" s="15" t="s">
        <v>577</v>
      </c>
      <c r="F100" s="50" t="s">
        <v>366</v>
      </c>
      <c r="G100" s="19">
        <v>46277</v>
      </c>
      <c r="H100" s="26" t="s">
        <v>578</v>
      </c>
      <c r="I100" s="19">
        <v>46278</v>
      </c>
      <c r="J100" s="37">
        <f t="shared" si="4"/>
        <v>4</v>
      </c>
      <c r="K100" s="74"/>
      <c r="L100" s="16" t="s">
        <v>579</v>
      </c>
      <c r="M100" s="31">
        <v>46282</v>
      </c>
      <c r="N100" s="50" t="s">
        <v>315</v>
      </c>
      <c r="O100" s="18" t="s">
        <v>580</v>
      </c>
      <c r="P100" s="31">
        <v>46282</v>
      </c>
      <c r="Q100" s="25">
        <f t="shared" ca="1" si="8"/>
        <v>0</v>
      </c>
      <c r="R100" s="34" t="s">
        <v>2</v>
      </c>
      <c r="S100" s="12"/>
    </row>
    <row r="101" spans="1:19" s="3" customFormat="1" ht="46.2" customHeight="1" x14ac:dyDescent="0.3">
      <c r="A101" s="30"/>
      <c r="B101" s="62" t="s">
        <v>581</v>
      </c>
      <c r="C101" s="15">
        <v>0</v>
      </c>
      <c r="D101" s="20" t="s">
        <v>582</v>
      </c>
      <c r="E101" s="15" t="s">
        <v>583</v>
      </c>
      <c r="F101" s="50" t="s">
        <v>366</v>
      </c>
      <c r="G101" s="19">
        <v>46277</v>
      </c>
      <c r="H101" s="26" t="s">
        <v>584</v>
      </c>
      <c r="I101" s="19">
        <v>46278</v>
      </c>
      <c r="J101" s="37">
        <f t="shared" si="4"/>
        <v>-46278</v>
      </c>
      <c r="K101" s="70" t="s">
        <v>543</v>
      </c>
      <c r="L101" s="16"/>
      <c r="M101" s="31"/>
      <c r="N101" s="50"/>
      <c r="O101" s="18"/>
      <c r="P101" s="31"/>
      <c r="Q101" s="25">
        <f t="shared" ca="1" si="8"/>
        <v>20</v>
      </c>
      <c r="R101" s="34" t="s">
        <v>7</v>
      </c>
      <c r="S101" s="12" t="s">
        <v>585</v>
      </c>
    </row>
    <row r="102" spans="1:19" s="3" customFormat="1" ht="46.2" customHeight="1" x14ac:dyDescent="0.3">
      <c r="A102" s="30"/>
      <c r="B102" s="62" t="s">
        <v>586</v>
      </c>
      <c r="C102" s="15">
        <v>0</v>
      </c>
      <c r="D102" s="20" t="s">
        <v>587</v>
      </c>
      <c r="E102" s="62" t="s">
        <v>588</v>
      </c>
      <c r="F102" s="50" t="s">
        <v>113</v>
      </c>
      <c r="G102" s="19">
        <v>46283</v>
      </c>
      <c r="H102" s="26" t="s">
        <v>589</v>
      </c>
      <c r="I102" s="19">
        <v>46285</v>
      </c>
      <c r="J102" s="37">
        <f t="shared" si="4"/>
        <v>4</v>
      </c>
      <c r="K102" s="74"/>
      <c r="L102" s="16" t="s">
        <v>590</v>
      </c>
      <c r="M102" s="31">
        <v>46289</v>
      </c>
      <c r="N102" s="50" t="s">
        <v>20</v>
      </c>
      <c r="O102" s="16" t="s">
        <v>591</v>
      </c>
      <c r="P102" s="31">
        <v>46292</v>
      </c>
      <c r="Q102" s="25">
        <f t="shared" ca="1" si="8"/>
        <v>0</v>
      </c>
      <c r="R102" s="34" t="s">
        <v>2</v>
      </c>
      <c r="S102" s="12"/>
    </row>
    <row r="103" spans="1:19" s="3" customFormat="1" ht="46.2" customHeight="1" x14ac:dyDescent="0.3">
      <c r="A103" s="30"/>
      <c r="B103" s="62" t="s">
        <v>592</v>
      </c>
      <c r="C103" s="15">
        <v>0</v>
      </c>
      <c r="D103" s="20" t="s">
        <v>593</v>
      </c>
      <c r="E103" s="15" t="s">
        <v>594</v>
      </c>
      <c r="F103" s="59" t="s">
        <v>595</v>
      </c>
      <c r="G103" s="19">
        <v>46280</v>
      </c>
      <c r="H103" s="26" t="s">
        <v>596</v>
      </c>
      <c r="I103" s="19">
        <v>46280</v>
      </c>
      <c r="J103" s="37">
        <f t="shared" si="4"/>
        <v>12</v>
      </c>
      <c r="K103" s="74"/>
      <c r="L103" s="16" t="s">
        <v>597</v>
      </c>
      <c r="M103" s="31">
        <v>46292</v>
      </c>
      <c r="N103" s="50" t="s">
        <v>315</v>
      </c>
      <c r="O103" s="18" t="s">
        <v>598</v>
      </c>
      <c r="P103" s="31">
        <v>46292</v>
      </c>
      <c r="Q103" s="25">
        <f t="shared" ca="1" si="8"/>
        <v>0</v>
      </c>
      <c r="R103" s="34" t="s">
        <v>2</v>
      </c>
      <c r="S103" s="12" t="s">
        <v>599</v>
      </c>
    </row>
    <row r="104" spans="1:19" s="3" customFormat="1" ht="46.2" customHeight="1" x14ac:dyDescent="0.3">
      <c r="A104" s="30"/>
      <c r="B104" s="62" t="s">
        <v>600</v>
      </c>
      <c r="C104" s="15">
        <v>0</v>
      </c>
      <c r="D104" s="20" t="s">
        <v>601</v>
      </c>
      <c r="E104" s="15" t="s">
        <v>602</v>
      </c>
      <c r="F104" s="59" t="s">
        <v>595</v>
      </c>
      <c r="G104" s="19">
        <v>46280</v>
      </c>
      <c r="H104" s="26" t="s">
        <v>603</v>
      </c>
      <c r="I104" s="19">
        <v>46280</v>
      </c>
      <c r="J104" s="37">
        <f t="shared" si="4"/>
        <v>7</v>
      </c>
      <c r="K104" s="74"/>
      <c r="L104" s="16" t="s">
        <v>604</v>
      </c>
      <c r="M104" s="31">
        <v>46287</v>
      </c>
      <c r="N104" s="50" t="s">
        <v>315</v>
      </c>
      <c r="O104" s="18" t="s">
        <v>605</v>
      </c>
      <c r="P104" s="31">
        <v>46293</v>
      </c>
      <c r="Q104" s="25">
        <f t="shared" ca="1" si="8"/>
        <v>0</v>
      </c>
      <c r="R104" s="34" t="s">
        <v>2</v>
      </c>
      <c r="S104" s="12" t="s">
        <v>599</v>
      </c>
    </row>
    <row r="105" spans="1:19" s="3" customFormat="1" ht="46.2" customHeight="1" x14ac:dyDescent="0.3">
      <c r="A105" s="30"/>
      <c r="B105" s="62" t="s">
        <v>606</v>
      </c>
      <c r="C105" s="15">
        <v>0</v>
      </c>
      <c r="D105" s="20" t="s">
        <v>607</v>
      </c>
      <c r="E105" s="15" t="s">
        <v>608</v>
      </c>
      <c r="F105" s="59" t="s">
        <v>595</v>
      </c>
      <c r="G105" s="19">
        <v>46280</v>
      </c>
      <c r="H105" s="26" t="s">
        <v>609</v>
      </c>
      <c r="I105" s="19">
        <v>46280</v>
      </c>
      <c r="J105" s="37">
        <f t="shared" si="4"/>
        <v>9</v>
      </c>
      <c r="K105" s="74"/>
      <c r="L105" s="16" t="s">
        <v>610</v>
      </c>
      <c r="M105" s="31">
        <v>46289</v>
      </c>
      <c r="N105" s="50" t="s">
        <v>315</v>
      </c>
      <c r="O105" s="18" t="s">
        <v>611</v>
      </c>
      <c r="P105" s="31">
        <v>46289</v>
      </c>
      <c r="Q105" s="25">
        <f t="shared" ca="1" si="8"/>
        <v>0</v>
      </c>
      <c r="R105" s="34" t="s">
        <v>2</v>
      </c>
      <c r="S105" s="12" t="s">
        <v>612</v>
      </c>
    </row>
    <row r="106" spans="1:19" s="3" customFormat="1" ht="46.2" customHeight="1" x14ac:dyDescent="0.3">
      <c r="A106" s="30"/>
      <c r="B106" s="62" t="s">
        <v>613</v>
      </c>
      <c r="C106" s="15">
        <v>0</v>
      </c>
      <c r="D106" s="20" t="s">
        <v>614</v>
      </c>
      <c r="E106" s="15" t="s">
        <v>615</v>
      </c>
      <c r="F106" s="59" t="s">
        <v>595</v>
      </c>
      <c r="G106" s="19">
        <v>46280</v>
      </c>
      <c r="H106" s="26" t="s">
        <v>616</v>
      </c>
      <c r="I106" s="19">
        <v>46280</v>
      </c>
      <c r="J106" s="37" t="e">
        <f>#REF!-I106</f>
        <v>#REF!</v>
      </c>
      <c r="K106" s="74"/>
      <c r="L106" s="16" t="s">
        <v>617</v>
      </c>
      <c r="M106" s="31">
        <v>46287</v>
      </c>
      <c r="N106" s="50" t="s">
        <v>20</v>
      </c>
      <c r="O106" s="18" t="s">
        <v>618</v>
      </c>
      <c r="P106" s="31">
        <v>46287</v>
      </c>
      <c r="Q106" s="25">
        <f t="shared" ca="1" si="8"/>
        <v>0</v>
      </c>
      <c r="R106" s="34" t="s">
        <v>2</v>
      </c>
      <c r="S106" s="12" t="s">
        <v>612</v>
      </c>
    </row>
    <row r="107" spans="1:19" s="3" customFormat="1" ht="46.2" customHeight="1" x14ac:dyDescent="0.3">
      <c r="A107" s="30"/>
      <c r="B107" s="62" t="s">
        <v>619</v>
      </c>
      <c r="C107" s="15">
        <v>0</v>
      </c>
      <c r="D107" s="20" t="s">
        <v>620</v>
      </c>
      <c r="E107" s="15" t="s">
        <v>621</v>
      </c>
      <c r="F107" s="59" t="s">
        <v>595</v>
      </c>
      <c r="G107" s="19">
        <v>46280</v>
      </c>
      <c r="H107" s="26" t="s">
        <v>622</v>
      </c>
      <c r="I107" s="19">
        <v>46280</v>
      </c>
      <c r="J107" s="37">
        <f>M106-I107</f>
        <v>7</v>
      </c>
      <c r="K107" s="74"/>
      <c r="L107" s="16" t="s">
        <v>623</v>
      </c>
      <c r="M107" s="31">
        <v>46288</v>
      </c>
      <c r="N107" s="50" t="s">
        <v>20</v>
      </c>
      <c r="O107" s="18" t="s">
        <v>624</v>
      </c>
      <c r="P107" s="31">
        <v>46288</v>
      </c>
      <c r="Q107" s="25">
        <f t="shared" ca="1" si="8"/>
        <v>0</v>
      </c>
      <c r="R107" s="34" t="s">
        <v>2</v>
      </c>
      <c r="S107" s="12" t="s">
        <v>612</v>
      </c>
    </row>
    <row r="108" spans="1:19" s="3" customFormat="1" ht="46.2" customHeight="1" x14ac:dyDescent="0.3">
      <c r="A108" s="30"/>
      <c r="B108" s="62" t="s">
        <v>625</v>
      </c>
      <c r="C108" s="15">
        <v>0</v>
      </c>
      <c r="D108" s="20" t="s">
        <v>626</v>
      </c>
      <c r="E108" s="15" t="s">
        <v>627</v>
      </c>
      <c r="F108" s="59" t="s">
        <v>172</v>
      </c>
      <c r="G108" s="19">
        <v>46282</v>
      </c>
      <c r="H108" s="26" t="s">
        <v>628</v>
      </c>
      <c r="I108" s="19">
        <v>46282</v>
      </c>
      <c r="J108" s="37">
        <f>M107-I108</f>
        <v>6</v>
      </c>
      <c r="K108" s="74"/>
      <c r="L108" s="16" t="s">
        <v>629</v>
      </c>
      <c r="M108" s="31">
        <v>46285</v>
      </c>
      <c r="N108" s="50" t="s">
        <v>315</v>
      </c>
      <c r="O108" s="18" t="s">
        <v>630</v>
      </c>
      <c r="P108" s="31">
        <v>46286</v>
      </c>
      <c r="Q108" s="25">
        <f t="shared" ca="1" si="8"/>
        <v>0</v>
      </c>
      <c r="R108" s="34" t="s">
        <v>2</v>
      </c>
      <c r="S108" s="12"/>
    </row>
    <row r="109" spans="1:19" s="3" customFormat="1" ht="46.2" customHeight="1" x14ac:dyDescent="0.3">
      <c r="A109" s="30"/>
      <c r="B109" s="62" t="s">
        <v>631</v>
      </c>
      <c r="C109" s="15">
        <v>0</v>
      </c>
      <c r="D109" s="20" t="s">
        <v>632</v>
      </c>
      <c r="E109" s="15" t="s">
        <v>633</v>
      </c>
      <c r="F109" s="50" t="s">
        <v>113</v>
      </c>
      <c r="G109" s="19">
        <v>46285</v>
      </c>
      <c r="H109" s="26" t="s">
        <v>634</v>
      </c>
      <c r="I109" s="19">
        <v>46285</v>
      </c>
      <c r="J109" s="37">
        <f t="shared" ref="J109:J145" si="9">M109-I109</f>
        <v>7</v>
      </c>
      <c r="K109" s="74"/>
      <c r="L109" s="16" t="s">
        <v>635</v>
      </c>
      <c r="M109" s="49">
        <v>46292</v>
      </c>
      <c r="N109" s="50" t="s">
        <v>315</v>
      </c>
      <c r="O109" s="18" t="s">
        <v>636</v>
      </c>
      <c r="P109" s="31">
        <v>46292</v>
      </c>
      <c r="Q109" s="25">
        <f t="shared" ca="1" si="8"/>
        <v>0</v>
      </c>
      <c r="R109" s="34" t="s">
        <v>2</v>
      </c>
      <c r="S109" s="12"/>
    </row>
    <row r="110" spans="1:19" s="3" customFormat="1" ht="46.2" customHeight="1" x14ac:dyDescent="0.3">
      <c r="A110" s="30"/>
      <c r="B110" s="62" t="s">
        <v>637</v>
      </c>
      <c r="C110" s="15">
        <v>0</v>
      </c>
      <c r="D110" s="20" t="s">
        <v>638</v>
      </c>
      <c r="E110" s="15" t="s">
        <v>639</v>
      </c>
      <c r="F110" s="50" t="s">
        <v>366</v>
      </c>
      <c r="G110" s="19">
        <v>46286</v>
      </c>
      <c r="H110" s="26" t="s">
        <v>640</v>
      </c>
      <c r="I110" s="19">
        <v>46286</v>
      </c>
      <c r="J110" s="37">
        <f t="shared" si="9"/>
        <v>2</v>
      </c>
      <c r="K110" s="74"/>
      <c r="L110" s="16" t="s">
        <v>641</v>
      </c>
      <c r="M110" s="49">
        <v>46288</v>
      </c>
      <c r="N110" s="50" t="s">
        <v>315</v>
      </c>
      <c r="O110" s="18" t="s">
        <v>642</v>
      </c>
      <c r="P110" s="31">
        <v>46289</v>
      </c>
      <c r="Q110" s="25">
        <f t="shared" ca="1" si="8"/>
        <v>0</v>
      </c>
      <c r="R110" s="34" t="s">
        <v>2</v>
      </c>
      <c r="S110" s="12"/>
    </row>
    <row r="111" spans="1:19" s="3" customFormat="1" ht="46.2" customHeight="1" x14ac:dyDescent="0.3">
      <c r="A111" s="30"/>
      <c r="B111" s="62" t="s">
        <v>637</v>
      </c>
      <c r="C111" s="15">
        <v>1</v>
      </c>
      <c r="D111" s="20" t="s">
        <v>643</v>
      </c>
      <c r="E111" s="15" t="s">
        <v>644</v>
      </c>
      <c r="F111" s="50" t="s">
        <v>645</v>
      </c>
      <c r="G111" s="19">
        <v>46294</v>
      </c>
      <c r="H111" s="26" t="s">
        <v>646</v>
      </c>
      <c r="I111" s="19">
        <v>46294</v>
      </c>
      <c r="J111" s="37">
        <f t="shared" si="9"/>
        <v>1</v>
      </c>
      <c r="K111" s="74"/>
      <c r="L111" s="16" t="s">
        <v>647</v>
      </c>
      <c r="M111" s="49">
        <v>46295</v>
      </c>
      <c r="N111" s="50" t="s">
        <v>20</v>
      </c>
      <c r="O111" s="18" t="s">
        <v>648</v>
      </c>
      <c r="P111" s="31">
        <v>46295</v>
      </c>
      <c r="Q111" s="25">
        <f t="shared" ca="1" si="8"/>
        <v>0</v>
      </c>
      <c r="R111" s="34" t="s">
        <v>2</v>
      </c>
      <c r="S111" s="12"/>
    </row>
    <row r="112" spans="1:19" s="3" customFormat="1" ht="46.2" customHeight="1" x14ac:dyDescent="0.3">
      <c r="A112" s="30"/>
      <c r="B112" s="62" t="s">
        <v>649</v>
      </c>
      <c r="C112" s="15">
        <v>0</v>
      </c>
      <c r="D112" s="20" t="s">
        <v>650</v>
      </c>
      <c r="E112" s="15" t="s">
        <v>651</v>
      </c>
      <c r="F112" s="50" t="s">
        <v>645</v>
      </c>
      <c r="G112" s="19">
        <v>46293</v>
      </c>
      <c r="H112" s="26" t="s">
        <v>652</v>
      </c>
      <c r="I112" s="19">
        <v>46294</v>
      </c>
      <c r="J112" s="37">
        <f t="shared" si="9"/>
        <v>-46294</v>
      </c>
      <c r="K112" s="70" t="s">
        <v>543</v>
      </c>
      <c r="L112" s="16"/>
      <c r="M112" s="17"/>
      <c r="N112" s="50"/>
      <c r="O112" s="18"/>
      <c r="P112" s="31"/>
      <c r="Q112" s="25">
        <f t="shared" ca="1" si="8"/>
        <v>4</v>
      </c>
      <c r="R112" s="34" t="s">
        <v>7</v>
      </c>
      <c r="S112" s="12" t="s">
        <v>803</v>
      </c>
    </row>
    <row r="113" spans="1:19" s="3" customFormat="1" ht="46.2" customHeight="1" x14ac:dyDescent="0.3">
      <c r="A113" s="30"/>
      <c r="B113" s="62" t="s">
        <v>653</v>
      </c>
      <c r="C113" s="15">
        <v>0</v>
      </c>
      <c r="D113" s="20" t="s">
        <v>654</v>
      </c>
      <c r="E113" s="15" t="s">
        <v>655</v>
      </c>
      <c r="F113" s="59" t="s">
        <v>595</v>
      </c>
      <c r="G113" s="19">
        <v>46285</v>
      </c>
      <c r="H113" s="26" t="s">
        <v>656</v>
      </c>
      <c r="I113" s="19">
        <v>46286</v>
      </c>
      <c r="J113" s="37">
        <f t="shared" si="9"/>
        <v>16</v>
      </c>
      <c r="K113" s="70" t="s">
        <v>543</v>
      </c>
      <c r="L113" s="16" t="s">
        <v>847</v>
      </c>
      <c r="M113" s="49">
        <v>46302</v>
      </c>
      <c r="N113" s="50"/>
      <c r="O113" s="18" t="s">
        <v>846</v>
      </c>
      <c r="P113" s="31">
        <v>46302</v>
      </c>
      <c r="Q113" s="25">
        <f t="shared" ca="1" si="8"/>
        <v>0</v>
      </c>
      <c r="R113" s="34" t="s">
        <v>2</v>
      </c>
      <c r="S113" s="12" t="s">
        <v>808</v>
      </c>
    </row>
    <row r="114" spans="1:19" s="3" customFormat="1" ht="61.2" customHeight="1" x14ac:dyDescent="0.3">
      <c r="A114" s="30"/>
      <c r="B114" s="62" t="s">
        <v>657</v>
      </c>
      <c r="C114" s="15">
        <v>0</v>
      </c>
      <c r="D114" s="20" t="s">
        <v>658</v>
      </c>
      <c r="E114" s="15" t="s">
        <v>659</v>
      </c>
      <c r="F114" s="59" t="s">
        <v>595</v>
      </c>
      <c r="G114" s="19">
        <v>46285</v>
      </c>
      <c r="H114" s="26" t="s">
        <v>660</v>
      </c>
      <c r="I114" s="19">
        <v>46286</v>
      </c>
      <c r="J114" s="37">
        <f t="shared" si="9"/>
        <v>16</v>
      </c>
      <c r="K114" s="70" t="s">
        <v>543</v>
      </c>
      <c r="L114" s="16" t="s">
        <v>848</v>
      </c>
      <c r="M114" s="49">
        <v>46302</v>
      </c>
      <c r="N114" s="50"/>
      <c r="O114" s="18" t="s">
        <v>849</v>
      </c>
      <c r="P114" s="31">
        <v>46302</v>
      </c>
      <c r="Q114" s="25">
        <f t="shared" ca="1" si="8"/>
        <v>0</v>
      </c>
      <c r="R114" s="34" t="s">
        <v>2</v>
      </c>
      <c r="S114" s="58" t="s">
        <v>661</v>
      </c>
    </row>
    <row r="115" spans="1:19" s="3" customFormat="1" ht="46.2" customHeight="1" x14ac:dyDescent="0.3">
      <c r="A115" s="30"/>
      <c r="B115" s="62" t="s">
        <v>662</v>
      </c>
      <c r="C115" s="15">
        <v>0</v>
      </c>
      <c r="D115" s="20" t="s">
        <v>663</v>
      </c>
      <c r="E115" s="15" t="s">
        <v>664</v>
      </c>
      <c r="F115" s="59" t="s">
        <v>595</v>
      </c>
      <c r="G115" s="19">
        <v>46285</v>
      </c>
      <c r="H115" s="26" t="s">
        <v>665</v>
      </c>
      <c r="I115" s="19">
        <v>46286</v>
      </c>
      <c r="J115" s="37">
        <f t="shared" si="9"/>
        <v>16</v>
      </c>
      <c r="K115" s="70" t="s">
        <v>543</v>
      </c>
      <c r="L115" s="16" t="s">
        <v>868</v>
      </c>
      <c r="M115" s="49">
        <v>46302</v>
      </c>
      <c r="N115" s="50"/>
      <c r="O115" s="18" t="s">
        <v>869</v>
      </c>
      <c r="P115" s="31">
        <v>46302</v>
      </c>
      <c r="Q115" s="25">
        <f t="shared" ca="1" si="8"/>
        <v>0</v>
      </c>
      <c r="R115" s="34" t="s">
        <v>2</v>
      </c>
      <c r="S115" s="12" t="s">
        <v>821</v>
      </c>
    </row>
    <row r="116" spans="1:19" s="3" customFormat="1" ht="46.2" customHeight="1" x14ac:dyDescent="0.3">
      <c r="A116" s="30"/>
      <c r="B116" s="62" t="s">
        <v>666</v>
      </c>
      <c r="C116" s="15">
        <v>0</v>
      </c>
      <c r="D116" s="20" t="s">
        <v>667</v>
      </c>
      <c r="E116" s="15" t="s">
        <v>668</v>
      </c>
      <c r="F116" s="59" t="s">
        <v>669</v>
      </c>
      <c r="G116" s="19">
        <v>46293</v>
      </c>
      <c r="H116" s="26" t="s">
        <v>670</v>
      </c>
      <c r="I116" s="19">
        <v>46294</v>
      </c>
      <c r="J116" s="37">
        <f t="shared" si="9"/>
        <v>5</v>
      </c>
      <c r="K116" s="74"/>
      <c r="L116" s="16" t="s">
        <v>780</v>
      </c>
      <c r="M116" s="49">
        <v>46299</v>
      </c>
      <c r="N116" s="50" t="s">
        <v>315</v>
      </c>
      <c r="O116" s="18" t="s">
        <v>781</v>
      </c>
      <c r="P116" s="31">
        <v>46299</v>
      </c>
      <c r="Q116" s="25">
        <f t="shared" ca="1" si="8"/>
        <v>0</v>
      </c>
      <c r="R116" s="34" t="s">
        <v>2</v>
      </c>
      <c r="S116" s="12"/>
    </row>
    <row r="117" spans="1:19" s="3" customFormat="1" ht="46.2" customHeight="1" x14ac:dyDescent="0.3">
      <c r="A117" s="30"/>
      <c r="B117" s="62" t="s">
        <v>671</v>
      </c>
      <c r="C117" s="15">
        <v>0</v>
      </c>
      <c r="D117" s="20" t="s">
        <v>672</v>
      </c>
      <c r="E117" s="15" t="s">
        <v>673</v>
      </c>
      <c r="F117" s="50" t="s">
        <v>348</v>
      </c>
      <c r="G117" s="19">
        <v>46286</v>
      </c>
      <c r="H117" s="26" t="s">
        <v>674</v>
      </c>
      <c r="I117" s="19">
        <v>46286</v>
      </c>
      <c r="J117" s="37">
        <f t="shared" si="9"/>
        <v>-46286</v>
      </c>
      <c r="K117" s="70" t="s">
        <v>543</v>
      </c>
      <c r="L117" s="16"/>
      <c r="M117" s="17"/>
      <c r="N117" s="50"/>
      <c r="O117" s="18"/>
      <c r="P117" s="31"/>
      <c r="Q117" s="25">
        <f t="shared" ca="1" si="8"/>
        <v>11</v>
      </c>
      <c r="R117" s="34" t="s">
        <v>7</v>
      </c>
      <c r="S117" s="12" t="s">
        <v>806</v>
      </c>
    </row>
    <row r="118" spans="1:19" s="3" customFormat="1" ht="46.2" customHeight="1" x14ac:dyDescent="0.3">
      <c r="A118" s="30"/>
      <c r="B118" s="62" t="s">
        <v>675</v>
      </c>
      <c r="C118" s="15">
        <v>0</v>
      </c>
      <c r="D118" s="20" t="s">
        <v>676</v>
      </c>
      <c r="E118" s="15" t="s">
        <v>677</v>
      </c>
      <c r="F118" s="50" t="s">
        <v>348</v>
      </c>
      <c r="G118" s="19">
        <v>46289</v>
      </c>
      <c r="H118" s="26" t="s">
        <v>678</v>
      </c>
      <c r="I118" s="19">
        <v>46292</v>
      </c>
      <c r="J118" s="37">
        <f t="shared" si="9"/>
        <v>10</v>
      </c>
      <c r="K118" s="70" t="s">
        <v>543</v>
      </c>
      <c r="L118" s="16" t="s">
        <v>864</v>
      </c>
      <c r="M118" s="49">
        <v>46302</v>
      </c>
      <c r="N118" s="50"/>
      <c r="O118" s="18" t="s">
        <v>865</v>
      </c>
      <c r="P118" s="31">
        <v>46302</v>
      </c>
      <c r="Q118" s="25">
        <f t="shared" ca="1" si="8"/>
        <v>0</v>
      </c>
      <c r="R118" s="34" t="s">
        <v>2</v>
      </c>
      <c r="S118" s="12" t="s">
        <v>810</v>
      </c>
    </row>
    <row r="119" spans="1:19" s="3" customFormat="1" ht="46.2" customHeight="1" x14ac:dyDescent="0.3">
      <c r="A119" s="30"/>
      <c r="B119" s="62" t="s">
        <v>679</v>
      </c>
      <c r="C119" s="15">
        <v>0</v>
      </c>
      <c r="D119" s="20" t="s">
        <v>680</v>
      </c>
      <c r="E119" s="15" t="s">
        <v>681</v>
      </c>
      <c r="F119" s="50" t="s">
        <v>682</v>
      </c>
      <c r="G119" s="19">
        <v>46292</v>
      </c>
      <c r="H119" s="26" t="s">
        <v>809</v>
      </c>
      <c r="I119" s="19">
        <v>46292</v>
      </c>
      <c r="J119" s="37">
        <f t="shared" si="9"/>
        <v>-46292</v>
      </c>
      <c r="K119" s="74" t="s">
        <v>543</v>
      </c>
      <c r="L119" s="16"/>
      <c r="M119" s="17"/>
      <c r="N119" s="50"/>
      <c r="O119" s="18"/>
      <c r="P119" s="31"/>
      <c r="Q119" s="25">
        <f t="shared" ca="1" si="8"/>
        <v>5</v>
      </c>
      <c r="R119" s="34" t="s">
        <v>7</v>
      </c>
      <c r="S119" s="12" t="s">
        <v>811</v>
      </c>
    </row>
    <row r="120" spans="1:19" s="3" customFormat="1" ht="46.2" customHeight="1" x14ac:dyDescent="0.3">
      <c r="A120" s="30"/>
      <c r="B120" s="62" t="s">
        <v>683</v>
      </c>
      <c r="C120" s="15">
        <v>0</v>
      </c>
      <c r="D120" s="20" t="s">
        <v>684</v>
      </c>
      <c r="E120" s="15" t="s">
        <v>685</v>
      </c>
      <c r="F120" s="50" t="s">
        <v>348</v>
      </c>
      <c r="G120" s="19">
        <v>46286</v>
      </c>
      <c r="H120" s="26" t="s">
        <v>686</v>
      </c>
      <c r="I120" s="19">
        <v>46286</v>
      </c>
      <c r="J120" s="37">
        <f t="shared" si="9"/>
        <v>16</v>
      </c>
      <c r="K120" s="70" t="s">
        <v>543</v>
      </c>
      <c r="L120" s="16" t="s">
        <v>844</v>
      </c>
      <c r="M120" s="49">
        <v>46302</v>
      </c>
      <c r="N120" s="50" t="s">
        <v>315</v>
      </c>
      <c r="O120" s="18" t="s">
        <v>845</v>
      </c>
      <c r="P120" s="31">
        <v>46302</v>
      </c>
      <c r="Q120" s="25">
        <f t="shared" ca="1" si="8"/>
        <v>0</v>
      </c>
      <c r="R120" s="34" t="s">
        <v>2</v>
      </c>
      <c r="S120" s="12" t="s">
        <v>812</v>
      </c>
    </row>
    <row r="121" spans="1:19" s="3" customFormat="1" ht="46.2" customHeight="1" x14ac:dyDescent="0.3">
      <c r="A121" s="30"/>
      <c r="B121" s="62" t="s">
        <v>687</v>
      </c>
      <c r="C121" s="15">
        <v>0</v>
      </c>
      <c r="D121" s="20" t="s">
        <v>688</v>
      </c>
      <c r="E121" s="15" t="s">
        <v>689</v>
      </c>
      <c r="F121" s="50" t="s">
        <v>113</v>
      </c>
      <c r="G121" s="19">
        <v>46286</v>
      </c>
      <c r="H121" s="26" t="s">
        <v>690</v>
      </c>
      <c r="I121" s="19">
        <v>46286</v>
      </c>
      <c r="J121" s="37">
        <f t="shared" si="9"/>
        <v>4</v>
      </c>
      <c r="K121" s="74"/>
      <c r="L121" s="16" t="s">
        <v>691</v>
      </c>
      <c r="M121" s="49">
        <v>46290</v>
      </c>
      <c r="N121" s="50" t="s">
        <v>315</v>
      </c>
      <c r="O121" s="18" t="s">
        <v>692</v>
      </c>
      <c r="P121" s="31">
        <v>46292</v>
      </c>
      <c r="Q121" s="25">
        <f t="shared" ca="1" si="8"/>
        <v>0</v>
      </c>
      <c r="R121" s="34" t="s">
        <v>2</v>
      </c>
      <c r="S121" s="12"/>
    </row>
    <row r="122" spans="1:19" s="3" customFormat="1" ht="46.2" customHeight="1" x14ac:dyDescent="0.3">
      <c r="A122" s="30"/>
      <c r="B122" s="62" t="s">
        <v>693</v>
      </c>
      <c r="C122" s="15">
        <v>0</v>
      </c>
      <c r="D122" s="20" t="s">
        <v>694</v>
      </c>
      <c r="E122" s="15" t="s">
        <v>695</v>
      </c>
      <c r="F122" s="50" t="s">
        <v>366</v>
      </c>
      <c r="G122" s="19">
        <v>46286</v>
      </c>
      <c r="H122" s="26" t="s">
        <v>696</v>
      </c>
      <c r="I122" s="19">
        <v>46286</v>
      </c>
      <c r="J122" s="37">
        <f t="shared" si="9"/>
        <v>6</v>
      </c>
      <c r="K122" s="74"/>
      <c r="L122" s="16" t="s">
        <v>697</v>
      </c>
      <c r="M122" s="49">
        <v>46292</v>
      </c>
      <c r="N122" s="50" t="s">
        <v>420</v>
      </c>
      <c r="O122" s="18" t="s">
        <v>698</v>
      </c>
      <c r="P122" s="31">
        <v>46292</v>
      </c>
      <c r="Q122" s="25">
        <f t="shared" ca="1" si="8"/>
        <v>0</v>
      </c>
      <c r="R122" s="34" t="s">
        <v>2</v>
      </c>
      <c r="S122" s="58" t="s">
        <v>699</v>
      </c>
    </row>
    <row r="123" spans="1:19" s="3" customFormat="1" ht="46.2" customHeight="1" x14ac:dyDescent="0.3">
      <c r="A123" s="30"/>
      <c r="B123" s="62" t="s">
        <v>700</v>
      </c>
      <c r="C123" s="15">
        <v>0</v>
      </c>
      <c r="D123" s="20" t="s">
        <v>701</v>
      </c>
      <c r="E123" s="15" t="s">
        <v>702</v>
      </c>
      <c r="F123" s="50" t="s">
        <v>366</v>
      </c>
      <c r="G123" s="19">
        <v>46286</v>
      </c>
      <c r="H123" s="26" t="s">
        <v>703</v>
      </c>
      <c r="I123" s="19">
        <v>46286</v>
      </c>
      <c r="J123" s="37">
        <f t="shared" si="9"/>
        <v>-46286</v>
      </c>
      <c r="K123" s="70" t="s">
        <v>543</v>
      </c>
      <c r="L123" s="16"/>
      <c r="M123" s="17"/>
      <c r="N123" s="50"/>
      <c r="O123" s="18"/>
      <c r="P123" s="31"/>
      <c r="Q123" s="25">
        <f t="shared" ca="1" si="8"/>
        <v>11</v>
      </c>
      <c r="R123" s="34" t="s">
        <v>7</v>
      </c>
      <c r="S123" s="12" t="s">
        <v>813</v>
      </c>
    </row>
    <row r="124" spans="1:19" s="3" customFormat="1" ht="46.2" customHeight="1" x14ac:dyDescent="0.3">
      <c r="A124" s="30"/>
      <c r="B124" s="62" t="s">
        <v>704</v>
      </c>
      <c r="C124" s="15">
        <v>0</v>
      </c>
      <c r="D124" s="20" t="s">
        <v>705</v>
      </c>
      <c r="E124" s="15" t="s">
        <v>706</v>
      </c>
      <c r="F124" s="50" t="s">
        <v>366</v>
      </c>
      <c r="G124" s="19">
        <v>46286</v>
      </c>
      <c r="H124" s="26" t="s">
        <v>707</v>
      </c>
      <c r="I124" s="19">
        <v>46286</v>
      </c>
      <c r="J124" s="37">
        <f t="shared" si="9"/>
        <v>6</v>
      </c>
      <c r="K124" s="74"/>
      <c r="L124" s="16" t="s">
        <v>708</v>
      </c>
      <c r="M124" s="49">
        <v>46292</v>
      </c>
      <c r="N124" s="50" t="s">
        <v>420</v>
      </c>
      <c r="O124" s="18" t="s">
        <v>709</v>
      </c>
      <c r="P124" s="31">
        <v>46292</v>
      </c>
      <c r="Q124" s="25">
        <f t="shared" ref="Q124:Q155" ca="1" si="10">IF(AND(P124="",TODAY()-G124&gt;5),TODAY()-G124-5,0)</f>
        <v>0</v>
      </c>
      <c r="R124" s="34" t="s">
        <v>2</v>
      </c>
      <c r="S124" s="12"/>
    </row>
    <row r="125" spans="1:19" s="3" customFormat="1" ht="46.2" customHeight="1" x14ac:dyDescent="0.3">
      <c r="A125" s="30"/>
      <c r="B125" s="62" t="s">
        <v>704</v>
      </c>
      <c r="C125" s="15">
        <v>1</v>
      </c>
      <c r="D125" s="20" t="s">
        <v>800</v>
      </c>
      <c r="E125" s="15" t="s">
        <v>801</v>
      </c>
      <c r="F125" s="50" t="s">
        <v>366</v>
      </c>
      <c r="G125" s="19">
        <v>46300</v>
      </c>
      <c r="H125" s="26" t="s">
        <v>802</v>
      </c>
      <c r="I125" s="19">
        <v>46300</v>
      </c>
      <c r="J125" s="37">
        <f t="shared" si="9"/>
        <v>-46300</v>
      </c>
      <c r="K125" s="74" t="s">
        <v>315</v>
      </c>
      <c r="L125" s="16"/>
      <c r="M125" s="49"/>
      <c r="N125" s="50"/>
      <c r="O125" s="18"/>
      <c r="P125" s="31"/>
      <c r="Q125" s="25">
        <f t="shared" ca="1" si="10"/>
        <v>0</v>
      </c>
      <c r="R125" s="34" t="s">
        <v>7</v>
      </c>
      <c r="S125" s="12"/>
    </row>
    <row r="126" spans="1:19" s="3" customFormat="1" ht="46.2" customHeight="1" x14ac:dyDescent="0.3">
      <c r="A126" s="30"/>
      <c r="B126" s="62" t="s">
        <v>710</v>
      </c>
      <c r="C126" s="15">
        <v>0</v>
      </c>
      <c r="D126" s="20" t="s">
        <v>711</v>
      </c>
      <c r="E126" s="15" t="s">
        <v>712</v>
      </c>
      <c r="F126" s="50" t="s">
        <v>366</v>
      </c>
      <c r="G126" s="19">
        <v>46286</v>
      </c>
      <c r="H126" s="26" t="s">
        <v>713</v>
      </c>
      <c r="I126" s="19">
        <v>46286</v>
      </c>
      <c r="J126" s="37">
        <f t="shared" si="9"/>
        <v>6</v>
      </c>
      <c r="K126" s="74"/>
      <c r="L126" s="16" t="s">
        <v>714</v>
      </c>
      <c r="M126" s="49">
        <v>46292</v>
      </c>
      <c r="N126" s="50" t="s">
        <v>315</v>
      </c>
      <c r="O126" s="18" t="s">
        <v>715</v>
      </c>
      <c r="P126" s="31">
        <v>46292</v>
      </c>
      <c r="Q126" s="25">
        <f t="shared" ca="1" si="10"/>
        <v>0</v>
      </c>
      <c r="R126" s="34" t="s">
        <v>2</v>
      </c>
      <c r="S126" s="12"/>
    </row>
    <row r="127" spans="1:19" s="3" customFormat="1" ht="46.2" customHeight="1" x14ac:dyDescent="0.3">
      <c r="A127" s="30"/>
      <c r="B127" s="62" t="s">
        <v>716</v>
      </c>
      <c r="C127" s="15">
        <v>0</v>
      </c>
      <c r="D127" s="20" t="s">
        <v>717</v>
      </c>
      <c r="E127" s="15" t="s">
        <v>718</v>
      </c>
      <c r="F127" s="65" t="s">
        <v>164</v>
      </c>
      <c r="G127" s="19">
        <v>46286</v>
      </c>
      <c r="H127" s="26" t="s">
        <v>719</v>
      </c>
      <c r="I127" s="19">
        <v>46286</v>
      </c>
      <c r="J127" s="37">
        <f t="shared" si="9"/>
        <v>16</v>
      </c>
      <c r="K127" s="70" t="s">
        <v>543</v>
      </c>
      <c r="L127" s="16" t="s">
        <v>866</v>
      </c>
      <c r="M127" s="49">
        <v>46302</v>
      </c>
      <c r="N127" s="50"/>
      <c r="O127" s="18" t="s">
        <v>867</v>
      </c>
      <c r="P127" s="31">
        <v>46302</v>
      </c>
      <c r="Q127" s="25">
        <f t="shared" ca="1" si="10"/>
        <v>0</v>
      </c>
      <c r="R127" s="34" t="s">
        <v>2</v>
      </c>
      <c r="S127" s="12" t="s">
        <v>805</v>
      </c>
    </row>
    <row r="128" spans="1:19" s="3" customFormat="1" ht="46.2" customHeight="1" x14ac:dyDescent="0.3">
      <c r="A128" s="30"/>
      <c r="B128" s="62" t="s">
        <v>720</v>
      </c>
      <c r="C128" s="15">
        <v>0</v>
      </c>
      <c r="D128" s="20" t="s">
        <v>721</v>
      </c>
      <c r="E128" s="15" t="s">
        <v>722</v>
      </c>
      <c r="F128" s="65" t="s">
        <v>164</v>
      </c>
      <c r="G128" s="19">
        <v>46289</v>
      </c>
      <c r="H128" s="26" t="s">
        <v>723</v>
      </c>
      <c r="I128" s="56">
        <v>46292</v>
      </c>
      <c r="J128" s="37">
        <f t="shared" si="9"/>
        <v>3</v>
      </c>
      <c r="K128" s="74"/>
      <c r="L128" s="16" t="s">
        <v>724</v>
      </c>
      <c r="M128" s="49">
        <v>46295</v>
      </c>
      <c r="N128" s="50" t="s">
        <v>315</v>
      </c>
      <c r="O128" s="18" t="s">
        <v>725</v>
      </c>
      <c r="P128" s="31">
        <v>46295</v>
      </c>
      <c r="Q128" s="25">
        <f t="shared" ca="1" si="10"/>
        <v>0</v>
      </c>
      <c r="R128" s="34" t="s">
        <v>2</v>
      </c>
      <c r="S128" s="12"/>
    </row>
    <row r="129" spans="1:19" s="3" customFormat="1" ht="46.2" customHeight="1" x14ac:dyDescent="0.3">
      <c r="A129" s="30"/>
      <c r="B129" s="62" t="s">
        <v>726</v>
      </c>
      <c r="C129" s="15">
        <v>0</v>
      </c>
      <c r="D129" s="20" t="s">
        <v>727</v>
      </c>
      <c r="E129" s="15" t="s">
        <v>728</v>
      </c>
      <c r="F129" s="65" t="s">
        <v>164</v>
      </c>
      <c r="G129" s="19">
        <v>46289</v>
      </c>
      <c r="H129" s="26" t="s">
        <v>729</v>
      </c>
      <c r="I129" s="56">
        <v>46292</v>
      </c>
      <c r="J129" s="37">
        <f t="shared" si="9"/>
        <v>9</v>
      </c>
      <c r="K129" s="70" t="s">
        <v>543</v>
      </c>
      <c r="L129" s="16" t="s">
        <v>838</v>
      </c>
      <c r="M129" s="49">
        <v>46301</v>
      </c>
      <c r="N129" s="50" t="s">
        <v>315</v>
      </c>
      <c r="O129" s="18" t="s">
        <v>839</v>
      </c>
      <c r="P129" s="31">
        <v>46301</v>
      </c>
      <c r="Q129" s="25">
        <f t="shared" ca="1" si="10"/>
        <v>0</v>
      </c>
      <c r="R129" s="34" t="s">
        <v>2</v>
      </c>
      <c r="S129" s="12" t="s">
        <v>786</v>
      </c>
    </row>
    <row r="130" spans="1:19" s="3" customFormat="1" ht="46.2" customHeight="1" x14ac:dyDescent="0.3">
      <c r="A130" s="30"/>
      <c r="B130" s="62" t="s">
        <v>730</v>
      </c>
      <c r="C130" s="15">
        <v>0</v>
      </c>
      <c r="D130" s="20" t="s">
        <v>731</v>
      </c>
      <c r="E130" s="15" t="s">
        <v>732</v>
      </c>
      <c r="F130" s="50" t="s">
        <v>733</v>
      </c>
      <c r="G130" s="19">
        <v>46289</v>
      </c>
      <c r="H130" s="26" t="s">
        <v>814</v>
      </c>
      <c r="I130" s="56">
        <v>46292</v>
      </c>
      <c r="J130" s="37">
        <f t="shared" si="9"/>
        <v>10</v>
      </c>
      <c r="K130" s="74" t="s">
        <v>315</v>
      </c>
      <c r="L130" s="16" t="s">
        <v>862</v>
      </c>
      <c r="M130" s="49">
        <v>46302</v>
      </c>
      <c r="N130" s="50"/>
      <c r="O130" s="18" t="s">
        <v>863</v>
      </c>
      <c r="P130" s="31">
        <v>46302</v>
      </c>
      <c r="Q130" s="25">
        <f t="shared" ca="1" si="10"/>
        <v>0</v>
      </c>
      <c r="R130" s="34" t="s">
        <v>2</v>
      </c>
      <c r="S130" s="12" t="s">
        <v>815</v>
      </c>
    </row>
    <row r="131" spans="1:19" s="3" customFormat="1" ht="46.2" customHeight="1" x14ac:dyDescent="0.3">
      <c r="A131" s="30"/>
      <c r="B131" s="62" t="s">
        <v>734</v>
      </c>
      <c r="C131" s="15">
        <v>0</v>
      </c>
      <c r="D131" s="20" t="s">
        <v>735</v>
      </c>
      <c r="E131" s="15" t="s">
        <v>736</v>
      </c>
      <c r="F131" s="50" t="s">
        <v>737</v>
      </c>
      <c r="G131" s="19">
        <v>46290</v>
      </c>
      <c r="H131" s="26" t="s">
        <v>738</v>
      </c>
      <c r="I131" s="56">
        <v>46292</v>
      </c>
      <c r="J131" s="37">
        <f t="shared" si="9"/>
        <v>10</v>
      </c>
      <c r="K131" s="70" t="s">
        <v>543</v>
      </c>
      <c r="L131" s="16" t="s">
        <v>850</v>
      </c>
      <c r="M131" s="49">
        <v>46302</v>
      </c>
      <c r="N131" s="50"/>
      <c r="O131" s="18" t="s">
        <v>851</v>
      </c>
      <c r="P131" s="31">
        <v>46302</v>
      </c>
      <c r="Q131" s="25">
        <f t="shared" ca="1" si="10"/>
        <v>0</v>
      </c>
      <c r="R131" s="34" t="s">
        <v>2</v>
      </c>
      <c r="S131" s="12" t="s">
        <v>787</v>
      </c>
    </row>
    <row r="132" spans="1:19" s="3" customFormat="1" ht="46.2" customHeight="1" x14ac:dyDescent="0.3">
      <c r="A132" s="30"/>
      <c r="B132" s="62" t="s">
        <v>739</v>
      </c>
      <c r="C132" s="15">
        <v>0</v>
      </c>
      <c r="D132" s="20" t="s">
        <v>740</v>
      </c>
      <c r="E132" s="15" t="s">
        <v>741</v>
      </c>
      <c r="F132" s="50" t="s">
        <v>733</v>
      </c>
      <c r="G132" s="19">
        <v>46290</v>
      </c>
      <c r="H132" s="26" t="s">
        <v>742</v>
      </c>
      <c r="I132" s="56">
        <v>46292</v>
      </c>
      <c r="J132" s="37">
        <f t="shared" si="9"/>
        <v>4</v>
      </c>
      <c r="K132" s="74" t="s">
        <v>315</v>
      </c>
      <c r="L132" s="16" t="s">
        <v>816</v>
      </c>
      <c r="M132" s="53">
        <v>46296</v>
      </c>
      <c r="N132" s="50" t="s">
        <v>315</v>
      </c>
      <c r="O132" s="18" t="s">
        <v>817</v>
      </c>
      <c r="P132" s="31">
        <v>46300</v>
      </c>
      <c r="Q132" s="25">
        <f t="shared" ca="1" si="10"/>
        <v>0</v>
      </c>
      <c r="R132" s="34" t="s">
        <v>2</v>
      </c>
      <c r="S132" s="12"/>
    </row>
    <row r="133" spans="1:19" s="3" customFormat="1" ht="46.2" customHeight="1" x14ac:dyDescent="0.3">
      <c r="A133" s="30"/>
      <c r="B133" s="62" t="s">
        <v>743</v>
      </c>
      <c r="C133" s="15">
        <v>0</v>
      </c>
      <c r="D133" s="20" t="s">
        <v>744</v>
      </c>
      <c r="E133" s="15" t="s">
        <v>745</v>
      </c>
      <c r="F133" s="50" t="s">
        <v>733</v>
      </c>
      <c r="G133" s="19">
        <v>46290</v>
      </c>
      <c r="H133" s="26" t="s">
        <v>746</v>
      </c>
      <c r="I133" s="56">
        <v>46292</v>
      </c>
      <c r="J133" s="37">
        <f t="shared" si="9"/>
        <v>4</v>
      </c>
      <c r="K133" s="74"/>
      <c r="L133" s="16" t="s">
        <v>791</v>
      </c>
      <c r="M133" s="49">
        <v>46296</v>
      </c>
      <c r="N133" s="50" t="s">
        <v>315</v>
      </c>
      <c r="O133" s="18" t="s">
        <v>790</v>
      </c>
      <c r="P133" s="31">
        <v>46300</v>
      </c>
      <c r="Q133" s="25">
        <f t="shared" ca="1" si="10"/>
        <v>0</v>
      </c>
      <c r="R133" s="34" t="s">
        <v>2</v>
      </c>
      <c r="S133" s="12"/>
    </row>
    <row r="134" spans="1:19" s="3" customFormat="1" ht="46.2" customHeight="1" x14ac:dyDescent="0.3">
      <c r="A134" s="30"/>
      <c r="B134" s="62" t="s">
        <v>747</v>
      </c>
      <c r="C134" s="15">
        <v>0</v>
      </c>
      <c r="D134" s="20" t="s">
        <v>748</v>
      </c>
      <c r="E134" s="15" t="s">
        <v>749</v>
      </c>
      <c r="F134" s="50" t="s">
        <v>343</v>
      </c>
      <c r="G134" s="19">
        <v>46293</v>
      </c>
      <c r="H134" s="26" t="s">
        <v>750</v>
      </c>
      <c r="I134" s="56">
        <v>46294</v>
      </c>
      <c r="J134" s="37">
        <f t="shared" si="9"/>
        <v>7</v>
      </c>
      <c r="K134" s="74" t="s">
        <v>315</v>
      </c>
      <c r="L134" s="16" t="s">
        <v>836</v>
      </c>
      <c r="M134" s="49">
        <v>46301</v>
      </c>
      <c r="N134" s="50" t="s">
        <v>315</v>
      </c>
      <c r="O134" s="18" t="s">
        <v>837</v>
      </c>
      <c r="P134" s="31">
        <v>46301</v>
      </c>
      <c r="Q134" s="25">
        <f t="shared" ca="1" si="10"/>
        <v>0</v>
      </c>
      <c r="R134" s="34" t="s">
        <v>2</v>
      </c>
      <c r="S134" s="12" t="s">
        <v>818</v>
      </c>
    </row>
    <row r="135" spans="1:19" s="3" customFormat="1" ht="46.2" customHeight="1" x14ac:dyDescent="0.3">
      <c r="A135" s="30"/>
      <c r="B135" s="62" t="s">
        <v>751</v>
      </c>
      <c r="C135" s="15">
        <v>0</v>
      </c>
      <c r="D135" s="20" t="s">
        <v>752</v>
      </c>
      <c r="E135" s="15" t="s">
        <v>753</v>
      </c>
      <c r="F135" s="50" t="s">
        <v>343</v>
      </c>
      <c r="G135" s="19">
        <v>46293</v>
      </c>
      <c r="H135" s="26" t="s">
        <v>754</v>
      </c>
      <c r="I135" s="56">
        <v>46294</v>
      </c>
      <c r="J135" s="37">
        <f t="shared" si="9"/>
        <v>-46294</v>
      </c>
      <c r="K135" s="74" t="s">
        <v>315</v>
      </c>
      <c r="L135" s="16"/>
      <c r="M135" s="17"/>
      <c r="N135" s="50"/>
      <c r="O135" s="18"/>
      <c r="P135" s="31"/>
      <c r="Q135" s="25">
        <f t="shared" ca="1" si="10"/>
        <v>4</v>
      </c>
      <c r="R135" s="34" t="s">
        <v>7</v>
      </c>
      <c r="S135" s="12" t="s">
        <v>819</v>
      </c>
    </row>
    <row r="136" spans="1:19" s="3" customFormat="1" ht="46.2" customHeight="1" x14ac:dyDescent="0.3">
      <c r="A136" s="30"/>
      <c r="B136" s="62" t="s">
        <v>755</v>
      </c>
      <c r="C136" s="15">
        <v>0</v>
      </c>
      <c r="D136" s="20" t="s">
        <v>756</v>
      </c>
      <c r="E136" s="15" t="s">
        <v>757</v>
      </c>
      <c r="F136" s="50" t="s">
        <v>645</v>
      </c>
      <c r="G136" s="19">
        <v>46293</v>
      </c>
      <c r="H136" s="26" t="s">
        <v>758</v>
      </c>
      <c r="I136" s="56">
        <v>46294</v>
      </c>
      <c r="J136" s="37">
        <f t="shared" si="9"/>
        <v>8</v>
      </c>
      <c r="K136" s="70" t="s">
        <v>543</v>
      </c>
      <c r="L136" s="16" t="s">
        <v>860</v>
      </c>
      <c r="M136" s="49">
        <v>46302</v>
      </c>
      <c r="N136" s="50"/>
      <c r="O136" s="18" t="s">
        <v>861</v>
      </c>
      <c r="P136" s="31">
        <v>46302</v>
      </c>
      <c r="Q136" s="25">
        <f t="shared" ca="1" si="10"/>
        <v>0</v>
      </c>
      <c r="R136" s="34" t="s">
        <v>2</v>
      </c>
      <c r="S136" s="12" t="s">
        <v>804</v>
      </c>
    </row>
    <row r="137" spans="1:19" s="3" customFormat="1" ht="46.2" customHeight="1" x14ac:dyDescent="0.3">
      <c r="A137" s="30"/>
      <c r="B137" s="62" t="s">
        <v>759</v>
      </c>
      <c r="C137" s="15">
        <v>0</v>
      </c>
      <c r="D137" s="20" t="s">
        <v>760</v>
      </c>
      <c r="E137" s="15" t="s">
        <v>761</v>
      </c>
      <c r="F137" s="50" t="s">
        <v>645</v>
      </c>
      <c r="G137" s="19">
        <v>46294</v>
      </c>
      <c r="H137" s="26" t="s">
        <v>762</v>
      </c>
      <c r="I137" s="56">
        <v>46294</v>
      </c>
      <c r="J137" s="37">
        <f t="shared" si="9"/>
        <v>-46294</v>
      </c>
      <c r="K137" s="70" t="s">
        <v>543</v>
      </c>
      <c r="L137" s="16"/>
      <c r="M137" s="17"/>
      <c r="N137" s="50"/>
      <c r="O137" s="18"/>
      <c r="P137" s="31"/>
      <c r="Q137" s="25">
        <f t="shared" ca="1" si="10"/>
        <v>3</v>
      </c>
      <c r="R137" s="34" t="s">
        <v>7</v>
      </c>
      <c r="S137" s="12" t="s">
        <v>820</v>
      </c>
    </row>
    <row r="138" spans="1:19" s="3" customFormat="1" ht="46.2" customHeight="1" x14ac:dyDescent="0.3">
      <c r="A138" s="30"/>
      <c r="B138" s="62" t="s">
        <v>763</v>
      </c>
      <c r="C138" s="15">
        <v>0</v>
      </c>
      <c r="D138" s="20" t="s">
        <v>764</v>
      </c>
      <c r="E138" s="15" t="s">
        <v>765</v>
      </c>
      <c r="F138" s="50" t="s">
        <v>348</v>
      </c>
      <c r="G138" s="19">
        <v>46296</v>
      </c>
      <c r="H138" s="26" t="s">
        <v>766</v>
      </c>
      <c r="I138" s="56">
        <v>46299</v>
      </c>
      <c r="J138" s="37">
        <f t="shared" si="9"/>
        <v>-46299</v>
      </c>
      <c r="K138" s="74"/>
      <c r="L138" s="16"/>
      <c r="M138" s="17"/>
      <c r="N138" s="50"/>
      <c r="O138" s="18"/>
      <c r="P138" s="31"/>
      <c r="Q138" s="25">
        <f t="shared" ca="1" si="10"/>
        <v>1</v>
      </c>
      <c r="R138" s="34" t="s">
        <v>7</v>
      </c>
      <c r="S138" s="12"/>
    </row>
    <row r="139" spans="1:19" s="3" customFormat="1" ht="46.2" customHeight="1" x14ac:dyDescent="0.3">
      <c r="A139" s="30"/>
      <c r="B139" s="62" t="s">
        <v>767</v>
      </c>
      <c r="C139" s="15">
        <v>0</v>
      </c>
      <c r="D139" s="20" t="s">
        <v>769</v>
      </c>
      <c r="E139" s="15" t="s">
        <v>768</v>
      </c>
      <c r="F139" s="50" t="s">
        <v>343</v>
      </c>
      <c r="G139" s="19">
        <v>46299</v>
      </c>
      <c r="H139" s="26" t="s">
        <v>770</v>
      </c>
      <c r="I139" s="56">
        <v>46299</v>
      </c>
      <c r="J139" s="37">
        <f t="shared" si="9"/>
        <v>-46299</v>
      </c>
      <c r="K139" s="74"/>
      <c r="L139" s="16"/>
      <c r="M139" s="17"/>
      <c r="N139" s="50"/>
      <c r="O139" s="18"/>
      <c r="P139" s="31"/>
      <c r="Q139" s="25">
        <f t="shared" ca="1" si="10"/>
        <v>0</v>
      </c>
      <c r="R139" s="34" t="s">
        <v>7</v>
      </c>
      <c r="S139" s="12"/>
    </row>
    <row r="140" spans="1:19" s="3" customFormat="1" ht="46.2" customHeight="1" x14ac:dyDescent="0.3">
      <c r="A140" s="30"/>
      <c r="B140" s="62" t="s">
        <v>771</v>
      </c>
      <c r="C140" s="15">
        <v>0</v>
      </c>
      <c r="D140" s="20" t="s">
        <v>772</v>
      </c>
      <c r="E140" s="15" t="s">
        <v>773</v>
      </c>
      <c r="F140" s="50" t="s">
        <v>343</v>
      </c>
      <c r="G140" s="19">
        <v>46299</v>
      </c>
      <c r="H140" s="26" t="s">
        <v>774</v>
      </c>
      <c r="I140" s="56">
        <v>46299</v>
      </c>
      <c r="J140" s="37">
        <f t="shared" si="9"/>
        <v>-46299</v>
      </c>
      <c r="K140" s="74"/>
      <c r="L140" s="16"/>
      <c r="M140" s="17"/>
      <c r="N140" s="50"/>
      <c r="O140" s="18"/>
      <c r="P140" s="31"/>
      <c r="Q140" s="25">
        <f t="shared" ca="1" si="10"/>
        <v>0</v>
      </c>
      <c r="R140" s="34" t="s">
        <v>7</v>
      </c>
      <c r="S140" s="12"/>
    </row>
    <row r="141" spans="1:19" s="3" customFormat="1" ht="46.2" customHeight="1" x14ac:dyDescent="0.3">
      <c r="A141" s="30"/>
      <c r="B141" s="62" t="s">
        <v>824</v>
      </c>
      <c r="C141" s="15">
        <v>0</v>
      </c>
      <c r="D141" s="20" t="s">
        <v>825</v>
      </c>
      <c r="E141" s="15" t="s">
        <v>826</v>
      </c>
      <c r="F141" s="50" t="s">
        <v>343</v>
      </c>
      <c r="G141" s="19">
        <v>46300</v>
      </c>
      <c r="H141" s="26" t="s">
        <v>827</v>
      </c>
      <c r="I141" s="56">
        <v>46300</v>
      </c>
      <c r="J141" s="37">
        <f t="shared" si="9"/>
        <v>1</v>
      </c>
      <c r="K141" s="74" t="s">
        <v>840</v>
      </c>
      <c r="L141" s="16" t="s">
        <v>842</v>
      </c>
      <c r="M141" s="49">
        <v>46301</v>
      </c>
      <c r="N141" s="74" t="s">
        <v>840</v>
      </c>
      <c r="O141" s="18" t="s">
        <v>843</v>
      </c>
      <c r="P141" s="31">
        <v>46302</v>
      </c>
      <c r="Q141" s="25">
        <f t="shared" ca="1" si="10"/>
        <v>0</v>
      </c>
      <c r="R141" s="34" t="s">
        <v>2</v>
      </c>
      <c r="S141" s="12"/>
    </row>
    <row r="142" spans="1:19" s="3" customFormat="1" ht="46.2" customHeight="1" x14ac:dyDescent="0.3">
      <c r="A142" s="30"/>
      <c r="B142" s="62" t="s">
        <v>782</v>
      </c>
      <c r="C142" s="15">
        <v>0</v>
      </c>
      <c r="D142" s="20" t="s">
        <v>783</v>
      </c>
      <c r="E142" s="15" t="s">
        <v>784</v>
      </c>
      <c r="F142" s="50" t="s">
        <v>682</v>
      </c>
      <c r="G142" s="19">
        <v>46299</v>
      </c>
      <c r="H142" s="26" t="s">
        <v>785</v>
      </c>
      <c r="I142" s="56">
        <v>46299</v>
      </c>
      <c r="J142" s="37">
        <f t="shared" si="9"/>
        <v>-46299</v>
      </c>
      <c r="K142" s="74"/>
      <c r="L142" s="16"/>
      <c r="M142" s="17"/>
      <c r="N142" s="50"/>
      <c r="O142" s="18"/>
      <c r="P142" s="31"/>
      <c r="Q142" s="25">
        <f t="shared" ca="1" si="10"/>
        <v>0</v>
      </c>
      <c r="R142" s="34" t="s">
        <v>7</v>
      </c>
      <c r="S142" s="12"/>
    </row>
    <row r="143" spans="1:19" s="3" customFormat="1" ht="46.2" customHeight="1" x14ac:dyDescent="0.3">
      <c r="A143" s="30"/>
      <c r="B143" s="62" t="s">
        <v>792</v>
      </c>
      <c r="C143" s="15">
        <v>0</v>
      </c>
      <c r="D143" s="20" t="s">
        <v>793</v>
      </c>
      <c r="E143" s="15" t="s">
        <v>794</v>
      </c>
      <c r="F143" s="50" t="s">
        <v>343</v>
      </c>
      <c r="G143" s="19">
        <v>46300</v>
      </c>
      <c r="H143" s="26" t="s">
        <v>795</v>
      </c>
      <c r="I143" s="56">
        <v>46300</v>
      </c>
      <c r="J143" s="37">
        <f t="shared" si="9"/>
        <v>2</v>
      </c>
      <c r="K143" s="74"/>
      <c r="L143" s="16" t="s">
        <v>852</v>
      </c>
      <c r="M143" s="49">
        <v>46302</v>
      </c>
      <c r="N143" s="50"/>
      <c r="O143" s="18" t="s">
        <v>853</v>
      </c>
      <c r="P143" s="31">
        <v>46302</v>
      </c>
      <c r="Q143" s="25">
        <f t="shared" ca="1" si="10"/>
        <v>0</v>
      </c>
      <c r="R143" s="34" t="s">
        <v>2</v>
      </c>
      <c r="S143" s="12"/>
    </row>
    <row r="144" spans="1:19" s="3" customFormat="1" ht="46.2" customHeight="1" x14ac:dyDescent="0.3">
      <c r="A144" s="30"/>
      <c r="B144" s="62" t="s">
        <v>796</v>
      </c>
      <c r="C144" s="15">
        <v>0</v>
      </c>
      <c r="D144" s="20" t="s">
        <v>797</v>
      </c>
      <c r="E144" s="15" t="s">
        <v>798</v>
      </c>
      <c r="F144" s="50" t="s">
        <v>343</v>
      </c>
      <c r="G144" s="19">
        <v>46300</v>
      </c>
      <c r="H144" s="26" t="s">
        <v>799</v>
      </c>
      <c r="I144" s="56">
        <v>46300</v>
      </c>
      <c r="J144" s="37">
        <f t="shared" si="9"/>
        <v>2</v>
      </c>
      <c r="K144" s="74"/>
      <c r="L144" s="16" t="s">
        <v>856</v>
      </c>
      <c r="M144" s="49">
        <v>46302</v>
      </c>
      <c r="N144" s="50"/>
      <c r="O144" s="18" t="s">
        <v>857</v>
      </c>
      <c r="P144" s="31">
        <v>46302</v>
      </c>
      <c r="Q144" s="25">
        <f t="shared" ca="1" si="10"/>
        <v>0</v>
      </c>
      <c r="R144" s="34" t="s">
        <v>2</v>
      </c>
      <c r="S144" s="12"/>
    </row>
    <row r="145" spans="1:19" s="3" customFormat="1" ht="46.2" customHeight="1" x14ac:dyDescent="0.3">
      <c r="A145" s="30"/>
      <c r="B145" s="62" t="s">
        <v>828</v>
      </c>
      <c r="C145" s="15">
        <v>0</v>
      </c>
      <c r="D145" s="20" t="s">
        <v>829</v>
      </c>
      <c r="E145" s="15" t="s">
        <v>830</v>
      </c>
      <c r="F145" s="50" t="s">
        <v>343</v>
      </c>
      <c r="G145" s="19">
        <v>46300</v>
      </c>
      <c r="H145" s="26" t="s">
        <v>831</v>
      </c>
      <c r="I145" s="56">
        <v>46300</v>
      </c>
      <c r="J145" s="37">
        <f t="shared" si="9"/>
        <v>2</v>
      </c>
      <c r="K145" s="74"/>
      <c r="L145" s="16" t="s">
        <v>859</v>
      </c>
      <c r="M145" s="49">
        <v>46302</v>
      </c>
      <c r="N145" s="50"/>
      <c r="O145" s="18" t="s">
        <v>858</v>
      </c>
      <c r="P145" s="31">
        <v>46302</v>
      </c>
      <c r="Q145" s="25">
        <f t="shared" ca="1" si="10"/>
        <v>0</v>
      </c>
      <c r="R145" s="34" t="s">
        <v>2</v>
      </c>
      <c r="S145" s="12"/>
    </row>
    <row r="146" spans="1:19" s="3" customFormat="1" ht="46.2" customHeight="1" x14ac:dyDescent="0.3">
      <c r="A146" s="30"/>
      <c r="B146" s="62"/>
      <c r="C146" s="15"/>
      <c r="D146" s="20"/>
      <c r="E146" s="15"/>
      <c r="F146" s="50"/>
      <c r="G146" s="19"/>
      <c r="H146" s="26"/>
      <c r="I146" s="56"/>
      <c r="J146" s="37"/>
      <c r="K146" s="74"/>
      <c r="L146" s="16"/>
      <c r="M146" s="17"/>
      <c r="N146" s="50"/>
      <c r="O146" s="18"/>
      <c r="P146" s="31"/>
      <c r="Q146" s="25"/>
      <c r="R146" s="34"/>
      <c r="S146" s="12"/>
    </row>
    <row r="147" spans="1:19" s="3" customFormat="1" ht="46.2" customHeight="1" x14ac:dyDescent="0.3">
      <c r="A147" s="30"/>
      <c r="B147" s="62"/>
      <c r="C147" s="15"/>
      <c r="D147" s="20"/>
      <c r="E147" s="15"/>
      <c r="F147" s="50"/>
      <c r="G147" s="19"/>
      <c r="H147" s="26"/>
      <c r="I147" s="56"/>
      <c r="J147" s="37"/>
      <c r="K147" s="74"/>
      <c r="L147" s="16"/>
      <c r="M147" s="17"/>
      <c r="N147" s="50"/>
      <c r="O147" s="18"/>
      <c r="P147" s="31"/>
      <c r="Q147" s="25"/>
      <c r="R147" s="34"/>
      <c r="S147" s="12"/>
    </row>
    <row r="148" spans="1:19" s="3" customFormat="1" ht="46.2" customHeight="1" x14ac:dyDescent="0.3">
      <c r="A148" s="30"/>
      <c r="B148" s="62"/>
      <c r="C148" s="15"/>
      <c r="D148" s="20"/>
      <c r="E148" s="15"/>
      <c r="F148" s="50"/>
      <c r="G148" s="19"/>
      <c r="H148" s="26"/>
      <c r="I148" s="56"/>
      <c r="J148" s="37"/>
      <c r="K148" s="74"/>
      <c r="L148" s="16"/>
      <c r="M148" s="17"/>
      <c r="N148" s="50"/>
      <c r="O148" s="18"/>
      <c r="P148" s="31"/>
      <c r="Q148" s="25"/>
      <c r="R148" s="34"/>
      <c r="S148" s="12"/>
    </row>
    <row r="149" spans="1:19" s="3" customFormat="1" ht="46.2" customHeight="1" x14ac:dyDescent="0.3">
      <c r="A149" s="30"/>
      <c r="B149" s="62"/>
      <c r="C149" s="15"/>
      <c r="D149" s="20"/>
      <c r="E149" s="15"/>
      <c r="F149" s="50"/>
      <c r="G149" s="19"/>
      <c r="H149" s="26"/>
      <c r="I149" s="56"/>
      <c r="J149" s="37"/>
      <c r="K149" s="74"/>
      <c r="L149" s="16"/>
      <c r="M149" s="17"/>
      <c r="N149" s="50"/>
      <c r="O149" s="18"/>
      <c r="P149" s="31"/>
      <c r="Q149" s="25"/>
      <c r="R149" s="34"/>
      <c r="S149" s="12"/>
    </row>
    <row r="150" spans="1:19" s="3" customFormat="1" ht="46.2" customHeight="1" x14ac:dyDescent="0.3">
      <c r="A150" s="30"/>
      <c r="B150" s="62"/>
      <c r="C150" s="15"/>
      <c r="D150" s="20"/>
      <c r="E150" s="15"/>
      <c r="F150" s="50"/>
      <c r="G150" s="19"/>
      <c r="H150" s="26"/>
      <c r="I150" s="56"/>
      <c r="J150" s="37"/>
      <c r="K150" s="74"/>
      <c r="L150" s="16"/>
      <c r="M150" s="17"/>
      <c r="N150" s="50"/>
      <c r="O150" s="18"/>
      <c r="P150" s="31"/>
      <c r="Q150" s="25"/>
      <c r="R150" s="34"/>
      <c r="S150" s="12"/>
    </row>
    <row r="151" spans="1:19" s="3" customFormat="1" ht="46.2" customHeight="1" x14ac:dyDescent="0.3">
      <c r="A151" s="30"/>
      <c r="B151" s="62"/>
      <c r="C151" s="15"/>
      <c r="D151" s="20"/>
      <c r="E151" s="15"/>
      <c r="F151" s="50"/>
      <c r="G151" s="19"/>
      <c r="H151" s="26"/>
      <c r="I151" s="56"/>
      <c r="J151" s="37"/>
      <c r="K151" s="74"/>
      <c r="L151" s="16"/>
      <c r="M151" s="17"/>
      <c r="N151" s="50"/>
      <c r="O151" s="18"/>
      <c r="P151" s="31"/>
      <c r="Q151" s="25"/>
      <c r="R151" s="34"/>
      <c r="S151" s="12"/>
    </row>
    <row r="152" spans="1:19" s="3" customFormat="1" ht="46.2" customHeight="1" x14ac:dyDescent="0.3">
      <c r="A152" s="30"/>
      <c r="B152" s="62"/>
      <c r="C152" s="15"/>
      <c r="D152" s="20"/>
      <c r="E152" s="15"/>
      <c r="F152" s="50"/>
      <c r="G152" s="19"/>
      <c r="H152" s="26"/>
      <c r="I152" s="56"/>
      <c r="J152" s="37"/>
      <c r="K152" s="74"/>
      <c r="L152" s="16"/>
      <c r="M152" s="17"/>
      <c r="N152" s="50"/>
      <c r="O152" s="18"/>
      <c r="P152" s="31"/>
      <c r="Q152" s="25"/>
      <c r="R152" s="34"/>
      <c r="S152" s="12"/>
    </row>
    <row r="153" spans="1:19" s="3" customFormat="1" ht="46.2" customHeight="1" x14ac:dyDescent="0.3">
      <c r="A153" s="30"/>
      <c r="B153" s="62"/>
      <c r="C153" s="15"/>
      <c r="D153" s="20"/>
      <c r="E153" s="15"/>
      <c r="F153" s="50"/>
      <c r="G153" s="19"/>
      <c r="H153" s="26"/>
      <c r="I153" s="56"/>
      <c r="J153" s="37"/>
      <c r="K153" s="74"/>
      <c r="L153" s="16"/>
      <c r="M153" s="17"/>
      <c r="N153" s="50"/>
      <c r="O153" s="18"/>
      <c r="P153" s="31"/>
      <c r="Q153" s="25"/>
      <c r="R153" s="34"/>
      <c r="S153" s="12"/>
    </row>
    <row r="154" spans="1:19" s="3" customFormat="1" ht="46.2" customHeight="1" x14ac:dyDescent="0.3">
      <c r="A154" s="30"/>
      <c r="B154" s="62"/>
      <c r="C154" s="15"/>
      <c r="D154" s="20"/>
      <c r="E154" s="15"/>
      <c r="F154" s="50"/>
      <c r="G154" s="19"/>
      <c r="H154" s="26"/>
      <c r="I154" s="56"/>
      <c r="J154" s="37"/>
      <c r="K154" s="74"/>
      <c r="L154" s="16"/>
      <c r="M154" s="17"/>
      <c r="N154" s="50"/>
      <c r="O154" s="18"/>
      <c r="P154" s="31"/>
      <c r="Q154" s="25"/>
      <c r="R154" s="34"/>
      <c r="S154" s="12"/>
    </row>
    <row r="155" spans="1:19" s="3" customFormat="1" ht="46.2" customHeight="1" x14ac:dyDescent="0.3">
      <c r="A155" s="30"/>
      <c r="B155" s="62"/>
      <c r="C155" s="15"/>
      <c r="D155" s="20"/>
      <c r="E155" s="15"/>
      <c r="F155" s="50"/>
      <c r="G155" s="19"/>
      <c r="H155" s="26"/>
      <c r="I155" s="56"/>
      <c r="J155" s="37"/>
      <c r="K155" s="74"/>
      <c r="L155" s="16"/>
      <c r="M155" s="17"/>
      <c r="N155" s="50"/>
      <c r="O155" s="18"/>
      <c r="P155" s="31"/>
      <c r="Q155" s="25"/>
      <c r="R155" s="34"/>
      <c r="S155" s="12"/>
    </row>
    <row r="156" spans="1:19" s="3" customFormat="1" ht="46.2" customHeight="1" x14ac:dyDescent="0.3">
      <c r="A156" s="30"/>
      <c r="B156" s="62"/>
      <c r="C156" s="15"/>
      <c r="D156" s="20"/>
      <c r="E156" s="15"/>
      <c r="F156" s="50"/>
      <c r="G156" s="19"/>
      <c r="H156" s="26"/>
      <c r="I156" s="56"/>
      <c r="J156" s="37"/>
      <c r="K156" s="74"/>
      <c r="L156" s="16"/>
      <c r="M156" s="17"/>
      <c r="N156" s="50"/>
      <c r="O156" s="18"/>
      <c r="P156" s="31"/>
      <c r="Q156" s="25"/>
      <c r="R156" s="34"/>
      <c r="S156" s="12"/>
    </row>
    <row r="157" spans="1:19" s="3" customFormat="1" ht="46.2" customHeight="1" x14ac:dyDescent="0.3">
      <c r="A157" s="30"/>
      <c r="B157" s="62"/>
      <c r="C157" s="15"/>
      <c r="D157" s="20"/>
      <c r="E157" s="15"/>
      <c r="F157" s="50"/>
      <c r="G157" s="19"/>
      <c r="H157" s="26"/>
      <c r="I157" s="56"/>
      <c r="J157" s="37"/>
      <c r="K157" s="74"/>
      <c r="L157" s="16"/>
      <c r="M157" s="17"/>
      <c r="N157" s="50"/>
      <c r="O157" s="18"/>
      <c r="P157" s="31"/>
      <c r="Q157" s="25"/>
      <c r="R157" s="34"/>
      <c r="S157" s="12"/>
    </row>
    <row r="158" spans="1:19" s="3" customFormat="1" ht="46.2" customHeight="1" x14ac:dyDescent="0.3">
      <c r="A158" s="30"/>
      <c r="B158" s="62"/>
      <c r="C158" s="15"/>
      <c r="D158" s="20"/>
      <c r="E158" s="15"/>
      <c r="F158" s="50"/>
      <c r="G158" s="19"/>
      <c r="H158" s="26"/>
      <c r="I158" s="56"/>
      <c r="J158" s="37"/>
      <c r="K158" s="74"/>
      <c r="L158" s="16"/>
      <c r="M158" s="17"/>
      <c r="N158" s="50"/>
      <c r="O158" s="18"/>
      <c r="P158" s="31"/>
      <c r="Q158" s="25"/>
      <c r="R158" s="34"/>
      <c r="S158" s="12"/>
    </row>
    <row r="159" spans="1:19" s="3" customFormat="1" ht="46.2" customHeight="1" x14ac:dyDescent="0.3">
      <c r="A159" s="30"/>
      <c r="B159" s="62"/>
      <c r="C159" s="15"/>
      <c r="D159" s="20"/>
      <c r="E159" s="15"/>
      <c r="F159" s="50"/>
      <c r="G159" s="19"/>
      <c r="H159" s="26"/>
      <c r="I159" s="56"/>
      <c r="J159" s="37"/>
      <c r="K159" s="74"/>
      <c r="L159" s="16"/>
      <c r="M159" s="17"/>
      <c r="N159" s="50"/>
      <c r="O159" s="18"/>
      <c r="P159" s="31"/>
      <c r="Q159" s="25"/>
      <c r="R159" s="34"/>
      <c r="S159" s="12"/>
    </row>
    <row r="160" spans="1:19" s="3" customFormat="1" ht="46.2" customHeight="1" x14ac:dyDescent="0.3">
      <c r="A160" s="30"/>
      <c r="B160" s="62"/>
      <c r="C160" s="15"/>
      <c r="D160" s="20"/>
      <c r="E160" s="15"/>
      <c r="F160" s="50"/>
      <c r="G160" s="19"/>
      <c r="H160" s="26"/>
      <c r="I160" s="56"/>
      <c r="J160" s="37"/>
      <c r="K160" s="74"/>
      <c r="L160" s="16"/>
      <c r="M160" s="17"/>
      <c r="N160" s="50"/>
      <c r="O160" s="18"/>
      <c r="P160" s="31"/>
      <c r="Q160" s="25"/>
      <c r="R160" s="34"/>
      <c r="S160" s="12"/>
    </row>
    <row r="161" spans="1:19" s="3" customFormat="1" ht="46.2" customHeight="1" x14ac:dyDescent="0.3">
      <c r="A161" s="30"/>
      <c r="B161" s="62"/>
      <c r="C161" s="15"/>
      <c r="D161" s="20"/>
      <c r="E161" s="15"/>
      <c r="F161" s="50"/>
      <c r="G161" s="19"/>
      <c r="H161" s="26"/>
      <c r="I161" s="56"/>
      <c r="J161" s="37"/>
      <c r="K161" s="74"/>
      <c r="L161" s="16"/>
      <c r="M161" s="17"/>
      <c r="N161" s="50"/>
      <c r="O161" s="18"/>
      <c r="P161" s="31"/>
      <c r="Q161" s="25"/>
      <c r="R161" s="34"/>
      <c r="S161" s="12"/>
    </row>
    <row r="162" spans="1:19" s="3" customFormat="1" ht="46.2" customHeight="1" x14ac:dyDescent="0.3">
      <c r="A162" s="30"/>
      <c r="B162" s="62"/>
      <c r="C162" s="15"/>
      <c r="D162" s="20"/>
      <c r="E162" s="15"/>
      <c r="F162" s="50"/>
      <c r="G162" s="19"/>
      <c r="H162" s="26"/>
      <c r="I162" s="56"/>
      <c r="J162" s="37"/>
      <c r="K162" s="74"/>
      <c r="L162" s="16"/>
      <c r="M162" s="17"/>
      <c r="N162" s="50"/>
      <c r="O162" s="18"/>
      <c r="P162" s="31"/>
      <c r="Q162" s="25"/>
      <c r="R162" s="34"/>
      <c r="S162" s="12"/>
    </row>
    <row r="163" spans="1:19" s="3" customFormat="1" ht="46.2" customHeight="1" x14ac:dyDescent="0.3">
      <c r="A163" s="30"/>
      <c r="B163" s="62"/>
      <c r="C163" s="15"/>
      <c r="D163" s="20"/>
      <c r="E163" s="15"/>
      <c r="F163" s="50"/>
      <c r="G163" s="19"/>
      <c r="H163" s="26"/>
      <c r="I163" s="56"/>
      <c r="J163" s="37"/>
      <c r="K163" s="74"/>
      <c r="L163" s="16"/>
      <c r="M163" s="17"/>
      <c r="N163" s="50"/>
      <c r="O163" s="18"/>
      <c r="P163" s="31"/>
      <c r="Q163" s="25"/>
      <c r="R163" s="34"/>
      <c r="S163" s="12"/>
    </row>
    <row r="164" spans="1:19" s="3" customFormat="1" ht="46.2" customHeight="1" x14ac:dyDescent="0.3">
      <c r="A164" s="30"/>
      <c r="B164" s="62"/>
      <c r="C164" s="15"/>
      <c r="D164" s="20"/>
      <c r="E164" s="15"/>
      <c r="F164" s="50"/>
      <c r="G164" s="19"/>
      <c r="H164" s="26"/>
      <c r="I164" s="56"/>
      <c r="J164" s="37"/>
      <c r="K164" s="74"/>
      <c r="L164" s="16"/>
      <c r="M164" s="17"/>
      <c r="N164" s="50"/>
      <c r="O164" s="18"/>
      <c r="P164" s="31"/>
      <c r="Q164" s="25"/>
      <c r="R164" s="34"/>
      <c r="S164" s="12"/>
    </row>
    <row r="165" spans="1:19" s="3" customFormat="1" ht="46.2" customHeight="1" x14ac:dyDescent="0.3">
      <c r="A165" s="30"/>
      <c r="B165" s="62"/>
      <c r="C165" s="15"/>
      <c r="D165" s="20"/>
      <c r="E165" s="15"/>
      <c r="F165" s="50"/>
      <c r="G165" s="19"/>
      <c r="H165" s="26"/>
      <c r="I165" s="56"/>
      <c r="J165" s="37"/>
      <c r="K165" s="74"/>
      <c r="L165" s="16"/>
      <c r="M165" s="17"/>
      <c r="N165" s="50"/>
      <c r="O165" s="18"/>
      <c r="P165" s="31"/>
      <c r="Q165" s="25"/>
      <c r="R165" s="34"/>
      <c r="S165" s="12"/>
    </row>
    <row r="166" spans="1:19" s="3" customFormat="1" ht="46.2" customHeight="1" x14ac:dyDescent="0.3">
      <c r="A166" s="30"/>
      <c r="B166" s="62"/>
      <c r="C166" s="15"/>
      <c r="D166" s="20"/>
      <c r="E166" s="15"/>
      <c r="F166" s="50"/>
      <c r="G166" s="19"/>
      <c r="H166" s="26"/>
      <c r="I166" s="56"/>
      <c r="J166" s="37"/>
      <c r="K166" s="74"/>
      <c r="L166" s="16"/>
      <c r="M166" s="17"/>
      <c r="N166" s="50"/>
      <c r="O166" s="18"/>
      <c r="P166" s="31"/>
      <c r="Q166" s="25"/>
      <c r="R166" s="34"/>
      <c r="S166" s="12"/>
    </row>
    <row r="167" spans="1:19" s="3" customFormat="1" ht="46.2" customHeight="1" x14ac:dyDescent="0.3">
      <c r="A167" s="30"/>
      <c r="B167" s="62"/>
      <c r="C167" s="15"/>
      <c r="D167" s="20"/>
      <c r="E167" s="15"/>
      <c r="F167" s="50"/>
      <c r="G167" s="19"/>
      <c r="H167" s="26"/>
      <c r="I167" s="56"/>
      <c r="J167" s="37"/>
      <c r="K167" s="74"/>
      <c r="L167" s="16"/>
      <c r="M167" s="17"/>
      <c r="N167" s="50"/>
      <c r="O167" s="18"/>
      <c r="P167" s="31"/>
      <c r="Q167" s="25"/>
      <c r="R167" s="34"/>
      <c r="S167" s="12"/>
    </row>
    <row r="168" spans="1:19" s="3" customFormat="1" ht="46.2" customHeight="1" x14ac:dyDescent="0.3">
      <c r="A168" s="30"/>
      <c r="B168" s="62"/>
      <c r="C168" s="15"/>
      <c r="D168" s="20"/>
      <c r="E168" s="15"/>
      <c r="F168" s="50"/>
      <c r="G168" s="19"/>
      <c r="H168" s="26"/>
      <c r="I168" s="56"/>
      <c r="J168" s="37"/>
      <c r="K168" s="74"/>
      <c r="L168" s="16"/>
      <c r="M168" s="17"/>
      <c r="N168" s="50"/>
      <c r="O168" s="18"/>
      <c r="P168" s="31"/>
      <c r="Q168" s="25"/>
      <c r="R168" s="34"/>
      <c r="S168" s="12"/>
    </row>
    <row r="169" spans="1:19" s="3" customFormat="1" ht="46.2" customHeight="1" x14ac:dyDescent="0.3">
      <c r="A169" s="30"/>
      <c r="B169" s="62"/>
      <c r="C169" s="15"/>
      <c r="D169" s="20"/>
      <c r="E169" s="15"/>
      <c r="F169" s="50"/>
      <c r="G169" s="19"/>
      <c r="H169" s="26"/>
      <c r="I169" s="29"/>
      <c r="J169" s="37"/>
      <c r="K169" s="74"/>
      <c r="L169" s="16"/>
      <c r="M169" s="17"/>
      <c r="N169" s="50"/>
      <c r="O169" s="18"/>
      <c r="P169" s="31"/>
      <c r="Q169" s="25"/>
      <c r="R169" s="34"/>
      <c r="S169" s="12"/>
    </row>
    <row r="170" spans="1:19" s="3" customFormat="1" ht="46.2" customHeight="1" x14ac:dyDescent="0.3">
      <c r="A170" s="30"/>
      <c r="B170" s="62"/>
      <c r="C170" s="15"/>
      <c r="D170" s="20"/>
      <c r="E170" s="15"/>
      <c r="F170" s="50"/>
      <c r="G170" s="19"/>
      <c r="H170" s="26"/>
      <c r="I170" s="29"/>
      <c r="J170" s="37"/>
      <c r="K170" s="74"/>
      <c r="L170" s="16"/>
      <c r="M170" s="17"/>
      <c r="N170" s="50"/>
      <c r="O170" s="18"/>
      <c r="P170" s="31"/>
      <c r="Q170" s="25"/>
      <c r="R170" s="34"/>
      <c r="S170" s="12"/>
    </row>
    <row r="171" spans="1:19" s="3" customFormat="1" ht="46.2" customHeight="1" x14ac:dyDescent="0.3">
      <c r="A171" s="30"/>
      <c r="B171" s="62"/>
      <c r="C171" s="15"/>
      <c r="D171" s="20"/>
      <c r="E171" s="15"/>
      <c r="F171" s="50"/>
      <c r="G171" s="19"/>
      <c r="H171" s="26"/>
      <c r="I171" s="29"/>
      <c r="J171" s="37"/>
      <c r="K171" s="74"/>
      <c r="L171" s="16"/>
      <c r="M171" s="17"/>
      <c r="N171" s="50"/>
      <c r="O171" s="18"/>
      <c r="P171" s="31"/>
      <c r="Q171" s="25"/>
      <c r="R171" s="34"/>
      <c r="S171" s="12"/>
    </row>
    <row r="172" spans="1:19" s="3" customFormat="1" ht="46.2" customHeight="1" x14ac:dyDescent="0.3">
      <c r="A172" s="30"/>
      <c r="B172" s="62"/>
      <c r="C172" s="15"/>
      <c r="D172" s="20"/>
      <c r="E172" s="15"/>
      <c r="F172" s="50"/>
      <c r="G172" s="19"/>
      <c r="H172" s="26"/>
      <c r="I172" s="29"/>
      <c r="J172" s="37"/>
      <c r="K172" s="74"/>
      <c r="L172" s="16"/>
      <c r="M172" s="17"/>
      <c r="N172" s="50"/>
      <c r="O172" s="18"/>
      <c r="P172" s="31"/>
      <c r="Q172" s="25"/>
      <c r="R172" s="34"/>
      <c r="S172" s="12"/>
    </row>
    <row r="173" spans="1:19" s="3" customFormat="1" ht="46.2" customHeight="1" x14ac:dyDescent="0.3">
      <c r="A173" s="30"/>
      <c r="B173" s="62"/>
      <c r="C173" s="15"/>
      <c r="D173" s="20"/>
      <c r="E173" s="15"/>
      <c r="F173" s="50"/>
      <c r="G173" s="19"/>
      <c r="H173" s="26"/>
      <c r="I173" s="29"/>
      <c r="J173" s="37"/>
      <c r="K173" s="74"/>
      <c r="L173" s="16"/>
      <c r="M173" s="17"/>
      <c r="N173" s="50"/>
      <c r="O173" s="18"/>
      <c r="P173" s="31"/>
      <c r="Q173" s="25"/>
      <c r="R173" s="34"/>
      <c r="S173" s="12"/>
    </row>
    <row r="174" spans="1:19" s="3" customFormat="1" ht="46.2" customHeight="1" x14ac:dyDescent="0.3">
      <c r="A174" s="30"/>
      <c r="B174" s="62"/>
      <c r="C174" s="15"/>
      <c r="D174" s="20"/>
      <c r="E174" s="15"/>
      <c r="F174" s="50"/>
      <c r="G174" s="19"/>
      <c r="H174" s="26"/>
      <c r="I174" s="29"/>
      <c r="J174" s="37"/>
      <c r="K174" s="74"/>
      <c r="L174" s="16"/>
      <c r="M174" s="17"/>
      <c r="N174" s="50"/>
      <c r="O174" s="18"/>
      <c r="P174" s="31"/>
      <c r="Q174" s="25"/>
      <c r="R174" s="34"/>
      <c r="S174" s="12"/>
    </row>
    <row r="175" spans="1:19" s="3" customFormat="1" ht="46.2" customHeight="1" x14ac:dyDescent="0.3">
      <c r="A175" s="30"/>
      <c r="B175" s="62"/>
      <c r="C175" s="15"/>
      <c r="D175" s="20"/>
      <c r="E175" s="15"/>
      <c r="F175" s="50"/>
      <c r="G175" s="19"/>
      <c r="H175" s="26"/>
      <c r="I175" s="29"/>
      <c r="J175" s="37"/>
      <c r="K175" s="74"/>
      <c r="L175" s="16"/>
      <c r="M175" s="17"/>
      <c r="N175" s="50"/>
      <c r="O175" s="18"/>
      <c r="P175" s="31"/>
      <c r="Q175" s="25"/>
      <c r="R175" s="34"/>
      <c r="S175" s="12"/>
    </row>
    <row r="176" spans="1:19" s="3" customFormat="1" ht="46.2" customHeight="1" x14ac:dyDescent="0.3">
      <c r="A176" s="30"/>
      <c r="B176" s="62"/>
      <c r="C176" s="15"/>
      <c r="D176" s="20"/>
      <c r="E176" s="15"/>
      <c r="F176" s="50"/>
      <c r="G176" s="19"/>
      <c r="H176" s="26"/>
      <c r="I176" s="29"/>
      <c r="J176" s="37"/>
      <c r="K176" s="74"/>
      <c r="L176" s="16"/>
      <c r="M176" s="17"/>
      <c r="N176" s="50"/>
      <c r="O176" s="18"/>
      <c r="P176" s="31"/>
      <c r="Q176" s="25"/>
      <c r="R176" s="34"/>
      <c r="S176" s="12"/>
    </row>
    <row r="177" spans="1:19" s="3" customFormat="1" ht="46.2" customHeight="1" x14ac:dyDescent="0.3">
      <c r="A177" s="30"/>
      <c r="B177" s="62"/>
      <c r="C177" s="15"/>
      <c r="D177" s="20"/>
      <c r="E177" s="15"/>
      <c r="F177" s="50"/>
      <c r="G177" s="19"/>
      <c r="H177" s="26"/>
      <c r="I177" s="29"/>
      <c r="J177" s="37"/>
      <c r="K177" s="74"/>
      <c r="L177" s="16"/>
      <c r="M177" s="17"/>
      <c r="N177" s="50"/>
      <c r="O177" s="18"/>
      <c r="P177" s="31"/>
      <c r="Q177" s="25"/>
      <c r="R177" s="34"/>
      <c r="S177" s="12"/>
    </row>
    <row r="178" spans="1:19" s="3" customFormat="1" ht="46.2" customHeight="1" x14ac:dyDescent="0.3">
      <c r="A178" s="30"/>
      <c r="B178" s="62"/>
      <c r="C178" s="15"/>
      <c r="D178" s="20"/>
      <c r="E178" s="15"/>
      <c r="F178" s="50"/>
      <c r="G178" s="19"/>
      <c r="H178" s="26"/>
      <c r="I178" s="29"/>
      <c r="J178" s="37"/>
      <c r="K178" s="74"/>
      <c r="L178" s="16"/>
      <c r="M178" s="17"/>
      <c r="N178" s="50"/>
      <c r="O178" s="18"/>
      <c r="P178" s="31"/>
      <c r="Q178" s="25"/>
      <c r="R178" s="34"/>
      <c r="S178" s="12"/>
    </row>
    <row r="179" spans="1:19" s="3" customFormat="1" ht="46.2" customHeight="1" x14ac:dyDescent="0.3">
      <c r="A179" s="30"/>
      <c r="B179" s="62"/>
      <c r="C179" s="15"/>
      <c r="D179" s="20"/>
      <c r="E179" s="15"/>
      <c r="F179" s="50"/>
      <c r="G179" s="19"/>
      <c r="H179" s="26"/>
      <c r="I179" s="29"/>
      <c r="J179" s="37"/>
      <c r="K179" s="74"/>
      <c r="L179" s="16"/>
      <c r="M179" s="17"/>
      <c r="N179" s="50"/>
      <c r="O179" s="18"/>
      <c r="P179" s="31"/>
      <c r="Q179" s="25"/>
      <c r="R179" s="34"/>
      <c r="S179" s="12"/>
    </row>
    <row r="180" spans="1:19" s="3" customFormat="1" ht="46.2" customHeight="1" x14ac:dyDescent="0.3">
      <c r="A180" s="30"/>
      <c r="B180" s="62"/>
      <c r="C180" s="15"/>
      <c r="D180" s="20"/>
      <c r="E180" s="15"/>
      <c r="F180" s="50"/>
      <c r="G180" s="19"/>
      <c r="H180" s="26"/>
      <c r="I180" s="29"/>
      <c r="J180" s="37"/>
      <c r="K180" s="74"/>
      <c r="L180" s="16"/>
      <c r="M180" s="17"/>
      <c r="N180" s="50"/>
      <c r="O180" s="18"/>
      <c r="P180" s="31"/>
      <c r="Q180" s="25"/>
      <c r="R180" s="34"/>
      <c r="S180" s="12"/>
    </row>
    <row r="181" spans="1:19" s="3" customFormat="1" ht="46.2" customHeight="1" x14ac:dyDescent="0.3">
      <c r="A181" s="30"/>
      <c r="B181" s="62"/>
      <c r="C181" s="15"/>
      <c r="D181" s="20"/>
      <c r="E181" s="15"/>
      <c r="F181" s="50"/>
      <c r="G181" s="19"/>
      <c r="H181" s="26"/>
      <c r="I181" s="29"/>
      <c r="J181" s="37"/>
      <c r="K181" s="74"/>
      <c r="L181" s="16"/>
      <c r="M181" s="17"/>
      <c r="N181" s="50"/>
      <c r="O181" s="18"/>
      <c r="P181" s="31"/>
      <c r="Q181" s="25"/>
      <c r="R181" s="34"/>
      <c r="S181" s="12"/>
    </row>
    <row r="182" spans="1:19" s="3" customFormat="1" ht="46.2" customHeight="1" x14ac:dyDescent="0.3">
      <c r="A182" s="30"/>
      <c r="B182" s="62"/>
      <c r="C182" s="15"/>
      <c r="D182" s="20"/>
      <c r="E182" s="15"/>
      <c r="F182" s="50"/>
      <c r="G182" s="19"/>
      <c r="H182" s="26"/>
      <c r="I182" s="29"/>
      <c r="J182" s="37"/>
      <c r="K182" s="74"/>
      <c r="L182" s="16"/>
      <c r="M182" s="17"/>
      <c r="N182" s="50"/>
      <c r="O182" s="18"/>
      <c r="P182" s="31"/>
      <c r="Q182" s="25"/>
      <c r="R182" s="34"/>
      <c r="S182" s="12"/>
    </row>
    <row r="183" spans="1:19" s="3" customFormat="1" ht="46.2" customHeight="1" x14ac:dyDescent="0.3">
      <c r="A183" s="30"/>
      <c r="B183" s="62"/>
      <c r="C183" s="15"/>
      <c r="D183" s="20"/>
      <c r="E183" s="15"/>
      <c r="F183" s="50"/>
      <c r="G183" s="19"/>
      <c r="H183" s="26"/>
      <c r="I183" s="29"/>
      <c r="J183" s="37"/>
      <c r="K183" s="74"/>
      <c r="L183" s="16"/>
      <c r="M183" s="17"/>
      <c r="N183" s="50"/>
      <c r="O183" s="18"/>
      <c r="P183" s="31"/>
      <c r="Q183" s="25"/>
      <c r="R183" s="34"/>
      <c r="S183" s="12"/>
    </row>
    <row r="184" spans="1:19" s="3" customFormat="1" ht="46.2" customHeight="1" x14ac:dyDescent="0.3">
      <c r="A184" s="30"/>
      <c r="B184" s="62"/>
      <c r="C184" s="15"/>
      <c r="D184" s="20"/>
      <c r="E184" s="15"/>
      <c r="F184" s="50"/>
      <c r="G184" s="19"/>
      <c r="H184" s="26"/>
      <c r="I184" s="29"/>
      <c r="J184" s="37"/>
      <c r="K184" s="74"/>
      <c r="L184" s="16"/>
      <c r="M184" s="17"/>
      <c r="N184" s="50"/>
      <c r="O184" s="18"/>
      <c r="P184" s="31"/>
      <c r="Q184" s="25"/>
      <c r="R184" s="34"/>
      <c r="S184" s="12"/>
    </row>
    <row r="185" spans="1:19" s="3" customFormat="1" ht="46.2" customHeight="1" x14ac:dyDescent="0.3">
      <c r="A185" s="30"/>
      <c r="B185" s="62"/>
      <c r="C185" s="15"/>
      <c r="D185" s="20"/>
      <c r="E185" s="15"/>
      <c r="F185" s="50"/>
      <c r="G185" s="19"/>
      <c r="H185" s="26"/>
      <c r="I185" s="29"/>
      <c r="J185" s="37"/>
      <c r="K185" s="74"/>
      <c r="L185" s="16"/>
      <c r="M185" s="17"/>
      <c r="N185" s="50"/>
      <c r="O185" s="18"/>
      <c r="P185" s="31"/>
      <c r="Q185" s="25"/>
      <c r="R185" s="34"/>
      <c r="S185" s="12"/>
    </row>
    <row r="186" spans="1:19" s="3" customFormat="1" ht="46.2" customHeight="1" x14ac:dyDescent="0.3">
      <c r="A186" s="30"/>
      <c r="B186" s="62"/>
      <c r="C186" s="15"/>
      <c r="D186" s="20"/>
      <c r="E186" s="15"/>
      <c r="F186" s="50"/>
      <c r="G186" s="19"/>
      <c r="H186" s="26"/>
      <c r="I186" s="29"/>
      <c r="J186" s="37"/>
      <c r="K186" s="74"/>
      <c r="L186" s="16"/>
      <c r="M186" s="17"/>
      <c r="N186" s="50"/>
      <c r="O186" s="18"/>
      <c r="P186" s="31"/>
      <c r="Q186" s="25"/>
      <c r="R186" s="34"/>
      <c r="S186" s="12"/>
    </row>
    <row r="187" spans="1:19" s="3" customFormat="1" ht="46.2" customHeight="1" x14ac:dyDescent="0.3">
      <c r="A187" s="30"/>
      <c r="B187" s="62"/>
      <c r="C187" s="15"/>
      <c r="D187" s="20"/>
      <c r="E187" s="15"/>
      <c r="F187" s="50"/>
      <c r="G187" s="19"/>
      <c r="H187" s="26"/>
      <c r="I187" s="29"/>
      <c r="J187" s="37"/>
      <c r="K187" s="74"/>
      <c r="L187" s="16"/>
      <c r="M187" s="17"/>
      <c r="N187" s="50"/>
      <c r="O187" s="18"/>
      <c r="P187" s="31"/>
      <c r="Q187" s="25"/>
      <c r="R187" s="34"/>
      <c r="S187" s="12"/>
    </row>
    <row r="188" spans="1:19" s="3" customFormat="1" ht="46.2" customHeight="1" x14ac:dyDescent="0.3">
      <c r="A188" s="30"/>
      <c r="B188" s="62"/>
      <c r="C188" s="15"/>
      <c r="D188" s="20"/>
      <c r="E188" s="15"/>
      <c r="F188" s="50"/>
      <c r="G188" s="19"/>
      <c r="H188" s="26"/>
      <c r="I188" s="29"/>
      <c r="J188" s="37"/>
      <c r="K188" s="74"/>
      <c r="L188" s="16"/>
      <c r="M188" s="17"/>
      <c r="N188" s="50"/>
      <c r="O188" s="18"/>
      <c r="P188" s="31"/>
      <c r="Q188" s="25"/>
      <c r="R188" s="34"/>
      <c r="S188" s="12"/>
    </row>
    <row r="189" spans="1:19" s="3" customFormat="1" ht="46.2" customHeight="1" x14ac:dyDescent="0.3">
      <c r="A189" s="30"/>
      <c r="B189" s="62"/>
      <c r="C189" s="15"/>
      <c r="D189" s="20"/>
      <c r="E189" s="15"/>
      <c r="F189" s="50"/>
      <c r="G189" s="19"/>
      <c r="H189" s="26"/>
      <c r="I189" s="29"/>
      <c r="J189" s="37"/>
      <c r="K189" s="74"/>
      <c r="L189" s="16"/>
      <c r="M189" s="17"/>
      <c r="N189" s="50"/>
      <c r="O189" s="18"/>
      <c r="P189" s="31"/>
      <c r="Q189" s="25"/>
      <c r="R189" s="34"/>
      <c r="S189" s="12"/>
    </row>
    <row r="190" spans="1:19" s="3" customFormat="1" ht="46.2" customHeight="1" x14ac:dyDescent="0.3">
      <c r="A190" s="30"/>
      <c r="B190" s="62"/>
      <c r="C190" s="15"/>
      <c r="D190" s="20"/>
      <c r="E190" s="15"/>
      <c r="F190" s="50"/>
      <c r="G190" s="19"/>
      <c r="H190" s="26"/>
      <c r="I190" s="29"/>
      <c r="J190" s="37"/>
      <c r="K190" s="74"/>
      <c r="L190" s="16"/>
      <c r="M190" s="17"/>
      <c r="N190" s="50"/>
      <c r="O190" s="18"/>
      <c r="P190" s="31"/>
      <c r="Q190" s="25"/>
      <c r="R190" s="34"/>
      <c r="S190" s="12"/>
    </row>
    <row r="191" spans="1:19" s="3" customFormat="1" ht="46.2" customHeight="1" x14ac:dyDescent="0.3">
      <c r="A191" s="30"/>
      <c r="B191" s="62"/>
      <c r="C191" s="15"/>
      <c r="D191" s="20"/>
      <c r="E191" s="15"/>
      <c r="F191" s="50"/>
      <c r="G191" s="19"/>
      <c r="H191" s="26"/>
      <c r="I191" s="29"/>
      <c r="J191" s="37"/>
      <c r="K191" s="74"/>
      <c r="L191" s="16"/>
      <c r="M191" s="17"/>
      <c r="N191" s="50"/>
      <c r="O191" s="18"/>
      <c r="P191" s="31"/>
      <c r="Q191" s="25"/>
      <c r="R191" s="34"/>
      <c r="S191" s="12"/>
    </row>
    <row r="192" spans="1:19" s="3" customFormat="1" ht="46.2" customHeight="1" x14ac:dyDescent="0.3">
      <c r="A192" s="30"/>
      <c r="B192" s="62"/>
      <c r="C192" s="15"/>
      <c r="D192" s="20"/>
      <c r="E192" s="15"/>
      <c r="F192" s="50"/>
      <c r="G192" s="19"/>
      <c r="H192" s="26"/>
      <c r="I192" s="29"/>
      <c r="J192" s="37"/>
      <c r="K192" s="74"/>
      <c r="L192" s="16"/>
      <c r="M192" s="17"/>
      <c r="N192" s="50"/>
      <c r="O192" s="18"/>
      <c r="P192" s="31"/>
      <c r="Q192" s="25"/>
      <c r="R192" s="34"/>
      <c r="S192" s="12"/>
    </row>
    <row r="193" spans="1:19" s="3" customFormat="1" ht="46.2" customHeight="1" x14ac:dyDescent="0.3">
      <c r="A193" s="30"/>
      <c r="B193" s="62"/>
      <c r="C193" s="15"/>
      <c r="D193" s="20"/>
      <c r="E193" s="15"/>
      <c r="F193" s="50"/>
      <c r="G193" s="19"/>
      <c r="H193" s="26"/>
      <c r="I193" s="29"/>
      <c r="J193" s="37"/>
      <c r="K193" s="74"/>
      <c r="L193" s="16"/>
      <c r="M193" s="17"/>
      <c r="N193" s="50"/>
      <c r="O193" s="18"/>
      <c r="P193" s="31"/>
      <c r="Q193" s="25"/>
      <c r="R193" s="34"/>
      <c r="S193" s="12"/>
    </row>
    <row r="194" spans="1:19" s="3" customFormat="1" ht="46.2" customHeight="1" x14ac:dyDescent="0.3">
      <c r="A194" s="30"/>
      <c r="B194" s="62"/>
      <c r="C194" s="15"/>
      <c r="D194" s="20"/>
      <c r="E194" s="15"/>
      <c r="F194" s="50"/>
      <c r="G194" s="19"/>
      <c r="H194" s="26"/>
      <c r="I194" s="29"/>
      <c r="J194" s="37"/>
      <c r="K194" s="74"/>
      <c r="L194" s="16"/>
      <c r="M194" s="17"/>
      <c r="N194" s="50"/>
      <c r="O194" s="18"/>
      <c r="P194" s="31"/>
      <c r="Q194" s="25"/>
      <c r="R194" s="34"/>
      <c r="S194" s="12"/>
    </row>
    <row r="195" spans="1:19" s="3" customFormat="1" ht="46.2" customHeight="1" x14ac:dyDescent="0.3">
      <c r="A195" s="30"/>
      <c r="B195" s="62"/>
      <c r="C195" s="15"/>
      <c r="D195" s="20"/>
      <c r="E195" s="15"/>
      <c r="F195" s="50"/>
      <c r="G195" s="19"/>
      <c r="H195" s="26"/>
      <c r="I195" s="29"/>
      <c r="J195" s="37"/>
      <c r="K195" s="74"/>
      <c r="L195" s="16"/>
      <c r="M195" s="17"/>
      <c r="N195" s="50"/>
      <c r="O195" s="18"/>
      <c r="P195" s="31"/>
      <c r="Q195" s="25"/>
      <c r="R195" s="34"/>
      <c r="S195" s="12"/>
    </row>
    <row r="196" spans="1:19" s="3" customFormat="1" ht="46.2" customHeight="1" x14ac:dyDescent="0.3">
      <c r="A196" s="30"/>
      <c r="B196" s="62"/>
      <c r="C196" s="15"/>
      <c r="D196" s="20"/>
      <c r="E196" s="15"/>
      <c r="F196" s="50"/>
      <c r="G196" s="19"/>
      <c r="H196" s="26"/>
      <c r="I196" s="29"/>
      <c r="J196" s="37"/>
      <c r="K196" s="74"/>
      <c r="L196" s="16"/>
      <c r="M196" s="17"/>
      <c r="N196" s="50"/>
      <c r="O196" s="18"/>
      <c r="P196" s="31"/>
      <c r="Q196" s="25"/>
      <c r="R196" s="34"/>
      <c r="S196" s="12"/>
    </row>
    <row r="197" spans="1:19" s="3" customFormat="1" ht="46.2" customHeight="1" x14ac:dyDescent="0.3">
      <c r="A197" s="30"/>
      <c r="B197" s="62"/>
      <c r="C197" s="15"/>
      <c r="D197" s="20"/>
      <c r="E197" s="15"/>
      <c r="F197" s="50"/>
      <c r="G197" s="19"/>
      <c r="H197" s="26"/>
      <c r="I197" s="29"/>
      <c r="J197" s="37"/>
      <c r="K197" s="74"/>
      <c r="L197" s="16"/>
      <c r="M197" s="17"/>
      <c r="N197" s="50"/>
      <c r="O197" s="18"/>
      <c r="P197" s="31"/>
      <c r="Q197" s="25"/>
      <c r="R197" s="34"/>
      <c r="S197" s="12"/>
    </row>
    <row r="198" spans="1:19" s="3" customFormat="1" ht="46.2" customHeight="1" x14ac:dyDescent="0.3">
      <c r="A198" s="30"/>
      <c r="B198" s="62"/>
      <c r="C198" s="15"/>
      <c r="D198" s="20"/>
      <c r="E198" s="15"/>
      <c r="F198" s="50"/>
      <c r="G198" s="19"/>
      <c r="H198" s="26"/>
      <c r="I198" s="29"/>
      <c r="J198" s="37"/>
      <c r="K198" s="74"/>
      <c r="L198" s="16"/>
      <c r="M198" s="17"/>
      <c r="N198" s="50"/>
      <c r="O198" s="18"/>
      <c r="P198" s="31"/>
      <c r="Q198" s="25"/>
      <c r="R198" s="34"/>
      <c r="S198" s="12"/>
    </row>
    <row r="199" spans="1:19" s="3" customFormat="1" ht="46.2" customHeight="1" x14ac:dyDescent="0.3">
      <c r="A199" s="30"/>
      <c r="B199" s="62"/>
      <c r="C199" s="15"/>
      <c r="D199" s="20"/>
      <c r="E199" s="15"/>
      <c r="F199" s="50"/>
      <c r="G199" s="19"/>
      <c r="H199" s="26"/>
      <c r="I199" s="29"/>
      <c r="J199" s="37"/>
      <c r="K199" s="74"/>
      <c r="L199" s="16"/>
      <c r="M199" s="17"/>
      <c r="N199" s="50"/>
      <c r="O199" s="18"/>
      <c r="P199" s="31"/>
      <c r="Q199" s="25"/>
      <c r="R199" s="34"/>
      <c r="S199" s="12"/>
    </row>
    <row r="200" spans="1:19" s="3" customFormat="1" ht="46.2" customHeight="1" x14ac:dyDescent="0.3">
      <c r="A200" s="30"/>
      <c r="B200" s="62"/>
      <c r="C200" s="15"/>
      <c r="D200" s="20"/>
      <c r="E200" s="15"/>
      <c r="F200" s="50"/>
      <c r="G200" s="19"/>
      <c r="H200" s="26"/>
      <c r="I200" s="29"/>
      <c r="J200" s="37"/>
      <c r="K200" s="74"/>
      <c r="L200" s="16"/>
      <c r="M200" s="17"/>
      <c r="N200" s="50"/>
      <c r="O200" s="18"/>
      <c r="P200" s="31"/>
      <c r="Q200" s="25"/>
      <c r="R200" s="34"/>
      <c r="S200" s="12"/>
    </row>
    <row r="201" spans="1:19" s="3" customFormat="1" ht="46.2" customHeight="1" x14ac:dyDescent="0.3">
      <c r="A201" s="30"/>
      <c r="B201" s="62"/>
      <c r="C201" s="15"/>
      <c r="D201" s="20"/>
      <c r="E201" s="15"/>
      <c r="F201" s="50"/>
      <c r="G201" s="19"/>
      <c r="H201" s="26"/>
      <c r="I201" s="29"/>
      <c r="J201" s="37"/>
      <c r="K201" s="74"/>
      <c r="L201" s="16"/>
      <c r="M201" s="17"/>
      <c r="N201" s="50"/>
      <c r="O201" s="18"/>
      <c r="P201" s="31"/>
      <c r="Q201" s="25"/>
      <c r="R201" s="34"/>
      <c r="S201" s="12"/>
    </row>
    <row r="202" spans="1:19" s="3" customFormat="1" ht="46.2" customHeight="1" x14ac:dyDescent="0.3">
      <c r="A202" s="30"/>
      <c r="B202" s="62"/>
      <c r="C202" s="15"/>
      <c r="D202" s="20"/>
      <c r="E202" s="15"/>
      <c r="F202" s="50"/>
      <c r="G202" s="19"/>
      <c r="H202" s="26"/>
      <c r="I202" s="29"/>
      <c r="J202" s="37"/>
      <c r="K202" s="74"/>
      <c r="L202" s="16"/>
      <c r="M202" s="17"/>
      <c r="N202" s="50"/>
      <c r="O202" s="18"/>
      <c r="P202" s="31"/>
      <c r="Q202" s="25"/>
      <c r="R202" s="34"/>
      <c r="S202" s="12"/>
    </row>
    <row r="203" spans="1:19" s="3" customFormat="1" ht="46.2" customHeight="1" x14ac:dyDescent="0.3">
      <c r="A203" s="30"/>
      <c r="B203" s="62"/>
      <c r="C203" s="15"/>
      <c r="D203" s="20"/>
      <c r="E203" s="15"/>
      <c r="F203" s="50"/>
      <c r="G203" s="19"/>
      <c r="H203" s="26"/>
      <c r="I203" s="29"/>
      <c r="J203" s="37"/>
      <c r="K203" s="74"/>
      <c r="L203" s="16"/>
      <c r="M203" s="17"/>
      <c r="N203" s="50"/>
      <c r="O203" s="18"/>
      <c r="P203" s="31"/>
      <c r="Q203" s="25"/>
      <c r="R203" s="34"/>
      <c r="S203" s="12"/>
    </row>
    <row r="204" spans="1:19" s="3" customFormat="1" ht="46.2" customHeight="1" x14ac:dyDescent="0.3">
      <c r="A204" s="30"/>
      <c r="B204" s="62"/>
      <c r="C204" s="15"/>
      <c r="D204" s="20"/>
      <c r="E204" s="15"/>
      <c r="F204" s="50"/>
      <c r="G204" s="19"/>
      <c r="H204" s="26"/>
      <c r="I204" s="29"/>
      <c r="J204" s="37"/>
      <c r="K204" s="74"/>
      <c r="L204" s="16"/>
      <c r="M204" s="17"/>
      <c r="N204" s="50"/>
      <c r="O204" s="18"/>
      <c r="P204" s="31"/>
      <c r="Q204" s="25"/>
      <c r="R204" s="34"/>
      <c r="S204" s="12"/>
    </row>
    <row r="205" spans="1:19" s="3" customFormat="1" ht="46.2" customHeight="1" x14ac:dyDescent="0.3">
      <c r="A205" s="30"/>
      <c r="B205" s="62"/>
      <c r="C205" s="15"/>
      <c r="D205" s="20"/>
      <c r="E205" s="15"/>
      <c r="F205" s="50"/>
      <c r="G205" s="19"/>
      <c r="H205" s="26"/>
      <c r="I205" s="29"/>
      <c r="J205" s="37"/>
      <c r="K205" s="74"/>
      <c r="L205" s="16"/>
      <c r="M205" s="17"/>
      <c r="N205" s="50"/>
      <c r="O205" s="18"/>
      <c r="P205" s="31"/>
      <c r="Q205" s="25"/>
      <c r="R205" s="34"/>
      <c r="S205" s="12"/>
    </row>
    <row r="206" spans="1:19" s="3" customFormat="1" ht="46.2" customHeight="1" x14ac:dyDescent="0.3">
      <c r="A206" s="30"/>
      <c r="B206" s="62"/>
      <c r="C206" s="15"/>
      <c r="D206" s="20"/>
      <c r="E206" s="15"/>
      <c r="F206" s="50"/>
      <c r="G206" s="19"/>
      <c r="H206" s="26"/>
      <c r="I206" s="29"/>
      <c r="J206" s="37"/>
      <c r="K206" s="74"/>
      <c r="L206" s="16"/>
      <c r="M206" s="17"/>
      <c r="N206" s="50"/>
      <c r="O206" s="18"/>
      <c r="P206" s="31"/>
      <c r="Q206" s="25"/>
      <c r="R206" s="34"/>
      <c r="S206" s="12"/>
    </row>
    <row r="207" spans="1:19" s="3" customFormat="1" ht="46.2" customHeight="1" x14ac:dyDescent="0.3">
      <c r="A207" s="30"/>
      <c r="B207" s="62"/>
      <c r="C207" s="15"/>
      <c r="D207" s="20"/>
      <c r="E207" s="15"/>
      <c r="F207" s="50"/>
      <c r="G207" s="19"/>
      <c r="H207" s="26"/>
      <c r="I207" s="29"/>
      <c r="J207" s="37"/>
      <c r="K207" s="74"/>
      <c r="L207" s="16"/>
      <c r="M207" s="17"/>
      <c r="N207" s="50"/>
      <c r="O207" s="18"/>
      <c r="P207" s="31"/>
      <c r="Q207" s="25"/>
      <c r="R207" s="34"/>
      <c r="S207" s="12"/>
    </row>
    <row r="208" spans="1:19" s="3" customFormat="1" ht="46.2" customHeight="1" x14ac:dyDescent="0.3">
      <c r="A208" s="30"/>
      <c r="B208" s="62"/>
      <c r="C208" s="15"/>
      <c r="D208" s="20"/>
      <c r="E208" s="15"/>
      <c r="F208" s="50"/>
      <c r="G208" s="19"/>
      <c r="H208" s="26"/>
      <c r="I208" s="29"/>
      <c r="J208" s="37"/>
      <c r="K208" s="74"/>
      <c r="L208" s="16"/>
      <c r="M208" s="17"/>
      <c r="N208" s="50"/>
      <c r="O208" s="18"/>
      <c r="P208" s="31"/>
      <c r="Q208" s="25"/>
      <c r="R208" s="34"/>
      <c r="S208" s="12"/>
    </row>
    <row r="209" spans="1:19" s="3" customFormat="1" ht="46.2" customHeight="1" x14ac:dyDescent="0.3">
      <c r="A209" s="30"/>
      <c r="B209" s="62"/>
      <c r="C209" s="15"/>
      <c r="D209" s="20"/>
      <c r="E209" s="15"/>
      <c r="F209" s="50"/>
      <c r="G209" s="19"/>
      <c r="H209" s="26"/>
      <c r="I209" s="29"/>
      <c r="J209" s="37"/>
      <c r="K209" s="74"/>
      <c r="L209" s="16"/>
      <c r="M209" s="17"/>
      <c r="N209" s="50"/>
      <c r="O209" s="18"/>
      <c r="P209" s="31"/>
      <c r="Q209" s="25"/>
      <c r="R209" s="34"/>
      <c r="S209" s="12"/>
    </row>
    <row r="210" spans="1:19" s="3" customFormat="1" ht="46.2" customHeight="1" x14ac:dyDescent="0.3">
      <c r="A210" s="30"/>
      <c r="B210" s="62"/>
      <c r="C210" s="15"/>
      <c r="D210" s="20"/>
      <c r="E210" s="15"/>
      <c r="F210" s="50"/>
      <c r="G210" s="19"/>
      <c r="H210" s="26"/>
      <c r="I210" s="29"/>
      <c r="J210" s="37"/>
      <c r="K210" s="74"/>
      <c r="L210" s="16"/>
      <c r="M210" s="17"/>
      <c r="N210" s="50"/>
      <c r="O210" s="18"/>
      <c r="P210" s="31"/>
      <c r="Q210" s="25"/>
      <c r="R210" s="34"/>
      <c r="S210" s="12"/>
    </row>
    <row r="211" spans="1:19" s="3" customFormat="1" ht="46.2" customHeight="1" x14ac:dyDescent="0.3">
      <c r="A211" s="30"/>
      <c r="B211" s="62"/>
      <c r="C211" s="15"/>
      <c r="D211" s="20"/>
      <c r="E211" s="15"/>
      <c r="F211" s="50"/>
      <c r="G211" s="19"/>
      <c r="H211" s="26"/>
      <c r="I211" s="29"/>
      <c r="J211" s="37"/>
      <c r="K211" s="74"/>
      <c r="L211" s="16"/>
      <c r="M211" s="17"/>
      <c r="N211" s="50"/>
      <c r="O211" s="18"/>
      <c r="P211" s="31"/>
      <c r="Q211" s="25"/>
      <c r="R211" s="34"/>
      <c r="S211" s="12"/>
    </row>
    <row r="212" spans="1:19" s="3" customFormat="1" ht="46.2" customHeight="1" x14ac:dyDescent="0.3">
      <c r="A212" s="30"/>
      <c r="B212" s="62"/>
      <c r="C212" s="15"/>
      <c r="D212" s="20"/>
      <c r="E212" s="15"/>
      <c r="F212" s="50"/>
      <c r="G212" s="19"/>
      <c r="H212" s="26"/>
      <c r="I212" s="29"/>
      <c r="J212" s="37"/>
      <c r="K212" s="74"/>
      <c r="L212" s="16"/>
      <c r="M212" s="17"/>
      <c r="N212" s="50"/>
      <c r="O212" s="18"/>
      <c r="P212" s="31"/>
      <c r="Q212" s="25"/>
      <c r="R212" s="34"/>
      <c r="S212" s="12"/>
    </row>
    <row r="213" spans="1:19" s="3" customFormat="1" ht="46.2" customHeight="1" x14ac:dyDescent="0.3">
      <c r="A213" s="30"/>
      <c r="B213" s="62"/>
      <c r="C213" s="15"/>
      <c r="D213" s="20"/>
      <c r="E213" s="15"/>
      <c r="F213" s="50"/>
      <c r="G213" s="19"/>
      <c r="H213" s="26"/>
      <c r="I213" s="29"/>
      <c r="J213" s="37"/>
      <c r="K213" s="74"/>
      <c r="L213" s="16"/>
      <c r="M213" s="17"/>
      <c r="N213" s="50"/>
      <c r="O213" s="18"/>
      <c r="P213" s="31"/>
      <c r="Q213" s="25"/>
      <c r="R213" s="34"/>
      <c r="S213" s="12"/>
    </row>
    <row r="214" spans="1:19" s="3" customFormat="1" ht="46.2" customHeight="1" x14ac:dyDescent="0.3">
      <c r="A214" s="30"/>
      <c r="B214" s="62"/>
      <c r="C214" s="15"/>
      <c r="D214" s="20"/>
      <c r="E214" s="15"/>
      <c r="F214" s="50"/>
      <c r="G214" s="19"/>
      <c r="H214" s="26"/>
      <c r="I214" s="29"/>
      <c r="J214" s="37"/>
      <c r="K214" s="74"/>
      <c r="L214" s="16"/>
      <c r="M214" s="17"/>
      <c r="N214" s="50"/>
      <c r="O214" s="18"/>
      <c r="P214" s="31"/>
      <c r="Q214" s="25"/>
      <c r="R214" s="34"/>
      <c r="S214" s="12"/>
    </row>
    <row r="215" spans="1:19" s="3" customFormat="1" ht="46.2" customHeight="1" x14ac:dyDescent="0.3">
      <c r="A215" s="30"/>
      <c r="B215" s="62"/>
      <c r="C215" s="15"/>
      <c r="D215" s="20"/>
      <c r="E215" s="15"/>
      <c r="F215" s="50"/>
      <c r="G215" s="19"/>
      <c r="H215" s="26"/>
      <c r="I215" s="29"/>
      <c r="J215" s="37"/>
      <c r="K215" s="74"/>
      <c r="L215" s="16"/>
      <c r="M215" s="17"/>
      <c r="N215" s="50"/>
      <c r="O215" s="18"/>
      <c r="P215" s="31"/>
      <c r="Q215" s="25"/>
      <c r="R215" s="34"/>
      <c r="S215" s="12"/>
    </row>
    <row r="216" spans="1:19" s="3" customFormat="1" ht="46.2" customHeight="1" x14ac:dyDescent="0.3">
      <c r="A216" s="30"/>
      <c r="B216" s="62"/>
      <c r="C216" s="15"/>
      <c r="D216" s="20"/>
      <c r="E216" s="15"/>
      <c r="F216" s="50"/>
      <c r="G216" s="19"/>
      <c r="H216" s="26"/>
      <c r="I216" s="29"/>
      <c r="J216" s="37"/>
      <c r="K216" s="74"/>
      <c r="L216" s="16"/>
      <c r="M216" s="17"/>
      <c r="N216" s="50"/>
      <c r="O216" s="18"/>
      <c r="P216" s="31"/>
      <c r="Q216" s="25"/>
      <c r="R216" s="34"/>
      <c r="S216" s="12"/>
    </row>
    <row r="217" spans="1:19" s="3" customFormat="1" ht="46.2" customHeight="1" x14ac:dyDescent="0.3">
      <c r="A217" s="30"/>
      <c r="B217" s="62"/>
      <c r="C217" s="15"/>
      <c r="D217" s="20"/>
      <c r="E217" s="15"/>
      <c r="F217" s="50"/>
      <c r="G217" s="19"/>
      <c r="H217" s="26"/>
      <c r="I217" s="29"/>
      <c r="J217" s="37"/>
      <c r="K217" s="74"/>
      <c r="L217" s="16"/>
      <c r="M217" s="17"/>
      <c r="N217" s="50"/>
      <c r="O217" s="18"/>
      <c r="P217" s="31"/>
      <c r="Q217" s="25"/>
      <c r="R217" s="34"/>
      <c r="S217" s="12"/>
    </row>
    <row r="218" spans="1:19" s="3" customFormat="1" ht="46.2" customHeight="1" x14ac:dyDescent="0.3">
      <c r="A218" s="30"/>
      <c r="B218" s="62"/>
      <c r="C218" s="15"/>
      <c r="D218" s="20"/>
      <c r="E218" s="15"/>
      <c r="F218" s="50"/>
      <c r="G218" s="19"/>
      <c r="H218" s="26"/>
      <c r="I218" s="29"/>
      <c r="J218" s="37"/>
      <c r="K218" s="74"/>
      <c r="L218" s="16"/>
      <c r="M218" s="17"/>
      <c r="N218" s="50"/>
      <c r="O218" s="18"/>
      <c r="P218" s="31"/>
      <c r="Q218" s="25"/>
      <c r="R218" s="34"/>
      <c r="S218" s="12"/>
    </row>
    <row r="219" spans="1:19" s="3" customFormat="1" ht="46.2" customHeight="1" x14ac:dyDescent="0.3">
      <c r="A219" s="30"/>
      <c r="B219" s="62"/>
      <c r="C219" s="15"/>
      <c r="D219" s="20"/>
      <c r="E219" s="15"/>
      <c r="F219" s="50"/>
      <c r="G219" s="19"/>
      <c r="H219" s="26"/>
      <c r="I219" s="29"/>
      <c r="J219" s="37"/>
      <c r="K219" s="74"/>
      <c r="L219" s="16"/>
      <c r="M219" s="17"/>
      <c r="N219" s="50"/>
      <c r="O219" s="18"/>
      <c r="P219" s="31"/>
      <c r="Q219" s="25"/>
      <c r="R219" s="34"/>
      <c r="S219" s="12"/>
    </row>
    <row r="220" spans="1:19" s="3" customFormat="1" ht="46.2" customHeight="1" x14ac:dyDescent="0.3">
      <c r="A220" s="30"/>
      <c r="B220" s="62"/>
      <c r="C220" s="15"/>
      <c r="D220" s="20"/>
      <c r="E220" s="15"/>
      <c r="F220" s="50"/>
      <c r="G220" s="19"/>
      <c r="H220" s="26"/>
      <c r="I220" s="29"/>
      <c r="J220" s="37"/>
      <c r="K220" s="74"/>
      <c r="L220" s="16"/>
      <c r="M220" s="17"/>
      <c r="N220" s="50"/>
      <c r="O220" s="18"/>
      <c r="P220" s="31"/>
      <c r="Q220" s="25"/>
      <c r="R220" s="34"/>
      <c r="S220" s="12"/>
    </row>
    <row r="221" spans="1:19" s="3" customFormat="1" ht="46.2" customHeight="1" x14ac:dyDescent="0.3">
      <c r="A221" s="30"/>
      <c r="B221" s="62"/>
      <c r="C221" s="15"/>
      <c r="D221" s="20"/>
      <c r="E221" s="15"/>
      <c r="F221" s="50"/>
      <c r="G221" s="19"/>
      <c r="H221" s="26"/>
      <c r="I221" s="29"/>
      <c r="J221" s="37"/>
      <c r="K221" s="74"/>
      <c r="L221" s="16"/>
      <c r="M221" s="17"/>
      <c r="N221" s="50"/>
      <c r="O221" s="18"/>
      <c r="P221" s="31"/>
      <c r="Q221" s="25"/>
      <c r="R221" s="34"/>
      <c r="S221" s="12"/>
    </row>
    <row r="222" spans="1:19" s="3" customFormat="1" ht="46.2" customHeight="1" x14ac:dyDescent="0.3">
      <c r="A222" s="30"/>
      <c r="B222" s="62"/>
      <c r="C222" s="15"/>
      <c r="D222" s="20"/>
      <c r="E222" s="15"/>
      <c r="F222" s="50"/>
      <c r="G222" s="19"/>
      <c r="H222" s="26"/>
      <c r="I222" s="29"/>
      <c r="J222" s="37"/>
      <c r="K222" s="74"/>
      <c r="L222" s="16"/>
      <c r="M222" s="17"/>
      <c r="N222" s="50"/>
      <c r="O222" s="18"/>
      <c r="P222" s="31"/>
      <c r="Q222" s="25"/>
      <c r="R222" s="34"/>
      <c r="S222" s="12"/>
    </row>
    <row r="223" spans="1:19" s="3" customFormat="1" ht="46.2" customHeight="1" x14ac:dyDescent="0.3">
      <c r="A223" s="30"/>
      <c r="B223" s="62"/>
      <c r="C223" s="15"/>
      <c r="D223" s="20"/>
      <c r="E223" s="15"/>
      <c r="F223" s="50"/>
      <c r="G223" s="19"/>
      <c r="H223" s="26"/>
      <c r="I223" s="29"/>
      <c r="J223" s="37"/>
      <c r="K223" s="74"/>
      <c r="L223" s="16"/>
      <c r="M223" s="17"/>
      <c r="N223" s="50"/>
      <c r="O223" s="18"/>
      <c r="P223" s="31"/>
      <c r="Q223" s="25"/>
      <c r="R223" s="34"/>
      <c r="S223" s="12"/>
    </row>
    <row r="224" spans="1:19" s="3" customFormat="1" ht="46.2" customHeight="1" x14ac:dyDescent="0.3">
      <c r="A224" s="30"/>
      <c r="B224" s="62"/>
      <c r="C224" s="15"/>
      <c r="D224" s="20"/>
      <c r="E224" s="15"/>
      <c r="F224" s="50"/>
      <c r="G224" s="19"/>
      <c r="H224" s="26"/>
      <c r="I224" s="29"/>
      <c r="J224" s="37"/>
      <c r="K224" s="74"/>
      <c r="L224" s="16"/>
      <c r="M224" s="17"/>
      <c r="N224" s="50"/>
      <c r="O224" s="18"/>
      <c r="P224" s="31"/>
      <c r="Q224" s="25"/>
      <c r="R224" s="34"/>
      <c r="S224" s="12"/>
    </row>
  </sheetData>
  <autoFilter ref="B4:S145" xr:uid="{00000000-0001-0000-0000-000000000000}"/>
  <mergeCells count="5">
    <mergeCell ref="A1:P2"/>
    <mergeCell ref="A3:G3"/>
    <mergeCell ref="L3:M3"/>
    <mergeCell ref="O3:P3"/>
    <mergeCell ref="H3:J3"/>
  </mergeCells>
  <phoneticPr fontId="7" type="noConversion"/>
  <conditionalFormatting sqref="F1:F1048576">
    <cfRule type="containsText" dxfId="9" priority="9" operator="containsText" text="ELEC">
      <formula>NOT(ISERROR(SEARCH("ELEC",F1)))</formula>
    </cfRule>
    <cfRule type="containsText" dxfId="8" priority="10" operator="containsText" text="MEC">
      <formula>NOT(ISERROR(SEARCH("MEC",F1)))</formula>
    </cfRule>
    <cfRule type="containsText" dxfId="7" priority="11" operator="containsText" text="ARC">
      <formula>NOT(ISERROR(SEARCH("ARC",F1)))</formula>
    </cfRule>
    <cfRule type="containsText" dxfId="6" priority="12" operator="containsText" text="STR">
      <formula>NOT(ISERROR(SEARCH("STR",F1)))</formula>
    </cfRule>
  </conditionalFormatting>
  <conditionalFormatting sqref="N142:N1048576 N1:N140">
    <cfRule type="containsText" dxfId="5" priority="5" operator="containsText" text="ELEC">
      <formula>NOT(ISERROR(SEARCH("ELEC",N1)))</formula>
    </cfRule>
    <cfRule type="containsText" dxfId="4" priority="6" operator="containsText" text="MEC">
      <formula>NOT(ISERROR(SEARCH("MEC",N1)))</formula>
    </cfRule>
    <cfRule type="containsText" dxfId="3" priority="7" operator="containsText" text="ARC">
      <formula>NOT(ISERROR(SEARCH("ARC",N1)))</formula>
    </cfRule>
    <cfRule type="containsText" dxfId="2" priority="8" operator="containsText" text="STR">
      <formula>NOT(ISERROR(SEARCH("STR",N1)))</formula>
    </cfRule>
  </conditionalFormatting>
  <conditionalFormatting sqref="R1:R224">
    <cfRule type="containsText" dxfId="1" priority="13" operator="containsText" text="Response ">
      <formula>NOT(ISERROR(SEARCH("Response ",R1)))</formula>
    </cfRule>
    <cfRule type="containsText" dxfId="0" priority="14" operator="containsText" text="open">
      <formula>NOT(ISERROR(SEARCH("open",R1)))</formula>
    </cfRule>
  </conditionalFormatting>
  <hyperlinks>
    <hyperlink ref="E5" r:id="rId1" display="https://mea.aconex.com/ViewCorrespondence?Correspondence_ID=1844722847&amp;CORRESPONDENCE_MAILBOX=5&amp;PROJECT_ID=1744833878&amp;RETURN_URL=%2Frsrc%2F20260529.1112%2Fen_AU_DOC%2FmailSearch%2FCorrespondenceSearch.html%3Fmailbox%3DALLBOX&amp;index=0" xr:uid="{3201B571-9AD6-4525-A730-709302E16C94}"/>
    <hyperlink ref="E6" r:id="rId2" display="https://mea.aconex.com/ViewCorrespondence?Correspondence_ID=1844708012&amp;CORRESPONDENCE_MAILBOX=5&amp;PROJECT_ID=1744833878&amp;RETURN_URL=%2Frsrc%2F20260529.1112%2Fen_AU_DOC%2FmailSearch%2FCorrespondenceSearch.html%3Fmailbox%3DALLBOX&amp;index=0" xr:uid="{DFD569AE-4577-4C19-8322-E7797F0F2654}"/>
    <hyperlink ref="E7" r:id="rId3" display="https://mea.aconex.com/ViewCorrespondence?Correspondence_ID=1844965571&amp;CORRESPONDENCE_MAILBOX=5&amp;PROJECT_ID=1744833878&amp;RETURN_URL=%2Frsrc%2F20260529.1112%2Fen_AU_DOC%2FmailSearch%2FCorrespondenceSearch.html%3Fmailbox%3DALLBOX&amp;index=0" xr:uid="{F51354B9-8670-49C8-913F-75DD6644455D}"/>
    <hyperlink ref="E8" r:id="rId4" display="https://mea.aconex.com/ViewCorrespondence?Correspondence_ID=1845176520&amp;CORRESPONDENCE_MAILBOX=5&amp;PROJECT_ID=1744833878&amp;RETURN_URL=%2Frsrc%2F20260529.1112%2Fen_AU_DOC%2FmailSearch%2FCorrespondenceSearch.html%3Fmailbox%3DALLBOX&amp;index=0" xr:uid="{CFBE8662-5196-4606-BA71-FDADF8049984}"/>
    <hyperlink ref="E9" r:id="rId5" display="https://mea.aconex.com/ViewCorrespondence?Correspondence_ID=1845176628&amp;CORRESPONDENCE_MAILBOX=5&amp;PROJECT_ID=1744833878&amp;RETURN_URL=%2Frsrc%2F20260529.1112%2Fen_AU_DOC%2FmailSearch%2FCorrespondenceSearch.html%3Fmailbox%3DALLBOX&amp;index=0" xr:uid="{B65A3B66-BCEC-47E1-8008-156694B9DE0B}"/>
    <hyperlink ref="E10" r:id="rId6" display="https://mea.aconex.com/ViewCorrespondence?Correspondence_ID=1845176804&amp;CORRESPONDENCE_MAILBOX=5&amp;PROJECT_ID=1744833878&amp;RETURN_URL=%2Frsrc%2F20260529.1112%2Fen_AU_DOC%2FmailSearch%2FCorrespondenceSearch.html%3Fmailbox%3DALLBOX&amp;index=0" xr:uid="{9B757BEF-B23F-4A23-933D-5D66A5A7DFDD}"/>
    <hyperlink ref="E11" r:id="rId7" display="https://mea.aconex.com/ViewCorrespondence?Correspondence_ID=1845177136&amp;CORRESPONDENCE_MAILBOX=5&amp;PROJECT_ID=1744833878&amp;RETURN_URL=%2Frsrc%2F20260529.1112%2Fen_AU_DOC%2FmailSearch%2FCorrespondenceSearch.html%3Fmailbox%3DALLBOX&amp;index=0" xr:uid="{969FAAAE-3167-411E-974E-7952AE153EC0}"/>
    <hyperlink ref="E12" r:id="rId8" display="https://mea.aconex.com/ViewCorrespondence?Correspondence_ID=1845232641&amp;CORRESPONDENCE_MAILBOX=5&amp;PROJECT_ID=1744833878&amp;RETURN_URL=%2Frsrc%2F20260529.1112%2Fen_AU_DOC%2FmailSearch%2FCorrespondenceSearch.html%3Fmailbox%3DALLBOX&amp;index=0" xr:uid="{6A052F9C-F01D-49EE-9383-3F8FE91D2E37}"/>
    <hyperlink ref="E13" r:id="rId9" display="https://mea.aconex.com/ViewCorrespondence?Correspondence_ID=1845270597&amp;CORRESPONDENCE_MAILBOX=5&amp;PROJECT_ID=1744833878&amp;RETURN_URL=%2Frsrc%2F20260529.1112%2Fen_AU_DOC%2FmailSearch%2FCorrespondenceSearch.html%3Fmailbox%3DALLBOX&amp;index=0" xr:uid="{81837F79-BD94-492F-A48B-60CFE2C3B620}"/>
    <hyperlink ref="E14" r:id="rId10" display="https://mea.aconex.com/ViewCorrespondence?Correspondence_ID=1845270681&amp;CORRESPONDENCE_MAILBOX=5&amp;PROJECT_ID=1744833878&amp;RETURN_URL=%2Frsrc%2F20260529.1112%2Fen_AU_DOC%2FmailSearch%2FCorrespondenceSearch.html%3Fmailbox%3DALLBOX&amp;index=0" xr:uid="{624C1C4A-D95F-4334-BF6F-D4EA2077AF0D}"/>
    <hyperlink ref="E15" r:id="rId11" display="https://mea.aconex.com/ViewCorrespondence?Correspondence_ID=1845270714&amp;CORRESPONDENCE_MAILBOX=5&amp;PROJECT_ID=1744833878&amp;RETURN_URL=%2Frsrc%2F20260529.1112%2Fen_AU_DOC%2FmailSearch%2FCorrespondenceSearch.html%3Fmailbox%3DALLBOX&amp;index=0" xr:uid="{2BD26A2A-C629-4954-BF01-C1DDAC7D6D2E}"/>
    <hyperlink ref="E16" r:id="rId12" display="https://mea.aconex.com/ViewCorrespondence?Correspondence_ID=1845270752&amp;CORRESPONDENCE_MAILBOX=5&amp;PROJECT_ID=1744833878&amp;RETURN_URL=%2Frsrc%2F20260529.1112%2Fen_AU_DOC%2FmailSearch%2FCorrespondenceSearch.html%3Fmailbox%3DALLBOX&amp;index=0" xr:uid="{5B0BF795-A3C6-42E8-A697-01B46388E295}"/>
    <hyperlink ref="E17" r:id="rId13" display="https://mea.aconex.com/ViewCorrespondence?Correspondence_ID=1845302061&amp;CORRESPONDENCE_MAILBOX=5&amp;PROJECT_ID=1744833878&amp;RETURN_URL=%2Frsrc%2F20260529.1112%2Fen_AU_DOC%2FmailSearch%2FCorrespondenceSearch.html%3Fmailbox%3DALLBOX&amp;index=0" xr:uid="{6A7C5823-9D66-46D2-8506-A669ADC2A63F}"/>
    <hyperlink ref="E30" r:id="rId14" display="https://mea.aconex.com/ViewCorrespondence?Correspondence_ID=1846380126&amp;CORRESPONDENCE_MAILBOX=1&amp;PROJECT_ID=1744833878&amp;RETURN_URL=%2Frsrc%2F20260714.1055%2Fen_AU_DOC%2FmailSearch%2FCorrespondenceSearch.html%3Fmailbox%3DINBOX&amp;index=0" xr:uid="{C599F0C7-408B-40D2-87BD-EED3DAC883D0}"/>
  </hyperlinks>
  <printOptions horizontalCentered="1"/>
  <pageMargins left="0" right="0" top="0" bottom="0" header="0" footer="0"/>
  <pageSetup paperSize="8" scale="47" orientation="landscape" verticalDpi="1200" r:id="rId15"/>
  <drawing r:id="rId1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dlc_DocId xmlns="5e47dd1e-c75c-4647-a38b-2c348db83d8f">D2EH7U7SCT2D-354287951-50289</_dlc_DocId>
    <TaxCatchAll xmlns="5e47dd1e-c75c-4647-a38b-2c348db83d8f" xsi:nil="true"/>
    <lcf76f155ced4ddcb4097134ff3c332f xmlns="85d7a996-4dca-498d-b2f5-99e3050e6495">
      <Terms xmlns="http://schemas.microsoft.com/office/infopath/2007/PartnerControls"/>
    </lcf76f155ced4ddcb4097134ff3c332f>
    <_Flow_SignoffStatus xmlns="85d7a996-4dca-498d-b2f5-99e3050e6495" xsi:nil="true"/>
    <_dlc_DocIdUrl xmlns="5e47dd1e-c75c-4647-a38b-2c348db83d8f">
      <Url>https://hillintl.sharepoint.com/sites/Extranet2/RasAlHekmaProject/_layouts/15/DocIdRedir.aspx?ID=D2EH7U7SCT2D-354287951-50289</Url>
      <Description>D2EH7U7SCT2D-354287951-50289</Description>
    </_dlc_DocIdUrl>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3F3AFB609D59E43A64C56C7F6E0C41E" ma:contentTypeVersion="13" ma:contentTypeDescription="Create a new document." ma:contentTypeScope="" ma:versionID="81e025f90cd434c0211e1a1515787bf4">
  <xsd:schema xmlns:xsd="http://www.w3.org/2001/XMLSchema" xmlns:xs="http://www.w3.org/2001/XMLSchema" xmlns:p="http://schemas.microsoft.com/office/2006/metadata/properties" xmlns:ns2="5e47dd1e-c75c-4647-a38b-2c348db83d8f" xmlns:ns3="85d7a996-4dca-498d-b2f5-99e3050e6495" targetNamespace="http://schemas.microsoft.com/office/2006/metadata/properties" ma:root="true" ma:fieldsID="20ee018d5b1fe350feec45d17926addc" ns2:_="" ns3:_="">
    <xsd:import namespace="5e47dd1e-c75c-4647-a38b-2c348db83d8f"/>
    <xsd:import namespace="85d7a996-4dca-498d-b2f5-99e3050e6495"/>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ServiceOCR" minOccurs="0"/>
                <xsd:element ref="ns3:_Flow_SignoffStatus" minOccurs="0"/>
                <xsd:element ref="ns3:MediaLengthInSecond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47dd1e-c75c-4647-a38b-2c348db83d8f"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9" nillable="true" ma:displayName="Taxonomy Catch All Column" ma:hidden="true" ma:list="{4a191d51-83f6-44e5-9a00-f37510eee67f}" ma:internalName="TaxCatchAll" ma:showField="CatchAllData" ma:web="5e47dd1e-c75c-4647-a38b-2c348db83d8f">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5d7a996-4dca-498d-b2f5-99e3050e6495"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description="" ma:hidden="true" ma:indexed="true" ma:internalName="MediaServiceDateTake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736617d-e744-49dc-8c2a-216fc45cca7f"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_Flow_SignoffStatus" ma:index="21" nillable="true" ma:displayName="Sign-off status" ma:internalName="_x0024_Resources_x003a_core_x002c_Signoff_Status">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80CC87A-8218-48DC-9725-40AF4FA75396}">
  <ds:schemaRefs>
    <ds:schemaRef ds:uri="http://schemas.microsoft.com/sharepoint/v3/contenttype/forms"/>
  </ds:schemaRefs>
</ds:datastoreItem>
</file>

<file path=customXml/itemProps2.xml><?xml version="1.0" encoding="utf-8"?>
<ds:datastoreItem xmlns:ds="http://schemas.openxmlformats.org/officeDocument/2006/customXml" ds:itemID="{AD0B1A2B-556C-4B3E-AD40-5BC25A2B7EAC}">
  <ds:schemaRefs>
    <ds:schemaRef ds:uri="http://schemas.microsoft.com/office/2006/metadata/properties"/>
    <ds:schemaRef ds:uri="http://schemas.microsoft.com/office/infopath/2007/PartnerControls"/>
    <ds:schemaRef ds:uri="5e47dd1e-c75c-4647-a38b-2c348db83d8f"/>
    <ds:schemaRef ds:uri="85d7a996-4dca-498d-b2f5-99e3050e6495"/>
  </ds:schemaRefs>
</ds:datastoreItem>
</file>

<file path=customXml/itemProps3.xml><?xml version="1.0" encoding="utf-8"?>
<ds:datastoreItem xmlns:ds="http://schemas.openxmlformats.org/officeDocument/2006/customXml" ds:itemID="{01A59FFC-15AB-4B69-B7F5-5125531B36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47dd1e-c75c-4647-a38b-2c348db83d8f"/>
    <ds:schemaRef ds:uri="85d7a996-4dca-498d-b2f5-99e3050e64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8F34E03-ECA1-4411-BD3D-9B23433D329E}">
  <ds:schemaRefs>
    <ds:schemaRef ds:uri="http://schemas.microsoft.com/sharepoint/events"/>
  </ds:schemaRefs>
</ds:datastoreItem>
</file>

<file path=docMetadata/LabelInfo.xml><?xml version="1.0" encoding="utf-8"?>
<clbl:labelList xmlns:clbl="http://schemas.microsoft.com/office/2020/mipLabelMetadata">
  <clbl:label id="{b344bd43-a15c-46f1-a818-f847f921129b}" enabled="0" method="" siteId="{b344bd43-a15c-46f1-a818-f847f921129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dp03-West</vt:lpstr>
      <vt:lpstr>'dp03-West'!Print_Area</vt:lpstr>
      <vt:lpstr>'dp03-West'!Print_Titles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Elakabawy, Wael</dc:creator>
  <cp:keywords/>
  <dc:description/>
  <cp:lastModifiedBy>Elakabawy, Wael</cp:lastModifiedBy>
  <cp:revision/>
  <cp:lastPrinted>2026-10-05T16:20:06Z</cp:lastPrinted>
  <dcterms:created xsi:type="dcterms:W3CDTF">2015-06-05T18:17:20Z</dcterms:created>
  <dcterms:modified xsi:type="dcterms:W3CDTF">2026-10-07T13:50:52Z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0x01010013F3AFB609D59E43A64C56C7F6E0C41E</vt:lpwstr>
  </property>
  <property fmtid="{D5CDD505-2E9C-101B-9397-08002B2CF9AE}" pid="3" name="_dlc_DocIdItemGuid">
    <vt:lpwstr>a292f478-4725-4719-82c6-e58a33c34334</vt:lpwstr>
  </property>
  <property fmtid="{D5CDD505-2E9C-101B-9397-08002B2CF9AE}" pid="4" name="MediaServiceImageTags">
    <vt:lpwstr/>
  </property>
</Properties>
</file>