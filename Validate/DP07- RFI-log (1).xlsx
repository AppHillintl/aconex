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hillintl.sharepoint.com/sites/Extranet2/RasAlHekmaProject/Shared Documents/Departments/Document Control/000 REH-Construction Document/(3207) - DP07/00.03 RFI Log/"/>
    </mc:Choice>
  </mc:AlternateContent>
  <xr:revisionPtr revIDLastSave="642" documentId="14_{C2A94D82-9059-49BC-9AED-78E5B4090783}" xr6:coauthVersionLast="47" xr6:coauthVersionMax="47" xr10:uidLastSave="{AFFAAC73-A5F8-4DD5-A50F-930E50ED1AC1}"/>
  <bookViews>
    <workbookView xWindow="28680" yWindow="-120" windowWidth="29040" windowHeight="15720" xr2:uid="{00000000-000D-0000-FFFF-FFFF00000000}"/>
  </bookViews>
  <sheets>
    <sheet name="GEN" sheetId="6" r:id="rId1"/>
    <sheet name="CIVIL" sheetId="1" r:id="rId2"/>
  </sheets>
  <definedNames>
    <definedName name="_xlnm._FilterDatabase" localSheetId="1" hidden="1">CIVIL!$A$4:$Q$7</definedName>
    <definedName name="_xlnm._FilterDatabase" localSheetId="0" hidden="1">GEN!$A$4:$Q$20</definedName>
    <definedName name="_xlnm.Print_Area" localSheetId="1">CIVIL!$B$1:$R$11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6" l="1"/>
  <c r="R2" i="6"/>
  <c r="R1" i="6"/>
  <c r="R1" i="1"/>
  <c r="R3" i="1"/>
  <c r="R2" i="1"/>
</calcChain>
</file>

<file path=xl/sharedStrings.xml><?xml version="1.0" encoding="utf-8"?>
<sst xmlns="http://schemas.openxmlformats.org/spreadsheetml/2006/main" count="171" uniqueCount="113">
  <si>
    <t>Request For Information Log  For Design Pakage 07 (CIVIL)</t>
  </si>
  <si>
    <t>ALL</t>
  </si>
  <si>
    <t>Response </t>
  </si>
  <si>
    <t>ACC TO HILL</t>
  </si>
  <si>
    <t>CECES to Hill</t>
  </si>
  <si>
    <t>Hill to OBMI</t>
  </si>
  <si>
    <t xml:space="preserve">OBMI to Hill </t>
  </si>
  <si>
    <t>Hill to CECES</t>
  </si>
  <si>
    <t>Dewan to  hill</t>
  </si>
  <si>
    <t>hill TO CCC</t>
  </si>
  <si>
    <t>open</t>
  </si>
  <si>
    <t>Mail No</t>
  </si>
  <si>
    <t>REV</t>
  </si>
  <si>
    <t>RFI No</t>
  </si>
  <si>
    <t>Subject</t>
  </si>
  <si>
    <t>Date</t>
  </si>
  <si>
    <t>CCCEGY-RFI-000003</t>
  </si>
  <si>
    <t>CSCECI-RFI-000001</t>
  </si>
  <si>
    <t>REH.08.26.3207- CSCEC-HILL-RFI-GEN-000001</t>
  </si>
  <si>
    <t>Master Plan Update request</t>
  </si>
  <si>
    <t>HillInt-RFI-000714</t>
  </si>
  <si>
    <t>HillInt-GNC-001755</t>
  </si>
  <si>
    <t>HillInt-RTRFI-000778</t>
  </si>
  <si>
    <t>CCCEGY-RFI-000002</t>
  </si>
  <si>
    <t>CSCECI-RFI-000002</t>
  </si>
  <si>
    <t>REH.08.26.3207- CSCEC-HILL-RFI-GEN-000002</t>
  </si>
  <si>
    <t xml:space="preserve"> Master Plan Clarification</t>
  </si>
  <si>
    <t>HillInt-RTRFI-000929</t>
  </si>
  <si>
    <t>CCCEGY-RFI-000001</t>
  </si>
  <si>
    <t>CSCECI-RFI-000003</t>
  </si>
  <si>
    <t>REH.08.26.3207- CSCEC-HILL-RFI-GEN-000003</t>
  </si>
  <si>
    <t>Excavation Level Clarification</t>
  </si>
  <si>
    <t>HillInt-RFI-000868</t>
  </si>
  <si>
    <t>OBMI-RTRFI-000028</t>
  </si>
  <si>
    <t>HillInt-RTRFI-000979</t>
  </si>
  <si>
    <t>CSCECI-RFI-000004</t>
  </si>
  <si>
    <t>REH.08.26.3207- CSCEC-HILL-RFI-GEN-000004</t>
  </si>
  <si>
    <t>Request for Missing Specifications</t>
  </si>
  <si>
    <t>HillInt-RFI-000881</t>
  </si>
  <si>
    <t>OBMI-RTRFI-000035</t>
  </si>
  <si>
    <t>HillInt-RTRFI-001111</t>
  </si>
  <si>
    <t>CSCECI-RFI-000005</t>
  </si>
  <si>
    <t>REH.08.26.3207-CSCEC-HILL-RFI-GEN-000005</t>
  </si>
  <si>
    <t>Confirmation on the Permissibility of Battered Excavation</t>
  </si>
  <si>
    <t>HillInt-RFI-000923</t>
  </si>
  <si>
    <t>OBMI-RTRFI-000036</t>
  </si>
  <si>
    <t>HillInt-RTRFI-001109</t>
  </si>
  <si>
    <t>CSCECI-RFI-000007</t>
  </si>
  <si>
    <t>REH.08.26.3207-CSCEC-HILL-RFI-GEN-000006</t>
  </si>
  <si>
    <t>Excavation Level Clarification (Regarding the Comments on the Revision 02 Excavation Drawings of Villas)</t>
  </si>
  <si>
    <t>HillInt-RFI-001088</t>
  </si>
  <si>
    <t>CSCECI-RFI-000008</t>
  </si>
  <si>
    <t>REH.08.26.3207-CSCEC-HILL-RFI-GEN-000007</t>
  </si>
  <si>
    <t>Request ETABS Model for Frozen Villas</t>
  </si>
  <si>
    <t>HillInt-GNC-003393</t>
  </si>
  <si>
    <t>CSCECI-RFI-000009</t>
  </si>
  <si>
    <t>REH.08.26.3207-CSCEC-HILL-RFI-GEN-000008</t>
  </si>
  <si>
    <t>Rebar Strength Grade</t>
  </si>
  <si>
    <t>HillInt-GNC-003515</t>
  </si>
  <si>
    <t>OBMI-GNC-000346</t>
  </si>
  <si>
    <t>HillInt-GNC-003685</t>
  </si>
  <si>
    <t>CSCECI-RFI-000010</t>
  </si>
  <si>
    <t>REH.08.26.3207-CSCEC-HILL-RFI-GEN-000009</t>
  </si>
  <si>
    <t>Substructure Waterproofing MAR Submission Delay due to Missing Drawing Details</t>
  </si>
  <si>
    <t>HillInt-GNC-003516</t>
  </si>
  <si>
    <t>OBMI-RTRFI-000048</t>
  </si>
  <si>
    <t>HillInt-GNC-004095</t>
  </si>
  <si>
    <t>CSCECI-RFI-000011</t>
  </si>
  <si>
    <t>REH.08.26.3207-CSCEC-HILL-RFI-GEN-000010</t>
  </si>
  <si>
    <t>REH.08.26.3207-CSCEC-HILL-RFI-GEN-000010 - Require for the Golf Course Updated Report</t>
  </si>
  <si>
    <t>HillInt-GNC-003814</t>
  </si>
  <si>
    <t>CSCECI-RFI-000012</t>
  </si>
  <si>
    <t>REH.08.26.3207-CSCEC-HILL-RFI-GEN-000011</t>
  </si>
  <si>
    <t>Confirmation on the mock up of villas</t>
  </si>
  <si>
    <t>HillInt-GNC-003868</t>
  </si>
  <si>
    <t>SHKECGCR-LETTER-000079</t>
  </si>
  <si>
    <t>HillInt-GNC-004284</t>
  </si>
  <si>
    <t>shaker</t>
  </si>
  <si>
    <t>CSCECI-RFI-000013</t>
  </si>
  <si>
    <t>REH.08.26.3207-CSCEC-HILL-RFI-GEN-000012</t>
  </si>
  <si>
    <t>Brand Residence Block Wall Types Advice</t>
  </si>
  <si>
    <t>HillInt-GNC-003987</t>
  </si>
  <si>
    <t>OBMI-GNC-000410</t>
  </si>
  <si>
    <t>HillInt-GNC-004410</t>
  </si>
  <si>
    <t>CSCECI-RFI-000014</t>
  </si>
  <si>
    <t>REH.08.26.3207-CSCEC-HILL-RFI-GEN-000013</t>
  </si>
  <si>
    <t xml:space="preserve"> Information Requested: Villa Excavation Zone 1 Documents not Match</t>
  </si>
  <si>
    <t>HillInt-GNC-004089</t>
  </si>
  <si>
    <t>OBMI-RTRFI-000050</t>
  </si>
  <si>
    <t>HillInt-GNC-004163</t>
  </si>
  <si>
    <t>CSCECI-RFI-000015</t>
  </si>
  <si>
    <t>REH.08.26.3207-CSCEC-HILL-RFI-GEN-000014</t>
  </si>
  <si>
    <t>Termite Control Specification</t>
  </si>
  <si>
    <t>HillInt-GNC-004103</t>
  </si>
  <si>
    <t>OBMI-GNC-000416</t>
  </si>
  <si>
    <t>HillInt-GNC-004498</t>
  </si>
  <si>
    <t>CSCECI-RFI-000017</t>
  </si>
  <si>
    <t>REH.08.26.3207-CSCEC-HILL-RFI-GEN-000015</t>
  </si>
  <si>
    <t>Concrete Compressive Strength Sampling (Cube vs. Cylinder) – Spec. Section 033000</t>
  </si>
  <si>
    <t>HillInt-GNC-004138</t>
  </si>
  <si>
    <t>OBMI-GNC-000406</t>
  </si>
  <si>
    <t>HillInt-GNC-004377</t>
  </si>
  <si>
    <t>CSCECI-RFI-000018</t>
  </si>
  <si>
    <t>REH.08.26.3207-CSCEC-HILL-RFI-GEN-000016</t>
  </si>
  <si>
    <t>Brand Residence Excavation Level Clarification</t>
  </si>
  <si>
    <t>HillInt-GNC-004373</t>
  </si>
  <si>
    <t>OBMI-GNC-000411</t>
  </si>
  <si>
    <t>HillInt-GNC-004416</t>
  </si>
  <si>
    <t>Sent To Ihab Ghaly 
HillInt-RFI-000484
21/6/2026</t>
  </si>
  <si>
    <t>Sent To Al Ain
HillInt-RFI-000516
24/6/2026</t>
  </si>
  <si>
    <t>SHKECGCR-LETTER-000076</t>
  </si>
  <si>
    <t>OBMI-RTRFI-000047</t>
  </si>
  <si>
    <t>HillInt-GNC-004863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</si>
</sst>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4"/>
      <color indexed="12"/>
      <name val="Calibri"/>
      <family val="2"/>
    </font>
    <font>
      <b/>
      <sz val="14"/>
      <color rgb="FF00B0F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gray06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5" fontId="0" fillId="0" borderId="6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0" xfId="0" applyFill="1"/>
    <xf numFmtId="0" fontId="0" fillId="4" borderId="7" xfId="0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5" fontId="0" fillId="0" borderId="1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0" fillId="4" borderId="0" xfId="0" applyFill="1" applyAlignment="1">
      <alignment wrapText="1"/>
    </xf>
    <xf numFmtId="15" fontId="0" fillId="0" borderId="18" xfId="0" applyNumberForma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15" fontId="0" fillId="8" borderId="1" xfId="0" applyNumberFormat="1" applyFill="1" applyBorder="1" applyAlignment="1">
      <alignment horizontal="center" vertical="center" wrapText="1"/>
    </xf>
    <xf numFmtId="15" fontId="7" fillId="0" borderId="6" xfId="0" applyNumberFormat="1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5" fontId="7" fillId="0" borderId="10" xfId="0" applyNumberFormat="1" applyFont="1" applyBorder="1" applyAlignment="1">
      <alignment horizontal="center" vertical="center" wrapText="1"/>
    </xf>
    <xf numFmtId="15" fontId="7" fillId="0" borderId="11" xfId="0" applyNumberFormat="1" applyFont="1" applyBorder="1" applyAlignment="1">
      <alignment horizontal="center" vertical="center" wrapText="1"/>
    </xf>
    <xf numFmtId="15" fontId="0" fillId="8" borderId="10" xfId="0" applyNumberFormat="1" applyFill="1" applyBorder="1" applyAlignment="1">
      <alignment horizontal="center" vertical="center" wrapText="1"/>
    </xf>
    <xf numFmtId="15" fontId="0" fillId="8" borderId="11" xfId="0" applyNumberFormat="1" applyFill="1" applyBorder="1" applyAlignment="1">
      <alignment horizontal="center" vertical="center" wrapText="1"/>
    </xf>
    <xf numFmtId="15" fontId="0" fillId="0" borderId="10" xfId="0" applyNumberFormat="1" applyBorder="1" applyAlignment="1">
      <alignment horizontal="center" vertical="center" wrapText="1"/>
    </xf>
    <xf numFmtId="15" fontId="0" fillId="0" borderId="11" xfId="0" applyNumberFormat="1" applyBorder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8" fillId="7" borderId="0" xfId="0" applyFont="1" applyFill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754C-DF51-4C95-B813-73104938BEE3}">
  <dimension ref="A1:U35"/>
  <sheetViews>
    <sheetView tabSelected="1" view="pageBreakPreview" topLeftCell="B1" zoomScale="70" zoomScaleNormal="100" zoomScaleSheetLayoutView="70" workbookViewId="0">
      <pane ySplit="4" topLeftCell="A10" activePane="bottomLeft" state="frozen"/>
      <selection pane="bottomLeft" activeCell="K14" sqref="K14:L14"/>
    </sheetView>
  </sheetViews>
  <sheetFormatPr defaultRowHeight="14.4" x14ac:dyDescent="0.3"/>
  <cols>
    <col min="1" max="1" width="25.109375" style="2" hidden="1" customWidth="1"/>
    <col min="2" max="2" width="29.88671875" style="2" customWidth="1"/>
    <col min="3" max="3" width="11.33203125" style="2" customWidth="1"/>
    <col min="4" max="4" width="44.88671875" style="2" customWidth="1"/>
    <col min="5" max="5" width="38" style="2" customWidth="1"/>
    <col min="6" max="8" width="17.6640625" style="2" customWidth="1"/>
    <col min="9" max="9" width="19.88671875" style="2" customWidth="1"/>
    <col min="10" max="10" width="17.6640625" style="2" customWidth="1"/>
    <col min="11" max="11" width="22.109375" style="2" customWidth="1"/>
    <col min="12" max="12" width="17.6640625" style="2" customWidth="1"/>
    <col min="13" max="14" width="17.6640625" style="2" hidden="1" customWidth="1"/>
    <col min="15" max="15" width="19.33203125" style="2" hidden="1" customWidth="1"/>
    <col min="16" max="16" width="17.6640625" style="2" hidden="1" customWidth="1"/>
    <col min="17" max="17" width="17.5546875" style="2" customWidth="1"/>
    <col min="18" max="18" width="27" style="28" customWidth="1"/>
    <col min="19" max="19" width="21.5546875" customWidth="1"/>
    <col min="20" max="20" width="23.33203125" customWidth="1"/>
  </cols>
  <sheetData>
    <row r="1" spans="1:20" ht="37.200000000000003" customHeight="1" x14ac:dyDescent="0.3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14" t="s">
        <v>1</v>
      </c>
      <c r="R1" s="3">
        <f>COUNTA(Q$5:Q$1048576)</f>
        <v>16</v>
      </c>
    </row>
    <row r="2" spans="1:20" ht="37.200000000000003" customHeight="1" x14ac:dyDescent="0.3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15" t="s">
        <v>2</v>
      </c>
      <c r="R2" s="17">
        <f>COUNTIF(Q$5:Q$1048576,"Response ")</f>
        <v>16</v>
      </c>
    </row>
    <row r="3" spans="1:20" ht="40.950000000000003" customHeight="1" x14ac:dyDescent="0.3">
      <c r="A3" s="42" t="s">
        <v>3</v>
      </c>
      <c r="B3" s="42"/>
      <c r="C3" s="57" t="s">
        <v>4</v>
      </c>
      <c r="D3" s="58"/>
      <c r="E3" s="58"/>
      <c r="F3" s="58"/>
      <c r="G3" s="59" t="s">
        <v>5</v>
      </c>
      <c r="H3" s="60"/>
      <c r="I3" s="61" t="s">
        <v>6</v>
      </c>
      <c r="J3" s="62"/>
      <c r="K3" s="63" t="s">
        <v>7</v>
      </c>
      <c r="L3" s="64"/>
      <c r="M3" s="65" t="s">
        <v>8</v>
      </c>
      <c r="N3" s="66"/>
      <c r="O3" s="65" t="s">
        <v>9</v>
      </c>
      <c r="P3" s="66"/>
      <c r="Q3" s="15" t="s">
        <v>10</v>
      </c>
      <c r="R3" s="17">
        <f>COUNTIF(Q$5:Q$1048576,"OPEN")</f>
        <v>0</v>
      </c>
    </row>
    <row r="4" spans="1:20" ht="59.4" customHeight="1" x14ac:dyDescent="0.3">
      <c r="A4" s="18" t="s">
        <v>11</v>
      </c>
      <c r="B4" s="18" t="s">
        <v>11</v>
      </c>
      <c r="C4" s="18" t="s">
        <v>12</v>
      </c>
      <c r="D4" s="19" t="s">
        <v>13</v>
      </c>
      <c r="E4" s="19" t="s">
        <v>14</v>
      </c>
      <c r="F4" s="21" t="s">
        <v>15</v>
      </c>
      <c r="G4" s="46" t="s">
        <v>11</v>
      </c>
      <c r="H4" s="34" t="s">
        <v>15</v>
      </c>
      <c r="I4" s="18" t="s">
        <v>11</v>
      </c>
      <c r="J4" s="47" t="s">
        <v>15</v>
      </c>
      <c r="K4" s="35" t="s">
        <v>11</v>
      </c>
      <c r="L4" s="21" t="s">
        <v>15</v>
      </c>
      <c r="M4" s="20" t="s">
        <v>11</v>
      </c>
      <c r="N4" s="21" t="s">
        <v>15</v>
      </c>
      <c r="O4" s="20" t="s">
        <v>11</v>
      </c>
      <c r="P4" s="21" t="s">
        <v>15</v>
      </c>
      <c r="Q4" s="22"/>
      <c r="R4" s="23"/>
    </row>
    <row r="5" spans="1:20" s="12" customFormat="1" ht="46.2" customHeight="1" x14ac:dyDescent="0.3">
      <c r="A5" s="11" t="s">
        <v>16</v>
      </c>
      <c r="B5" s="30" t="s">
        <v>17</v>
      </c>
      <c r="C5" s="30">
        <v>0</v>
      </c>
      <c r="D5" s="10" t="s">
        <v>18</v>
      </c>
      <c r="E5" s="31" t="s">
        <v>19</v>
      </c>
      <c r="F5" s="45">
        <v>46215</v>
      </c>
      <c r="G5" s="48" t="s">
        <v>20</v>
      </c>
      <c r="H5" s="37">
        <v>46215</v>
      </c>
      <c r="I5" s="37" t="s">
        <v>21</v>
      </c>
      <c r="J5" s="49">
        <v>46216</v>
      </c>
      <c r="K5" s="24" t="s">
        <v>22</v>
      </c>
      <c r="L5" s="37">
        <v>46216</v>
      </c>
      <c r="M5" s="7"/>
      <c r="N5" s="8"/>
      <c r="O5" s="25"/>
      <c r="P5" s="26"/>
      <c r="Q5" s="16" t="s">
        <v>2</v>
      </c>
      <c r="R5" s="17"/>
      <c r="S5" s="32"/>
      <c r="T5" s="32"/>
    </row>
    <row r="6" spans="1:20" s="12" customFormat="1" ht="51.6" customHeight="1" x14ac:dyDescent="0.3">
      <c r="A6" s="13" t="s">
        <v>23</v>
      </c>
      <c r="B6" s="5" t="s">
        <v>24</v>
      </c>
      <c r="C6" s="5">
        <v>0</v>
      </c>
      <c r="D6" s="10" t="s">
        <v>25</v>
      </c>
      <c r="E6" s="43" t="s">
        <v>26</v>
      </c>
      <c r="F6" s="9">
        <v>46232</v>
      </c>
      <c r="G6" s="50"/>
      <c r="H6" s="44"/>
      <c r="I6" s="44"/>
      <c r="J6" s="51"/>
      <c r="K6" s="5" t="s">
        <v>27</v>
      </c>
      <c r="L6" s="9">
        <v>46237</v>
      </c>
      <c r="M6" s="6"/>
      <c r="N6" s="4"/>
      <c r="O6" s="27"/>
      <c r="P6" s="26"/>
      <c r="Q6" s="16" t="s">
        <v>2</v>
      </c>
      <c r="R6" s="17"/>
    </row>
    <row r="7" spans="1:20" s="12" customFormat="1" ht="51.6" customHeight="1" x14ac:dyDescent="0.3">
      <c r="A7" s="13" t="s">
        <v>28</v>
      </c>
      <c r="B7" s="29" t="s">
        <v>29</v>
      </c>
      <c r="C7" s="5">
        <v>0</v>
      </c>
      <c r="D7" s="10" t="s">
        <v>30</v>
      </c>
      <c r="E7" s="1" t="s">
        <v>31</v>
      </c>
      <c r="F7" s="9">
        <v>46243</v>
      </c>
      <c r="G7" s="52" t="s">
        <v>32</v>
      </c>
      <c r="H7" s="38">
        <v>46243</v>
      </c>
      <c r="I7" s="38" t="s">
        <v>33</v>
      </c>
      <c r="J7" s="53">
        <v>46244</v>
      </c>
      <c r="K7" s="5" t="s">
        <v>34</v>
      </c>
      <c r="L7" s="9">
        <v>46244</v>
      </c>
      <c r="M7" s="6"/>
      <c r="N7" s="4"/>
      <c r="O7" s="27"/>
      <c r="P7" s="26"/>
      <c r="Q7" s="16" t="s">
        <v>2</v>
      </c>
      <c r="R7" s="17"/>
    </row>
    <row r="8" spans="1:20" s="12" customFormat="1" ht="51.6" customHeight="1" x14ac:dyDescent="0.3">
      <c r="A8" s="13"/>
      <c r="B8" s="29" t="s">
        <v>35</v>
      </c>
      <c r="C8" s="5">
        <v>0</v>
      </c>
      <c r="D8" s="10" t="s">
        <v>36</v>
      </c>
      <c r="E8" s="1" t="s">
        <v>37</v>
      </c>
      <c r="F8" s="9">
        <v>46243</v>
      </c>
      <c r="G8" s="52" t="s">
        <v>38</v>
      </c>
      <c r="H8" s="38">
        <v>46243</v>
      </c>
      <c r="I8" s="38" t="s">
        <v>39</v>
      </c>
      <c r="J8" s="53">
        <v>46259</v>
      </c>
      <c r="K8" s="5" t="s">
        <v>40</v>
      </c>
      <c r="L8" s="38">
        <v>46259</v>
      </c>
      <c r="M8" s="6"/>
      <c r="N8" s="4"/>
      <c r="O8" s="27"/>
      <c r="P8" s="26"/>
      <c r="Q8" s="16" t="s">
        <v>2</v>
      </c>
      <c r="R8" s="17"/>
    </row>
    <row r="9" spans="1:20" s="12" customFormat="1" ht="51.6" customHeight="1" x14ac:dyDescent="0.3">
      <c r="A9" s="13"/>
      <c r="B9" s="29" t="s">
        <v>41</v>
      </c>
      <c r="C9" s="1">
        <v>0</v>
      </c>
      <c r="D9" s="1" t="s">
        <v>42</v>
      </c>
      <c r="E9" s="1" t="s">
        <v>43</v>
      </c>
      <c r="F9" s="9">
        <v>46250</v>
      </c>
      <c r="G9" s="52" t="s">
        <v>44</v>
      </c>
      <c r="H9" s="38">
        <v>46250</v>
      </c>
      <c r="I9" s="38" t="s">
        <v>45</v>
      </c>
      <c r="J9" s="53">
        <v>46259</v>
      </c>
      <c r="K9" s="5" t="s">
        <v>46</v>
      </c>
      <c r="L9" s="38">
        <v>46259</v>
      </c>
      <c r="M9" s="1"/>
      <c r="N9" s="1"/>
      <c r="O9" s="39"/>
      <c r="P9" s="40"/>
      <c r="Q9" s="16" t="s">
        <v>2</v>
      </c>
      <c r="R9" s="41"/>
    </row>
    <row r="10" spans="1:20" s="12" customFormat="1" ht="51.6" customHeight="1" x14ac:dyDescent="0.3">
      <c r="A10" s="13"/>
      <c r="B10" s="1" t="s">
        <v>47</v>
      </c>
      <c r="C10" s="1">
        <v>0</v>
      </c>
      <c r="D10" s="1" t="s">
        <v>48</v>
      </c>
      <c r="E10" s="1" t="s">
        <v>49</v>
      </c>
      <c r="F10" s="9">
        <v>46264</v>
      </c>
      <c r="G10" s="52" t="s">
        <v>50</v>
      </c>
      <c r="H10" s="38">
        <v>46264</v>
      </c>
      <c r="I10" s="38"/>
      <c r="J10" s="53"/>
      <c r="K10" s="5"/>
      <c r="L10" s="38">
        <v>46294</v>
      </c>
      <c r="M10" s="1"/>
      <c r="N10" s="1"/>
      <c r="O10" s="39"/>
      <c r="P10" s="40"/>
      <c r="Q10" s="16" t="s">
        <v>2</v>
      </c>
      <c r="R10" s="41"/>
    </row>
    <row r="11" spans="1:20" s="12" customFormat="1" ht="51.6" customHeight="1" x14ac:dyDescent="0.3">
      <c r="A11" s="13"/>
      <c r="B11" s="1" t="s">
        <v>51</v>
      </c>
      <c r="C11" s="1">
        <v>0</v>
      </c>
      <c r="D11" s="1" t="s">
        <v>52</v>
      </c>
      <c r="E11" s="1" t="s">
        <v>53</v>
      </c>
      <c r="F11" s="9">
        <v>46274</v>
      </c>
      <c r="G11" s="52" t="s">
        <v>54</v>
      </c>
      <c r="H11" s="38">
        <v>46274</v>
      </c>
      <c r="I11" s="38"/>
      <c r="J11" s="53"/>
      <c r="K11" s="5" t="s">
        <v>110</v>
      </c>
      <c r="L11" s="38">
        <v>46287</v>
      </c>
      <c r="M11" s="1"/>
      <c r="N11" s="1"/>
      <c r="O11" s="39"/>
      <c r="P11" s="40"/>
      <c r="Q11" s="16" t="s">
        <v>2</v>
      </c>
      <c r="R11" s="41"/>
    </row>
    <row r="12" spans="1:20" s="12" customFormat="1" ht="51.6" customHeight="1" x14ac:dyDescent="0.3">
      <c r="A12" s="13"/>
      <c r="B12" s="29" t="s">
        <v>55</v>
      </c>
      <c r="C12" s="1">
        <v>0</v>
      </c>
      <c r="D12" s="1" t="s">
        <v>56</v>
      </c>
      <c r="E12" s="1" t="s">
        <v>57</v>
      </c>
      <c r="F12" s="9">
        <v>46275</v>
      </c>
      <c r="G12" s="52" t="s">
        <v>58</v>
      </c>
      <c r="H12" s="38">
        <v>46277</v>
      </c>
      <c r="I12" s="38" t="s">
        <v>59</v>
      </c>
      <c r="J12" s="53">
        <v>46280</v>
      </c>
      <c r="K12" s="5" t="s">
        <v>60</v>
      </c>
      <c r="L12" s="38">
        <v>46280</v>
      </c>
      <c r="M12" s="6"/>
      <c r="N12" s="4"/>
      <c r="O12" s="27"/>
      <c r="P12" s="26"/>
      <c r="Q12" s="16" t="s">
        <v>2</v>
      </c>
      <c r="R12" s="17"/>
    </row>
    <row r="13" spans="1:20" s="12" customFormat="1" ht="51.6" customHeight="1" x14ac:dyDescent="0.3">
      <c r="A13" s="13"/>
      <c r="B13" s="29" t="s">
        <v>61</v>
      </c>
      <c r="C13" s="1">
        <v>0</v>
      </c>
      <c r="D13" s="1" t="s">
        <v>62</v>
      </c>
      <c r="E13" s="1" t="s">
        <v>63</v>
      </c>
      <c r="F13" s="9">
        <v>46275</v>
      </c>
      <c r="G13" s="52" t="s">
        <v>64</v>
      </c>
      <c r="H13" s="38">
        <v>46277</v>
      </c>
      <c r="I13" s="38" t="s">
        <v>65</v>
      </c>
      <c r="J13" s="53">
        <v>46288</v>
      </c>
      <c r="K13" s="5" t="s">
        <v>66</v>
      </c>
      <c r="L13" s="9">
        <v>46288</v>
      </c>
      <c r="M13" s="6"/>
      <c r="N13" s="4"/>
      <c r="O13" s="27"/>
      <c r="P13" s="26"/>
      <c r="Q13" s="16" t="s">
        <v>2</v>
      </c>
      <c r="R13" s="17"/>
    </row>
    <row r="14" spans="1:20" s="12" customFormat="1" ht="51.6" customHeight="1" x14ac:dyDescent="0.3">
      <c r="A14" s="13"/>
      <c r="B14" s="29" t="s">
        <v>67</v>
      </c>
      <c r="C14" s="5">
        <v>0</v>
      </c>
      <c r="D14" s="1" t="s">
        <v>68</v>
      </c>
      <c r="E14" s="1" t="s">
        <v>69</v>
      </c>
      <c r="F14" s="9">
        <v>46282</v>
      </c>
      <c r="G14" s="52" t="s">
        <v>70</v>
      </c>
      <c r="H14" s="38">
        <v>46282</v>
      </c>
      <c r="I14" s="38" t="s">
        <v>111</v>
      </c>
      <c r="J14" s="53">
        <v>46287</v>
      </c>
      <c r="K14" s="5" t="s">
        <v>112</v>
      </c>
      <c r="L14" s="9">
        <v>46301</v>
      </c>
      <c r="M14" s="6"/>
      <c r="N14" s="4"/>
      <c r="O14" s="27"/>
      <c r="P14" s="26"/>
      <c r="Q14" s="16" t="s">
        <v>2</v>
      </c>
      <c r="R14" s="17"/>
    </row>
    <row r="15" spans="1:20" s="12" customFormat="1" ht="51.6" customHeight="1" x14ac:dyDescent="0.3">
      <c r="A15" s="13"/>
      <c r="B15" s="29" t="s">
        <v>71</v>
      </c>
      <c r="C15" s="5">
        <v>0</v>
      </c>
      <c r="D15" s="1" t="s">
        <v>72</v>
      </c>
      <c r="E15" s="1" t="s">
        <v>73</v>
      </c>
      <c r="F15" s="9">
        <v>46282</v>
      </c>
      <c r="G15" s="52" t="s">
        <v>74</v>
      </c>
      <c r="H15" s="38">
        <v>46284</v>
      </c>
      <c r="I15" s="38" t="s">
        <v>75</v>
      </c>
      <c r="J15" s="53">
        <v>46292</v>
      </c>
      <c r="K15" s="5" t="s">
        <v>76</v>
      </c>
      <c r="L15" s="9">
        <v>46292</v>
      </c>
      <c r="M15" s="52"/>
      <c r="N15" s="38"/>
      <c r="O15" s="38"/>
      <c r="P15" s="53"/>
      <c r="Q15" s="16" t="s">
        <v>2</v>
      </c>
      <c r="R15" s="17"/>
      <c r="S15" s="54" t="s">
        <v>77</v>
      </c>
    </row>
    <row r="16" spans="1:20" s="12" customFormat="1" ht="51.6" customHeight="1" x14ac:dyDescent="0.3">
      <c r="A16" s="13"/>
      <c r="B16" s="29" t="s">
        <v>78</v>
      </c>
      <c r="C16" s="5">
        <v>0</v>
      </c>
      <c r="D16" s="1" t="s">
        <v>79</v>
      </c>
      <c r="E16" s="1" t="s">
        <v>80</v>
      </c>
      <c r="F16" s="9">
        <v>46285</v>
      </c>
      <c r="G16" s="52" t="s">
        <v>81</v>
      </c>
      <c r="H16" s="38">
        <v>46286</v>
      </c>
      <c r="I16" s="38" t="s">
        <v>82</v>
      </c>
      <c r="J16" s="53">
        <v>46294</v>
      </c>
      <c r="K16" s="5" t="s">
        <v>83</v>
      </c>
      <c r="L16" s="9">
        <v>46294</v>
      </c>
      <c r="M16" s="6"/>
      <c r="N16" s="4"/>
      <c r="O16" s="27"/>
      <c r="P16" s="26"/>
      <c r="Q16" s="16" t="s">
        <v>2</v>
      </c>
      <c r="R16" s="17"/>
    </row>
    <row r="17" spans="1:21" s="12" customFormat="1" ht="51.6" customHeight="1" x14ac:dyDescent="0.3">
      <c r="A17" s="13"/>
      <c r="B17" s="29" t="s">
        <v>84</v>
      </c>
      <c r="C17" s="5">
        <v>0</v>
      </c>
      <c r="D17" s="1" t="s">
        <v>85</v>
      </c>
      <c r="E17" s="1" t="s">
        <v>86</v>
      </c>
      <c r="F17" s="9">
        <v>46287</v>
      </c>
      <c r="G17" s="52" t="s">
        <v>87</v>
      </c>
      <c r="H17" s="38">
        <v>46287</v>
      </c>
      <c r="I17" s="38" t="s">
        <v>88</v>
      </c>
      <c r="J17" s="53">
        <v>46289</v>
      </c>
      <c r="K17" s="5" t="s">
        <v>89</v>
      </c>
      <c r="L17" s="9">
        <v>46289</v>
      </c>
      <c r="M17" s="6"/>
      <c r="N17" s="4"/>
      <c r="O17" s="27"/>
      <c r="P17" s="26"/>
      <c r="Q17" s="15" t="s">
        <v>2</v>
      </c>
      <c r="R17" s="17"/>
    </row>
    <row r="18" spans="1:21" s="12" customFormat="1" ht="51.6" customHeight="1" x14ac:dyDescent="0.3">
      <c r="A18" s="13"/>
      <c r="B18" s="29" t="s">
        <v>90</v>
      </c>
      <c r="C18" s="5">
        <v>0</v>
      </c>
      <c r="D18" s="1" t="s">
        <v>91</v>
      </c>
      <c r="E18" s="1" t="s">
        <v>92</v>
      </c>
      <c r="F18" s="9">
        <v>46288</v>
      </c>
      <c r="G18" s="52" t="s">
        <v>93</v>
      </c>
      <c r="H18" s="38">
        <v>46288</v>
      </c>
      <c r="I18" s="38" t="s">
        <v>94</v>
      </c>
      <c r="J18" s="53">
        <v>46295</v>
      </c>
      <c r="K18" s="5" t="s">
        <v>95</v>
      </c>
      <c r="L18" s="9">
        <v>46295</v>
      </c>
      <c r="M18" s="6"/>
      <c r="N18" s="4"/>
      <c r="O18" s="27"/>
      <c r="P18" s="26"/>
      <c r="Q18" s="15" t="s">
        <v>2</v>
      </c>
      <c r="R18" s="17"/>
    </row>
    <row r="19" spans="1:21" s="12" customFormat="1" ht="51.6" customHeight="1" x14ac:dyDescent="0.3">
      <c r="A19" s="13"/>
      <c r="B19" s="29" t="s">
        <v>96</v>
      </c>
      <c r="C19" s="5">
        <v>0</v>
      </c>
      <c r="D19" s="1" t="s">
        <v>97</v>
      </c>
      <c r="E19" s="1" t="s">
        <v>98</v>
      </c>
      <c r="F19" s="9">
        <v>46288</v>
      </c>
      <c r="G19" s="52" t="s">
        <v>99</v>
      </c>
      <c r="H19" s="38">
        <v>46288</v>
      </c>
      <c r="I19" s="38" t="s">
        <v>100</v>
      </c>
      <c r="J19" s="53">
        <v>46294</v>
      </c>
      <c r="K19" s="5" t="s">
        <v>101</v>
      </c>
      <c r="L19" s="9">
        <v>46294</v>
      </c>
      <c r="M19" s="6"/>
      <c r="N19" s="4"/>
      <c r="O19" s="27"/>
      <c r="P19" s="26"/>
      <c r="Q19" s="15" t="s">
        <v>2</v>
      </c>
      <c r="R19" s="17"/>
    </row>
    <row r="20" spans="1:21" s="12" customFormat="1" ht="51.6" customHeight="1" x14ac:dyDescent="0.3">
      <c r="A20" s="13"/>
      <c r="B20" s="29" t="s">
        <v>102</v>
      </c>
      <c r="C20" s="5">
        <v>0</v>
      </c>
      <c r="D20" s="1" t="s">
        <v>103</v>
      </c>
      <c r="E20" s="1" t="s">
        <v>104</v>
      </c>
      <c r="F20" s="9">
        <v>46293</v>
      </c>
      <c r="G20" s="52" t="s">
        <v>105</v>
      </c>
      <c r="H20" s="53">
        <v>46293</v>
      </c>
      <c r="I20" s="38" t="s">
        <v>106</v>
      </c>
      <c r="J20" s="53">
        <v>46294</v>
      </c>
      <c r="K20" s="5" t="s">
        <v>107</v>
      </c>
      <c r="L20" s="9">
        <v>46294</v>
      </c>
      <c r="M20" s="15"/>
      <c r="N20" s="9"/>
      <c r="O20" s="52"/>
      <c r="P20" s="38"/>
      <c r="Q20" s="15" t="s">
        <v>2</v>
      </c>
      <c r="R20" s="53"/>
      <c r="S20" s="5"/>
      <c r="T20" s="9"/>
      <c r="U20" s="15"/>
    </row>
    <row r="21" spans="1:21" s="12" customFormat="1" ht="51.6" customHeight="1" x14ac:dyDescent="0.3">
      <c r="A21" s="13"/>
      <c r="B21" s="29"/>
      <c r="C21" s="5"/>
      <c r="D21" s="1"/>
      <c r="E21" s="1"/>
      <c r="F21" s="9"/>
      <c r="G21" s="52"/>
      <c r="H21" s="53"/>
      <c r="I21" s="38"/>
      <c r="J21" s="53"/>
      <c r="K21" s="5"/>
      <c r="L21" s="9"/>
      <c r="M21" s="6"/>
      <c r="N21" s="4"/>
      <c r="O21" s="27"/>
      <c r="P21" s="26"/>
      <c r="Q21" s="15"/>
      <c r="R21" s="17"/>
    </row>
    <row r="22" spans="1:21" s="12" customFormat="1" ht="51.6" customHeight="1" x14ac:dyDescent="0.3">
      <c r="A22" s="13"/>
      <c r="B22" s="29"/>
      <c r="C22" s="5"/>
      <c r="D22" s="1"/>
      <c r="E22" s="1"/>
      <c r="F22" s="9"/>
      <c r="G22" s="52"/>
      <c r="H22" s="53"/>
      <c r="I22" s="38"/>
      <c r="J22" s="53"/>
      <c r="K22" s="6"/>
      <c r="L22" s="9"/>
      <c r="M22" s="6"/>
      <c r="N22" s="4"/>
      <c r="O22" s="27"/>
      <c r="P22" s="26"/>
      <c r="Q22" s="16"/>
      <c r="R22" s="17"/>
    </row>
    <row r="23" spans="1:21" s="12" customFormat="1" ht="51.6" customHeight="1" x14ac:dyDescent="0.3">
      <c r="A23" s="13"/>
      <c r="B23" s="29"/>
      <c r="C23" s="5"/>
      <c r="D23" s="1"/>
      <c r="E23" s="1"/>
      <c r="F23" s="9"/>
      <c r="G23" s="52"/>
      <c r="H23" s="53"/>
      <c r="I23" s="38"/>
      <c r="J23" s="53"/>
      <c r="K23" s="6"/>
      <c r="L23" s="9"/>
      <c r="M23" s="6"/>
      <c r="N23" s="4"/>
      <c r="O23" s="27"/>
      <c r="P23" s="26"/>
      <c r="Q23" s="16"/>
      <c r="R23" s="17"/>
    </row>
    <row r="24" spans="1:21" s="12" customFormat="1" ht="51.6" customHeight="1" x14ac:dyDescent="0.3">
      <c r="A24" s="13"/>
      <c r="B24" s="29"/>
      <c r="C24" s="5"/>
      <c r="D24" s="1"/>
      <c r="E24" s="1"/>
      <c r="F24" s="9"/>
      <c r="G24" s="52"/>
      <c r="H24" s="53"/>
      <c r="I24" s="38"/>
      <c r="J24" s="53"/>
      <c r="K24" s="6"/>
      <c r="L24" s="9"/>
      <c r="M24" s="6"/>
      <c r="N24" s="4"/>
      <c r="O24" s="27"/>
      <c r="P24" s="26"/>
      <c r="Q24" s="16"/>
      <c r="R24" s="17"/>
    </row>
    <row r="25" spans="1:21" s="12" customFormat="1" ht="51.6" customHeight="1" x14ac:dyDescent="0.3">
      <c r="A25" s="13"/>
      <c r="B25" s="29"/>
      <c r="C25" s="5"/>
      <c r="D25" s="1"/>
      <c r="E25" s="1"/>
      <c r="F25" s="9"/>
      <c r="G25" s="52"/>
      <c r="H25" s="53"/>
      <c r="I25" s="38"/>
      <c r="J25" s="53"/>
      <c r="K25" s="6"/>
      <c r="L25" s="9"/>
      <c r="M25" s="6"/>
      <c r="N25" s="4"/>
      <c r="O25" s="27"/>
      <c r="P25" s="26"/>
      <c r="Q25" s="16"/>
      <c r="R25" s="17"/>
    </row>
    <row r="26" spans="1:21" s="12" customFormat="1" ht="51.6" customHeight="1" x14ac:dyDescent="0.3">
      <c r="A26" s="13"/>
      <c r="B26" s="29"/>
      <c r="C26" s="5"/>
      <c r="D26" s="1"/>
      <c r="E26" s="1"/>
      <c r="F26" s="9"/>
      <c r="G26" s="52"/>
      <c r="H26" s="53"/>
      <c r="I26" s="38"/>
      <c r="J26" s="53"/>
      <c r="K26" s="6"/>
      <c r="L26" s="9"/>
      <c r="M26" s="6"/>
      <c r="N26" s="4"/>
      <c r="O26" s="27"/>
      <c r="P26" s="26"/>
      <c r="Q26" s="16"/>
      <c r="R26" s="17"/>
    </row>
    <row r="27" spans="1:21" s="12" customFormat="1" ht="51.6" customHeight="1" x14ac:dyDescent="0.3">
      <c r="A27" s="13"/>
      <c r="B27" s="29"/>
      <c r="C27" s="5"/>
      <c r="D27" s="1"/>
      <c r="E27" s="1"/>
      <c r="F27" s="9"/>
      <c r="G27" s="33"/>
      <c r="H27" s="33"/>
      <c r="I27" s="33"/>
      <c r="J27" s="33"/>
      <c r="K27" s="6"/>
      <c r="L27" s="9"/>
      <c r="M27" s="6"/>
      <c r="N27" s="4"/>
      <c r="O27" s="27"/>
      <c r="P27" s="26"/>
      <c r="Q27" s="16"/>
      <c r="R27" s="17"/>
    </row>
    <row r="28" spans="1:21" s="12" customFormat="1" ht="51.6" customHeight="1" x14ac:dyDescent="0.3">
      <c r="A28" s="13"/>
      <c r="B28" s="29"/>
      <c r="C28" s="5"/>
      <c r="D28" s="1"/>
      <c r="E28" s="1"/>
      <c r="F28" s="9"/>
      <c r="G28" s="33"/>
      <c r="H28" s="33"/>
      <c r="I28" s="33"/>
      <c r="J28" s="33"/>
      <c r="K28" s="6"/>
      <c r="L28" s="9"/>
      <c r="M28" s="6"/>
      <c r="N28" s="4"/>
      <c r="O28" s="27"/>
      <c r="P28" s="26"/>
      <c r="Q28" s="16"/>
      <c r="R28" s="17"/>
    </row>
    <row r="29" spans="1:21" s="12" customFormat="1" ht="51.6" customHeight="1" x14ac:dyDescent="0.3">
      <c r="A29" s="13"/>
      <c r="B29" s="29"/>
      <c r="C29" s="5"/>
      <c r="D29" s="1"/>
      <c r="E29" s="1"/>
      <c r="F29" s="9"/>
      <c r="G29" s="33"/>
      <c r="H29" s="33"/>
      <c r="I29" s="33"/>
      <c r="J29" s="33"/>
      <c r="K29" s="6"/>
      <c r="L29" s="9"/>
      <c r="M29" s="6"/>
      <c r="N29" s="4"/>
      <c r="O29" s="27"/>
      <c r="P29" s="26"/>
      <c r="Q29" s="16"/>
      <c r="R29" s="17"/>
    </row>
    <row r="30" spans="1:21" s="12" customFormat="1" ht="51.6" customHeight="1" x14ac:dyDescent="0.3">
      <c r="A30" s="13"/>
      <c r="B30" s="29"/>
      <c r="C30" s="5"/>
      <c r="D30" s="1"/>
      <c r="E30" s="1"/>
      <c r="F30" s="9"/>
      <c r="G30" s="33"/>
      <c r="H30" s="33"/>
      <c r="I30" s="33"/>
      <c r="J30" s="33"/>
      <c r="K30" s="6"/>
      <c r="L30" s="9"/>
      <c r="M30" s="6"/>
      <c r="N30" s="4"/>
      <c r="O30" s="27"/>
      <c r="P30" s="26"/>
      <c r="Q30" s="16"/>
      <c r="R30" s="17"/>
    </row>
    <row r="31" spans="1:21" s="12" customFormat="1" ht="51.6" customHeight="1" x14ac:dyDescent="0.3">
      <c r="A31" s="13"/>
      <c r="B31" s="29"/>
      <c r="C31" s="5"/>
      <c r="D31" s="1"/>
      <c r="E31" s="1"/>
      <c r="F31" s="9"/>
      <c r="G31" s="33"/>
      <c r="H31" s="33"/>
      <c r="I31" s="33"/>
      <c r="J31" s="33"/>
      <c r="K31" s="6"/>
      <c r="L31" s="9"/>
      <c r="M31" s="6"/>
      <c r="N31" s="4"/>
      <c r="O31" s="27"/>
      <c r="P31" s="26"/>
      <c r="Q31" s="16"/>
      <c r="R31" s="17"/>
    </row>
    <row r="32" spans="1:21" s="12" customFormat="1" ht="51.6" customHeight="1" x14ac:dyDescent="0.3">
      <c r="A32" s="13"/>
      <c r="B32" s="29"/>
      <c r="C32" s="5"/>
      <c r="D32" s="1"/>
      <c r="E32" s="1"/>
      <c r="F32" s="9"/>
      <c r="G32" s="33"/>
      <c r="H32" s="33"/>
      <c r="I32" s="33"/>
      <c r="J32" s="33"/>
      <c r="K32" s="6"/>
      <c r="L32" s="9"/>
      <c r="M32" s="6"/>
      <c r="N32" s="4"/>
      <c r="O32" s="27"/>
      <c r="P32" s="26"/>
      <c r="Q32" s="16"/>
      <c r="R32" s="17"/>
    </row>
    <row r="33" spans="1:18" s="12" customFormat="1" ht="51.6" customHeight="1" x14ac:dyDescent="0.3">
      <c r="A33" s="13"/>
      <c r="B33" s="29"/>
      <c r="C33" s="5"/>
      <c r="D33" s="1"/>
      <c r="E33" s="1"/>
      <c r="F33" s="9"/>
      <c r="G33" s="33"/>
      <c r="H33" s="33"/>
      <c r="I33" s="33"/>
      <c r="J33" s="33"/>
      <c r="K33" s="6"/>
      <c r="L33" s="9"/>
      <c r="M33" s="6"/>
      <c r="N33" s="4"/>
      <c r="O33" s="27"/>
      <c r="P33" s="26"/>
      <c r="Q33" s="16"/>
      <c r="R33" s="17"/>
    </row>
    <row r="34" spans="1:18" s="12" customFormat="1" ht="51.6" customHeight="1" x14ac:dyDescent="0.3">
      <c r="A34" s="13"/>
      <c r="B34" s="29"/>
      <c r="C34" s="5"/>
      <c r="D34" s="1"/>
      <c r="E34" s="1"/>
      <c r="F34" s="9"/>
      <c r="G34" s="33"/>
      <c r="H34" s="33"/>
      <c r="I34" s="33"/>
      <c r="J34" s="33"/>
      <c r="K34" s="6"/>
      <c r="L34" s="9"/>
      <c r="M34" s="6"/>
      <c r="N34" s="4"/>
      <c r="O34" s="27"/>
      <c r="P34" s="26"/>
      <c r="Q34" s="16"/>
      <c r="R34" s="17"/>
    </row>
    <row r="35" spans="1:18" s="12" customFormat="1" ht="51.6" customHeight="1" x14ac:dyDescent="0.3">
      <c r="A35" s="13"/>
      <c r="B35" s="29"/>
      <c r="C35" s="5"/>
      <c r="D35" s="1"/>
      <c r="E35" s="1"/>
      <c r="F35" s="9"/>
      <c r="G35" s="33"/>
      <c r="H35" s="33"/>
      <c r="I35" s="33"/>
      <c r="J35" s="33"/>
      <c r="K35" s="6"/>
      <c r="L35" s="9"/>
      <c r="M35" s="6"/>
      <c r="N35" s="4"/>
      <c r="O35" s="27"/>
      <c r="P35" s="26"/>
      <c r="Q35" s="16"/>
      <c r="R35" s="17"/>
    </row>
  </sheetData>
  <autoFilter ref="A4:Q20" xr:uid="{00000000-0001-0000-0000-000000000000}"/>
  <mergeCells count="7">
    <mergeCell ref="A1:P2"/>
    <mergeCell ref="C3:F3"/>
    <mergeCell ref="G3:H3"/>
    <mergeCell ref="I3:J3"/>
    <mergeCell ref="K3:L3"/>
    <mergeCell ref="M3:N3"/>
    <mergeCell ref="O3:P3"/>
  </mergeCells>
  <phoneticPr fontId="6" type="noConversion"/>
  <conditionalFormatting sqref="M20 U20">
    <cfRule type="containsText" dxfId="5" priority="1" operator="containsText" text="Response ">
      <formula>NOT(ISERROR(SEARCH("Response ",M20)))</formula>
    </cfRule>
    <cfRule type="containsText" dxfId="4" priority="2" operator="containsText" text="open">
      <formula>NOT(ISERROR(SEARCH("open",M20)))</formula>
    </cfRule>
  </conditionalFormatting>
  <conditionalFormatting sqref="Q1:Q35">
    <cfRule type="containsText" dxfId="3" priority="3" operator="containsText" text="Response ">
      <formula>NOT(ISERROR(SEARCH("Response ",Q1)))</formula>
    </cfRule>
    <cfRule type="containsText" dxfId="2" priority="4" operator="containsText" text="open">
      <formula>NOT(ISERROR(SEARCH("open",Q1)))</formula>
    </cfRule>
  </conditionalFormatting>
  <pageMargins left="0.7" right="0.7" top="0.75" bottom="0.75" header="0.3" footer="0.3"/>
  <pageSetup paperSize="9"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view="pageBreakPreview" topLeftCell="B1" zoomScale="85" zoomScaleNormal="100" zoomScaleSheetLayoutView="85" workbookViewId="0">
      <pane ySplit="4" topLeftCell="A5" activePane="bottomLeft" state="frozen"/>
      <selection pane="bottomLeft" activeCell="F4" sqref="F4"/>
    </sheetView>
  </sheetViews>
  <sheetFormatPr defaultRowHeight="14.4" x14ac:dyDescent="0.3"/>
  <cols>
    <col min="1" max="1" width="25.109375" style="2" hidden="1" customWidth="1"/>
    <col min="2" max="2" width="29.88671875" style="2" customWidth="1"/>
    <col min="3" max="3" width="11.33203125" style="2" customWidth="1"/>
    <col min="4" max="4" width="38.88671875" style="2" customWidth="1"/>
    <col min="5" max="5" width="38" style="2" customWidth="1"/>
    <col min="6" max="10" width="17.6640625" style="2" customWidth="1"/>
    <col min="11" max="11" width="22.109375" style="2" customWidth="1"/>
    <col min="12" max="12" width="17.6640625" style="2" customWidth="1"/>
    <col min="13" max="14" width="17.6640625" style="2" hidden="1" customWidth="1"/>
    <col min="15" max="15" width="19.33203125" style="2" hidden="1" customWidth="1"/>
    <col min="16" max="16" width="17.6640625" style="2" hidden="1" customWidth="1"/>
    <col min="17" max="17" width="17.5546875" style="2" customWidth="1"/>
    <col min="18" max="18" width="27" style="28" customWidth="1"/>
    <col min="19" max="19" width="21.5546875" customWidth="1"/>
    <col min="20" max="20" width="23.33203125" customWidth="1"/>
  </cols>
  <sheetData>
    <row r="1" spans="1:20" ht="37.200000000000003" customHeight="1" x14ac:dyDescent="0.3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14" t="s">
        <v>1</v>
      </c>
      <c r="R1" s="3">
        <f>COUNTA(Q$5:Q$1048576)</f>
        <v>1</v>
      </c>
    </row>
    <row r="2" spans="1:20" ht="37.200000000000003" customHeight="1" x14ac:dyDescent="0.3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15" t="s">
        <v>2</v>
      </c>
      <c r="R2" s="17">
        <f>COUNTIF(Q$5:Q$1048576,"Response ")</f>
        <v>0</v>
      </c>
    </row>
    <row r="3" spans="1:20" ht="40.950000000000003" customHeight="1" x14ac:dyDescent="0.3">
      <c r="A3" s="42" t="s">
        <v>3</v>
      </c>
      <c r="B3" s="42"/>
      <c r="C3" s="57" t="s">
        <v>4</v>
      </c>
      <c r="D3" s="58"/>
      <c r="E3" s="58"/>
      <c r="F3" s="63"/>
      <c r="G3" s="61" t="s">
        <v>5</v>
      </c>
      <c r="H3" s="60"/>
      <c r="I3" s="61" t="s">
        <v>6</v>
      </c>
      <c r="J3" s="67"/>
      <c r="K3" s="64" t="s">
        <v>7</v>
      </c>
      <c r="L3" s="64"/>
      <c r="M3" s="65" t="s">
        <v>8</v>
      </c>
      <c r="N3" s="66"/>
      <c r="O3" s="65" t="s">
        <v>9</v>
      </c>
      <c r="P3" s="66"/>
      <c r="Q3" s="15" t="s">
        <v>10</v>
      </c>
      <c r="R3" s="17">
        <f>COUNTIF(Q$5:Q$1048576,"OPEN")</f>
        <v>1</v>
      </c>
    </row>
    <row r="4" spans="1:20" ht="59.4" customHeight="1" x14ac:dyDescent="0.3">
      <c r="A4" s="18" t="s">
        <v>11</v>
      </c>
      <c r="B4" s="18" t="s">
        <v>11</v>
      </c>
      <c r="C4" s="18" t="s">
        <v>12</v>
      </c>
      <c r="D4" s="19" t="s">
        <v>13</v>
      </c>
      <c r="E4" s="19" t="s">
        <v>14</v>
      </c>
      <c r="F4" s="34" t="s">
        <v>15</v>
      </c>
      <c r="G4" s="18" t="s">
        <v>11</v>
      </c>
      <c r="H4" s="34" t="s">
        <v>15</v>
      </c>
      <c r="I4" s="18" t="s">
        <v>11</v>
      </c>
      <c r="J4" s="36" t="s">
        <v>15</v>
      </c>
      <c r="K4" s="35" t="s">
        <v>11</v>
      </c>
      <c r="L4" s="21" t="s">
        <v>15</v>
      </c>
      <c r="M4" s="20" t="s">
        <v>11</v>
      </c>
      <c r="N4" s="21" t="s">
        <v>15</v>
      </c>
      <c r="O4" s="20" t="s">
        <v>11</v>
      </c>
      <c r="P4" s="21" t="s">
        <v>15</v>
      </c>
      <c r="Q4" s="22"/>
      <c r="R4" s="23"/>
    </row>
    <row r="5" spans="1:20" s="12" customFormat="1" ht="46.2" customHeight="1" x14ac:dyDescent="0.3">
      <c r="A5" s="11" t="s">
        <v>16</v>
      </c>
      <c r="B5" s="30"/>
      <c r="C5" s="30"/>
      <c r="D5" s="10"/>
      <c r="E5" s="31"/>
      <c r="F5" s="37"/>
      <c r="G5" s="37"/>
      <c r="H5" s="37"/>
      <c r="I5" s="37"/>
      <c r="J5" s="37"/>
      <c r="K5" s="24"/>
      <c r="L5" s="37"/>
      <c r="M5" s="7"/>
      <c r="N5" s="8"/>
      <c r="O5" s="25"/>
      <c r="P5" s="26"/>
      <c r="Q5" s="16" t="s">
        <v>10</v>
      </c>
      <c r="R5" s="17"/>
      <c r="S5" s="32" t="s">
        <v>108</v>
      </c>
      <c r="T5" s="32" t="s">
        <v>109</v>
      </c>
    </row>
    <row r="6" spans="1:20" s="12" customFormat="1" ht="51.6" customHeight="1" x14ac:dyDescent="0.3">
      <c r="A6" s="13" t="s">
        <v>23</v>
      </c>
      <c r="B6" s="5"/>
      <c r="C6" s="5"/>
      <c r="D6" s="1"/>
      <c r="E6" s="1"/>
      <c r="F6" s="9"/>
      <c r="G6" s="38"/>
      <c r="H6" s="38"/>
      <c r="I6" s="38"/>
      <c r="J6" s="38"/>
      <c r="K6" s="5"/>
      <c r="L6" s="9"/>
      <c r="M6" s="6"/>
      <c r="N6" s="4"/>
      <c r="O6" s="27"/>
      <c r="P6" s="26"/>
      <c r="Q6" s="16"/>
      <c r="R6" s="17"/>
    </row>
    <row r="7" spans="1:20" s="12" customFormat="1" ht="51.6" customHeight="1" x14ac:dyDescent="0.3">
      <c r="A7" s="13" t="s">
        <v>28</v>
      </c>
      <c r="B7" s="29"/>
      <c r="C7" s="5"/>
      <c r="D7" s="1"/>
      <c r="E7" s="1"/>
      <c r="F7" s="9"/>
      <c r="G7" s="38"/>
      <c r="H7" s="38"/>
      <c r="I7" s="38"/>
      <c r="J7" s="38"/>
      <c r="K7" s="5"/>
      <c r="L7" s="9"/>
      <c r="M7" s="6"/>
      <c r="N7" s="4"/>
      <c r="O7" s="27"/>
      <c r="P7" s="26"/>
      <c r="Q7" s="16"/>
      <c r="R7" s="17"/>
    </row>
    <row r="8" spans="1:20" s="12" customFormat="1" ht="51.6" customHeight="1" x14ac:dyDescent="0.3">
      <c r="A8" s="13"/>
      <c r="B8" s="29"/>
      <c r="C8" s="5"/>
      <c r="D8" s="1"/>
      <c r="E8" s="1"/>
      <c r="F8" s="9"/>
      <c r="G8" s="38"/>
      <c r="H8" s="38"/>
      <c r="I8" s="38"/>
      <c r="J8" s="38"/>
      <c r="K8" s="5"/>
      <c r="L8" s="9"/>
      <c r="M8" s="6"/>
      <c r="N8" s="4"/>
      <c r="O8" s="27"/>
      <c r="P8" s="26"/>
      <c r="Q8" s="16"/>
      <c r="R8" s="17"/>
    </row>
    <row r="9" spans="1:20" s="12" customFormat="1" ht="51.6" customHeight="1" x14ac:dyDescent="0.3">
      <c r="A9" s="13"/>
      <c r="B9" s="1"/>
      <c r="C9" s="1"/>
      <c r="D9" s="1"/>
      <c r="E9" s="1"/>
      <c r="F9" s="38"/>
      <c r="G9" s="38"/>
      <c r="H9" s="38"/>
      <c r="I9" s="38"/>
      <c r="J9" s="38"/>
      <c r="K9" s="1"/>
      <c r="L9" s="38"/>
      <c r="M9" s="1"/>
      <c r="N9" s="1"/>
      <c r="O9" s="39"/>
      <c r="P9" s="40"/>
      <c r="Q9" s="16"/>
      <c r="R9" s="41"/>
    </row>
    <row r="10" spans="1:20" s="12" customFormat="1" ht="51.6" customHeight="1" x14ac:dyDescent="0.3">
      <c r="A10" s="13"/>
      <c r="B10" s="1"/>
      <c r="C10" s="1"/>
      <c r="D10" s="1"/>
      <c r="E10" s="1"/>
      <c r="F10" s="38"/>
      <c r="G10" s="38"/>
      <c r="H10" s="38"/>
      <c r="I10" s="38"/>
      <c r="J10" s="38"/>
      <c r="K10" s="1"/>
      <c r="L10" s="38"/>
      <c r="M10" s="1"/>
      <c r="N10" s="1"/>
      <c r="O10" s="39"/>
      <c r="P10" s="40"/>
      <c r="Q10" s="16"/>
      <c r="R10" s="41"/>
    </row>
    <row r="11" spans="1:20" s="12" customFormat="1" ht="51.6" customHeight="1" x14ac:dyDescent="0.3">
      <c r="A11" s="13"/>
      <c r="B11" s="1"/>
      <c r="C11" s="1"/>
      <c r="D11" s="1"/>
      <c r="E11" s="1"/>
      <c r="F11" s="38"/>
      <c r="G11" s="38"/>
      <c r="H11" s="38"/>
      <c r="I11" s="38"/>
      <c r="J11" s="38"/>
      <c r="K11" s="1"/>
      <c r="L11" s="38"/>
      <c r="M11" s="1"/>
      <c r="N11" s="1"/>
      <c r="O11" s="39"/>
      <c r="P11" s="40"/>
      <c r="Q11" s="16"/>
      <c r="R11" s="41"/>
    </row>
    <row r="12" spans="1:20" s="12" customFormat="1" ht="51.6" customHeight="1" x14ac:dyDescent="0.3">
      <c r="A12" s="13"/>
      <c r="B12" s="29"/>
      <c r="C12" s="5"/>
      <c r="D12" s="1"/>
      <c r="E12" s="1"/>
      <c r="F12" s="9"/>
      <c r="G12" s="33"/>
      <c r="H12" s="33"/>
      <c r="I12" s="33"/>
      <c r="J12" s="33"/>
      <c r="K12" s="6"/>
      <c r="L12" s="9"/>
      <c r="M12" s="6"/>
      <c r="N12" s="4"/>
      <c r="O12" s="27"/>
      <c r="P12" s="26"/>
      <c r="Q12" s="16"/>
      <c r="R12" s="17"/>
    </row>
    <row r="13" spans="1:20" s="12" customFormat="1" ht="51.6" customHeight="1" x14ac:dyDescent="0.3">
      <c r="A13" s="13"/>
      <c r="B13" s="29"/>
      <c r="C13" s="5"/>
      <c r="D13" s="1"/>
      <c r="E13" s="1"/>
      <c r="F13" s="9"/>
      <c r="G13" s="33"/>
      <c r="H13" s="33"/>
      <c r="I13" s="33"/>
      <c r="J13" s="33"/>
      <c r="K13" s="6"/>
      <c r="L13" s="9"/>
      <c r="M13" s="6"/>
      <c r="N13" s="4"/>
      <c r="O13" s="27"/>
      <c r="P13" s="26"/>
      <c r="Q13" s="16"/>
      <c r="R13" s="17"/>
    </row>
    <row r="14" spans="1:20" s="12" customFormat="1" ht="51.6" customHeight="1" x14ac:dyDescent="0.3">
      <c r="A14" s="13"/>
      <c r="B14" s="29"/>
      <c r="C14" s="5"/>
      <c r="D14" s="1"/>
      <c r="E14" s="1"/>
      <c r="F14" s="9"/>
      <c r="G14" s="33"/>
      <c r="H14" s="33"/>
      <c r="I14" s="33"/>
      <c r="J14" s="33"/>
      <c r="K14" s="6"/>
      <c r="L14" s="9"/>
      <c r="M14" s="6"/>
      <c r="N14" s="4"/>
      <c r="O14" s="27"/>
      <c r="P14" s="26"/>
      <c r="Q14" s="16"/>
      <c r="R14" s="17"/>
    </row>
    <row r="15" spans="1:20" s="12" customFormat="1" ht="51.6" customHeight="1" x14ac:dyDescent="0.3">
      <c r="A15" s="13"/>
      <c r="B15" s="29"/>
      <c r="C15" s="5"/>
      <c r="D15" s="1"/>
      <c r="E15" s="1"/>
      <c r="F15" s="9"/>
      <c r="G15" s="33"/>
      <c r="H15" s="33"/>
      <c r="I15" s="33"/>
      <c r="J15" s="33"/>
      <c r="K15" s="6"/>
      <c r="L15" s="9"/>
      <c r="M15" s="6"/>
      <c r="N15" s="4"/>
      <c r="O15" s="27"/>
      <c r="P15" s="26"/>
      <c r="Q15" s="16"/>
      <c r="R15" s="17"/>
    </row>
    <row r="16" spans="1:20" s="12" customFormat="1" ht="51.6" customHeight="1" x14ac:dyDescent="0.3">
      <c r="A16" s="13"/>
      <c r="B16" s="29"/>
      <c r="C16" s="5"/>
      <c r="D16" s="1"/>
      <c r="E16" s="1"/>
      <c r="F16" s="9"/>
      <c r="G16" s="33"/>
      <c r="H16" s="33"/>
      <c r="I16" s="33"/>
      <c r="J16" s="33"/>
      <c r="K16" s="6"/>
      <c r="L16" s="9"/>
      <c r="M16" s="6"/>
      <c r="N16" s="4"/>
      <c r="O16" s="27"/>
      <c r="P16" s="26"/>
      <c r="Q16" s="16"/>
      <c r="R16" s="17"/>
    </row>
    <row r="17" spans="1:18" s="12" customFormat="1" ht="51.6" customHeight="1" x14ac:dyDescent="0.3">
      <c r="A17" s="13"/>
      <c r="B17" s="29"/>
      <c r="C17" s="5"/>
      <c r="D17" s="1"/>
      <c r="E17" s="1"/>
      <c r="F17" s="9"/>
      <c r="G17" s="33"/>
      <c r="H17" s="33"/>
      <c r="I17" s="33"/>
      <c r="J17" s="33"/>
      <c r="K17" s="6"/>
      <c r="L17" s="9"/>
      <c r="M17" s="6"/>
      <c r="N17" s="4"/>
      <c r="O17" s="27"/>
      <c r="P17" s="26"/>
      <c r="Q17" s="16"/>
      <c r="R17" s="17"/>
    </row>
    <row r="18" spans="1:18" s="12" customFormat="1" ht="51.6" customHeight="1" x14ac:dyDescent="0.3">
      <c r="A18" s="13"/>
      <c r="B18" s="29"/>
      <c r="C18" s="5"/>
      <c r="D18" s="1"/>
      <c r="E18" s="1"/>
      <c r="F18" s="9"/>
      <c r="G18" s="33"/>
      <c r="H18" s="33"/>
      <c r="I18" s="33"/>
      <c r="J18" s="33"/>
      <c r="K18" s="6"/>
      <c r="L18" s="9"/>
      <c r="M18" s="6"/>
      <c r="N18" s="4"/>
      <c r="O18" s="27"/>
      <c r="P18" s="26"/>
      <c r="Q18" s="16"/>
      <c r="R18" s="17"/>
    </row>
    <row r="19" spans="1:18" s="12" customFormat="1" ht="51.6" customHeight="1" x14ac:dyDescent="0.3">
      <c r="A19" s="13"/>
      <c r="B19" s="29"/>
      <c r="C19" s="5"/>
      <c r="D19" s="1"/>
      <c r="E19" s="1"/>
      <c r="F19" s="9"/>
      <c r="G19" s="33"/>
      <c r="H19" s="33"/>
      <c r="I19" s="33"/>
      <c r="J19" s="33"/>
      <c r="K19" s="6"/>
      <c r="L19" s="9"/>
      <c r="M19" s="6"/>
      <c r="N19" s="4"/>
      <c r="O19" s="27"/>
      <c r="P19" s="26"/>
      <c r="Q19" s="16"/>
      <c r="R19" s="17"/>
    </row>
    <row r="20" spans="1:18" s="12" customFormat="1" ht="51.6" customHeight="1" x14ac:dyDescent="0.3">
      <c r="A20" s="13"/>
      <c r="B20" s="29"/>
      <c r="C20" s="5"/>
      <c r="D20" s="1"/>
      <c r="E20" s="1"/>
      <c r="F20" s="9"/>
      <c r="G20" s="33"/>
      <c r="H20" s="33"/>
      <c r="I20" s="33"/>
      <c r="J20" s="33"/>
      <c r="K20" s="6"/>
      <c r="L20" s="9"/>
      <c r="M20" s="6"/>
      <c r="N20" s="4"/>
      <c r="O20" s="27"/>
      <c r="P20" s="26"/>
      <c r="Q20" s="16"/>
      <c r="R20" s="17"/>
    </row>
    <row r="21" spans="1:18" s="12" customFormat="1" ht="51.6" customHeight="1" x14ac:dyDescent="0.3">
      <c r="A21" s="13"/>
      <c r="B21" s="29"/>
      <c r="C21" s="5"/>
      <c r="D21" s="1"/>
      <c r="E21" s="1"/>
      <c r="F21" s="9"/>
      <c r="G21" s="33"/>
      <c r="H21" s="33"/>
      <c r="I21" s="33"/>
      <c r="J21" s="33"/>
      <c r="K21" s="6"/>
      <c r="L21" s="9"/>
      <c r="M21" s="6"/>
      <c r="N21" s="4"/>
      <c r="O21" s="27"/>
      <c r="P21" s="26"/>
      <c r="Q21" s="16"/>
      <c r="R21" s="17"/>
    </row>
    <row r="22" spans="1:18" s="12" customFormat="1" ht="51.6" customHeight="1" x14ac:dyDescent="0.3">
      <c r="A22" s="13"/>
      <c r="B22" s="29"/>
      <c r="C22" s="5"/>
      <c r="D22" s="1"/>
      <c r="E22" s="1"/>
      <c r="F22" s="9"/>
      <c r="G22" s="33"/>
      <c r="H22" s="33"/>
      <c r="I22" s="33"/>
      <c r="J22" s="33"/>
      <c r="K22" s="6"/>
      <c r="L22" s="9"/>
      <c r="M22" s="6"/>
      <c r="N22" s="4"/>
      <c r="O22" s="27"/>
      <c r="P22" s="26"/>
      <c r="Q22" s="16"/>
      <c r="R22" s="17"/>
    </row>
    <row r="23" spans="1:18" s="12" customFormat="1" ht="51.6" customHeight="1" x14ac:dyDescent="0.3">
      <c r="A23" s="13"/>
      <c r="B23" s="29"/>
      <c r="C23" s="5"/>
      <c r="D23" s="1"/>
      <c r="E23" s="1"/>
      <c r="F23" s="9"/>
      <c r="G23" s="33"/>
      <c r="H23" s="33"/>
      <c r="I23" s="33"/>
      <c r="J23" s="33"/>
      <c r="K23" s="6"/>
      <c r="L23" s="9"/>
      <c r="M23" s="6"/>
      <c r="N23" s="4"/>
      <c r="O23" s="27"/>
      <c r="P23" s="26"/>
      <c r="Q23" s="16"/>
      <c r="R23" s="17"/>
    </row>
    <row r="24" spans="1:18" s="12" customFormat="1" ht="51.6" customHeight="1" x14ac:dyDescent="0.3">
      <c r="A24" s="13"/>
      <c r="B24" s="29"/>
      <c r="C24" s="5"/>
      <c r="D24" s="1"/>
      <c r="E24" s="1"/>
      <c r="F24" s="9"/>
      <c r="G24" s="33"/>
      <c r="H24" s="33"/>
      <c r="I24" s="33"/>
      <c r="J24" s="33"/>
      <c r="K24" s="6"/>
      <c r="L24" s="9"/>
      <c r="M24" s="6"/>
      <c r="N24" s="4"/>
      <c r="O24" s="27"/>
      <c r="P24" s="26"/>
      <c r="Q24" s="16"/>
      <c r="R24" s="17"/>
    </row>
    <row r="25" spans="1:18" s="12" customFormat="1" ht="51.6" customHeight="1" x14ac:dyDescent="0.3">
      <c r="A25" s="13"/>
      <c r="B25" s="29"/>
      <c r="C25" s="5"/>
      <c r="D25" s="1"/>
      <c r="E25" s="1"/>
      <c r="F25" s="9"/>
      <c r="G25" s="33"/>
      <c r="H25" s="33"/>
      <c r="I25" s="33"/>
      <c r="J25" s="33"/>
      <c r="K25" s="6"/>
      <c r="L25" s="9"/>
      <c r="M25" s="6"/>
      <c r="N25" s="4"/>
      <c r="O25" s="27"/>
      <c r="P25" s="26"/>
      <c r="Q25" s="16"/>
      <c r="R25" s="17"/>
    </row>
    <row r="26" spans="1:18" s="12" customFormat="1" ht="51.6" customHeight="1" x14ac:dyDescent="0.3">
      <c r="A26" s="13"/>
      <c r="B26" s="29"/>
      <c r="C26" s="5"/>
      <c r="D26" s="1"/>
      <c r="E26" s="1"/>
      <c r="F26" s="9"/>
      <c r="G26" s="33"/>
      <c r="H26" s="33"/>
      <c r="I26" s="33"/>
      <c r="J26" s="33"/>
      <c r="K26" s="6"/>
      <c r="L26" s="9"/>
      <c r="M26" s="6"/>
      <c r="N26" s="4"/>
      <c r="O26" s="27"/>
      <c r="P26" s="26"/>
      <c r="Q26" s="16"/>
      <c r="R26" s="17"/>
    </row>
    <row r="27" spans="1:18" s="12" customFormat="1" ht="51.6" customHeight="1" x14ac:dyDescent="0.3">
      <c r="A27" s="13"/>
      <c r="B27" s="29"/>
      <c r="C27" s="5"/>
      <c r="D27" s="1"/>
      <c r="E27" s="1"/>
      <c r="F27" s="9"/>
      <c r="G27" s="33"/>
      <c r="H27" s="33"/>
      <c r="I27" s="33"/>
      <c r="J27" s="33"/>
      <c r="K27" s="6"/>
      <c r="L27" s="9"/>
      <c r="M27" s="6"/>
      <c r="N27" s="4"/>
      <c r="O27" s="27"/>
      <c r="P27" s="26"/>
      <c r="Q27" s="16"/>
      <c r="R27" s="17"/>
    </row>
    <row r="28" spans="1:18" s="12" customFormat="1" ht="51.6" customHeight="1" x14ac:dyDescent="0.3">
      <c r="A28" s="13"/>
      <c r="B28" s="29"/>
      <c r="C28" s="5"/>
      <c r="D28" s="1"/>
      <c r="E28" s="1"/>
      <c r="F28" s="9"/>
      <c r="G28" s="33"/>
      <c r="H28" s="33"/>
      <c r="I28" s="33"/>
      <c r="J28" s="33"/>
      <c r="K28" s="6"/>
      <c r="L28" s="9"/>
      <c r="M28" s="6"/>
      <c r="N28" s="4"/>
      <c r="O28" s="27"/>
      <c r="P28" s="26"/>
      <c r="Q28" s="16"/>
      <c r="R28" s="17"/>
    </row>
    <row r="29" spans="1:18" s="12" customFormat="1" ht="51.6" customHeight="1" x14ac:dyDescent="0.3">
      <c r="A29" s="13"/>
      <c r="B29" s="29"/>
      <c r="C29" s="5"/>
      <c r="D29" s="1"/>
      <c r="E29" s="1"/>
      <c r="F29" s="9"/>
      <c r="G29" s="33"/>
      <c r="H29" s="33"/>
      <c r="I29" s="33"/>
      <c r="J29" s="33"/>
      <c r="K29" s="6"/>
      <c r="L29" s="9"/>
      <c r="M29" s="6"/>
      <c r="N29" s="4"/>
      <c r="O29" s="27"/>
      <c r="P29" s="26"/>
      <c r="Q29" s="16"/>
      <c r="R29" s="17"/>
    </row>
    <row r="30" spans="1:18" s="12" customFormat="1" ht="51.6" customHeight="1" x14ac:dyDescent="0.3">
      <c r="A30" s="13"/>
      <c r="B30" s="29"/>
      <c r="C30" s="5"/>
      <c r="D30" s="1"/>
      <c r="E30" s="1"/>
      <c r="F30" s="9"/>
      <c r="G30" s="33"/>
      <c r="H30" s="33"/>
      <c r="I30" s="33"/>
      <c r="J30" s="33"/>
      <c r="K30" s="6"/>
      <c r="L30" s="9"/>
      <c r="M30" s="6"/>
      <c r="N30" s="4"/>
      <c r="O30" s="27"/>
      <c r="P30" s="26"/>
      <c r="Q30" s="16"/>
      <c r="R30" s="17"/>
    </row>
    <row r="31" spans="1:18" s="12" customFormat="1" ht="51.6" customHeight="1" x14ac:dyDescent="0.3">
      <c r="A31" s="13"/>
      <c r="B31" s="29"/>
      <c r="C31" s="5"/>
      <c r="D31" s="1"/>
      <c r="E31" s="1"/>
      <c r="F31" s="9"/>
      <c r="G31" s="33"/>
      <c r="H31" s="33"/>
      <c r="I31" s="33"/>
      <c r="J31" s="33"/>
      <c r="K31" s="6"/>
      <c r="L31" s="9"/>
      <c r="M31" s="6"/>
      <c r="N31" s="4"/>
      <c r="O31" s="27"/>
      <c r="P31" s="26"/>
      <c r="Q31" s="16"/>
      <c r="R31" s="17"/>
    </row>
    <row r="32" spans="1:18" s="12" customFormat="1" ht="51.6" customHeight="1" x14ac:dyDescent="0.3">
      <c r="A32" s="13"/>
      <c r="B32" s="29"/>
      <c r="C32" s="5"/>
      <c r="D32" s="1"/>
      <c r="E32" s="1"/>
      <c r="F32" s="9"/>
      <c r="G32" s="33"/>
      <c r="H32" s="33"/>
      <c r="I32" s="33"/>
      <c r="J32" s="33"/>
      <c r="K32" s="6"/>
      <c r="L32" s="9"/>
      <c r="M32" s="6"/>
      <c r="N32" s="4"/>
      <c r="O32" s="27"/>
      <c r="P32" s="26"/>
      <c r="Q32" s="16"/>
      <c r="R32" s="17"/>
    </row>
    <row r="33" spans="1:18" s="12" customFormat="1" ht="51.6" customHeight="1" x14ac:dyDescent="0.3">
      <c r="A33" s="13"/>
      <c r="B33" s="29"/>
      <c r="C33" s="5"/>
      <c r="D33" s="1"/>
      <c r="E33" s="1"/>
      <c r="F33" s="9"/>
      <c r="G33" s="33"/>
      <c r="H33" s="33"/>
      <c r="I33" s="33"/>
      <c r="J33" s="33"/>
      <c r="K33" s="6"/>
      <c r="L33" s="9"/>
      <c r="M33" s="6"/>
      <c r="N33" s="4"/>
      <c r="O33" s="27"/>
      <c r="P33" s="26"/>
      <c r="Q33" s="16"/>
      <c r="R33" s="17"/>
    </row>
    <row r="34" spans="1:18" s="12" customFormat="1" ht="51.6" customHeight="1" x14ac:dyDescent="0.3">
      <c r="A34" s="13"/>
      <c r="B34" s="29"/>
      <c r="C34" s="5"/>
      <c r="D34" s="1"/>
      <c r="E34" s="1"/>
      <c r="F34" s="9"/>
      <c r="G34" s="33"/>
      <c r="H34" s="33"/>
      <c r="I34" s="33"/>
      <c r="J34" s="33"/>
      <c r="K34" s="6"/>
      <c r="L34" s="9"/>
      <c r="M34" s="6"/>
      <c r="N34" s="4"/>
      <c r="O34" s="27"/>
      <c r="P34" s="26"/>
      <c r="Q34" s="16"/>
      <c r="R34" s="17"/>
    </row>
    <row r="35" spans="1:18" s="12" customFormat="1" ht="51.6" customHeight="1" x14ac:dyDescent="0.3">
      <c r="A35" s="13"/>
      <c r="B35" s="29"/>
      <c r="C35" s="5"/>
      <c r="D35" s="1"/>
      <c r="E35" s="1"/>
      <c r="F35" s="9"/>
      <c r="G35" s="33"/>
      <c r="H35" s="33"/>
      <c r="I35" s="33"/>
      <c r="J35" s="33"/>
      <c r="K35" s="6"/>
      <c r="L35" s="9"/>
      <c r="M35" s="6"/>
      <c r="N35" s="4"/>
      <c r="O35" s="27"/>
      <c r="P35" s="26"/>
      <c r="Q35" s="16"/>
      <c r="R35" s="17"/>
    </row>
  </sheetData>
  <autoFilter ref="A4:Q7" xr:uid="{00000000-0001-0000-0000-000000000000}"/>
  <mergeCells count="7">
    <mergeCell ref="A1:P2"/>
    <mergeCell ref="K3:L3"/>
    <mergeCell ref="M3:N3"/>
    <mergeCell ref="O3:P3"/>
    <mergeCell ref="I3:J3"/>
    <mergeCell ref="G3:H3"/>
    <mergeCell ref="C3:F3"/>
  </mergeCells>
  <phoneticPr fontId="6" type="noConversion"/>
  <conditionalFormatting sqref="Q1:Q35">
    <cfRule type="containsText" dxfId="1" priority="1" operator="containsText" text="Response ">
      <formula>NOT(ISERROR(SEARCH("Response ",Q1)))</formula>
    </cfRule>
    <cfRule type="containsText" dxfId="0" priority="2" operator="containsText" text="open">
      <formula>NOT(ISERROR(SEARCH("open",Q1)))</formula>
    </cfRule>
  </conditionalFormatting>
  <pageMargins left="0.7" right="0.7" top="0.75" bottom="0.75" header="0.3" footer="0.3"/>
  <pageSetup paperSize="9" scale="3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3AFB609D59E43A64C56C7F6E0C41E" ma:contentTypeVersion="13" ma:contentTypeDescription="Create a new document." ma:contentTypeScope="" ma:versionID="81e025f90cd434c0211e1a1515787bf4">
  <xsd:schema xmlns:xsd="http://www.w3.org/2001/XMLSchema" xmlns:xs="http://www.w3.org/2001/XMLSchema" xmlns:p="http://schemas.microsoft.com/office/2006/metadata/properties" xmlns:ns2="5e47dd1e-c75c-4647-a38b-2c348db83d8f" xmlns:ns3="85d7a996-4dca-498d-b2f5-99e3050e6495" targetNamespace="http://schemas.microsoft.com/office/2006/metadata/properties" ma:root="true" ma:fieldsID="20ee018d5b1fe350feec45d17926addc" ns2:_="" ns3:_="">
    <xsd:import namespace="5e47dd1e-c75c-4647-a38b-2c348db83d8f"/>
    <xsd:import namespace="85d7a996-4dca-498d-b2f5-99e3050e649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7dd1e-c75c-4647-a38b-2c348db83d8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4a191d51-83f6-44e5-9a00-f37510eee67f}" ma:internalName="TaxCatchAll" ma:showField="CatchAllData" ma:web="5e47dd1e-c75c-4647-a38b-2c348db83d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7a996-4dca-498d-b2f5-99e3050e6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736617d-e744-49dc-8c2a-216fc45cca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e47dd1e-c75c-4647-a38b-2c348db83d8f">D2EH7U7SCT2D-354287951-52310</_dlc_DocId>
    <_Flow_SignoffStatus xmlns="85d7a996-4dca-498d-b2f5-99e3050e6495" xsi:nil="true"/>
    <_dlc_DocIdUrl xmlns="5e47dd1e-c75c-4647-a38b-2c348db83d8f">
      <Url>https://hillintl.sharepoint.com/sites/Extranet2/RasAlHekmaProject/_layouts/15/DocIdRedir.aspx?ID=D2EH7U7SCT2D-354287951-52310</Url>
      <Description>D2EH7U7SCT2D-354287951-52310</Description>
    </_dlc_DocIdUrl>
    <lcf76f155ced4ddcb4097134ff3c332f xmlns="85d7a996-4dca-498d-b2f5-99e3050e6495">
      <Terms xmlns="http://schemas.microsoft.com/office/infopath/2007/PartnerControls"/>
    </lcf76f155ced4ddcb4097134ff3c332f>
    <TaxCatchAll xmlns="5e47dd1e-c75c-4647-a38b-2c348db83d8f" xsi:nil="true"/>
  </documentManagement>
</p:properties>
</file>

<file path=customXml/itemProps1.xml><?xml version="1.0" encoding="utf-8"?>
<ds:datastoreItem xmlns:ds="http://schemas.openxmlformats.org/officeDocument/2006/customXml" ds:itemID="{8AB98C88-F794-4D4F-AA6A-B466826FA1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FD821F-BD95-4AA9-BACA-3293E468E5C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32ABF0B-9207-4F7A-A03A-55E9950DCB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47dd1e-c75c-4647-a38b-2c348db83d8f"/>
    <ds:schemaRef ds:uri="85d7a996-4dca-498d-b2f5-99e3050e64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8B73A18-ABA8-4440-A391-374373BB83DF}">
  <ds:schemaRefs>
    <ds:schemaRef ds:uri="http://schemas.microsoft.com/office/2006/metadata/properties"/>
    <ds:schemaRef ds:uri="http://schemas.microsoft.com/office/infopath/2007/PartnerControls"/>
    <ds:schemaRef ds:uri="5e47dd1e-c75c-4647-a38b-2c348db83d8f"/>
    <ds:schemaRef ds:uri="85d7a996-4dca-498d-b2f5-99e3050e6495"/>
  </ds:schemaRefs>
</ds:datastoreItem>
</file>

<file path=docMetadata/LabelInfo.xml><?xml version="1.0" encoding="utf-8"?>
<clbl:labelList xmlns:clbl="http://schemas.microsoft.com/office/2020/mipLabelMetadata">
  <clbl:label id="{b344bd43-a15c-46f1-a818-f847f921129b}" enabled="0" method="" siteId="{b344bd43-a15c-46f1-a818-f847f92112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GEN</vt:lpstr>
      <vt:lpstr>CIVIL</vt:lpstr>
      <vt:lpstr>CIVIL!Print_Area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Elakabawy, Wael</dc:creator>
  <cp:keywords/>
  <dc:description/>
  <cp:lastModifiedBy>Salem, Ali</cp:lastModifiedBy>
  <cp:revision/>
  <dcterms:created xsi:type="dcterms:W3CDTF">2015-06-05T18:17:20Z</dcterms:created>
  <dcterms:modified xsi:type="dcterms:W3CDTF">2026-10-12T06:19:26Z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0x01010013F3AFB609D59E43A64C56C7F6E0C41E</vt:lpwstr>
  </property>
  <property fmtid="{D5CDD505-2E9C-101B-9397-08002B2CF9AE}" pid="3" name="_dlc_DocIdItemGuid">
    <vt:lpwstr>fb9b8848-f874-493f-b4f4-d6e138fd56e8</vt:lpwstr>
  </property>
  <property fmtid="{D5CDD505-2E9C-101B-9397-08002B2CF9AE}" pid="4" name="MediaServiceImageTags">
    <vt:lpwstr/>
  </property>
</Properties>
</file>