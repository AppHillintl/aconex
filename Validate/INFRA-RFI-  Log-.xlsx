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illintl.sharepoint.com/sites/Extranet2/RasAlHekmaProject/Shared Documents/Departments/Document Control/000 REH-Construction Document/(3048) - Primary Infrastructure/00.03 RFI/"/>
    </mc:Choice>
  </mc:AlternateContent>
  <xr:revisionPtr revIDLastSave="2162" documentId="14_{C2A94D82-9059-49BC-9AED-78E5B4090783}" xr6:coauthVersionLast="47" xr6:coauthVersionMax="47" xr10:uidLastSave="{96AC9DCE-E542-4B2D-9D9A-60BF3D80E16B}"/>
  <bookViews>
    <workbookView xWindow="-108" yWindow="-108" windowWidth="23256" windowHeight="12456" xr2:uid="{00000000-000D-0000-FFFF-FFFF00000000}"/>
  </bookViews>
  <sheets>
    <sheet name="INFRA" sheetId="1" r:id="rId1"/>
  </sheets>
  <definedNames>
    <definedName name="_xlnm._FilterDatabase" localSheetId="0" hidden="1">INFRA!$B$4:$O$160</definedName>
    <definedName name="_xlnm.Print_Area" localSheetId="0">INFRA!$A$1:$R$162</definedName>
    <definedName name="_xlnm.Print_Titles" localSheetId="0">INFRA!$1:$4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N3" i="1"/>
  <c r="N2" i="1"/>
</calcChain>
</file>

<file path=xl/sharedStrings.xml><?xml version="1.0" encoding="utf-8"?>
<sst xmlns="http://schemas.openxmlformats.org/spreadsheetml/2006/main" count="941" uniqueCount="599">
  <si>
    <t>Request For Information Log  form INFRA Project</t>
  </si>
  <si>
    <t>ALL</t>
  </si>
  <si>
    <t>Response </t>
  </si>
  <si>
    <t>Hassan Allam TO HILL</t>
  </si>
  <si>
    <t>Hill to Hassan Allam</t>
  </si>
  <si>
    <t>Dewan to  hill</t>
  </si>
  <si>
    <t>hill TO CCC</t>
  </si>
  <si>
    <t>open</t>
  </si>
  <si>
    <t>Mail No</t>
  </si>
  <si>
    <t>RFI NO</t>
  </si>
  <si>
    <t>REV</t>
  </si>
  <si>
    <t>Subject</t>
  </si>
  <si>
    <t>Date</t>
  </si>
  <si>
    <t>CCCEGY-RFI-000001</t>
  </si>
  <si>
    <t>P000-K03048-HA-HI-RW-RFI-000001</t>
  </si>
  <si>
    <t>HAC-RFI-000001</t>
  </si>
  <si>
    <t>P000-K03048-HA-HI-RW-RFI-000001-Clarification on Super-elevation for Horizontal Curve at Station 29+400</t>
  </si>
  <si>
    <t>HillInt-RTRFI-000024</t>
  </si>
  <si>
    <t>CCCEGY-RFI-000002</t>
  </si>
  <si>
    <t>P000-K03048-HA-HI-RW-RFI-000002</t>
  </si>
  <si>
    <t>HAC-RFI-000002</t>
  </si>
  <si>
    <t>HillInt-RTRFI-000004</t>
  </si>
  <si>
    <t>HillInt-RTRFI-000005</t>
  </si>
  <si>
    <t>HAC-RFI-000006</t>
  </si>
  <si>
    <t>CCCEGY-RFI-000003</t>
  </si>
  <si>
    <t>P000-K03048-HA-HI-RW-RFI-000003</t>
  </si>
  <si>
    <t>HAC-RFI-000003</t>
  </si>
  <si>
    <t>P000-K03048-HA-HI-RW-RFI-000003 -Clarification regarding the pavement layers Extension detail beneath the curbstone</t>
  </si>
  <si>
    <t>HillInt-RTRFI-000007</t>
  </si>
  <si>
    <t>P000-K03048-HA-HI-RW-RFI-000004</t>
  </si>
  <si>
    <t>HAC-RFI-000004</t>
  </si>
  <si>
    <t>P000-K03048-HA-HI-RW-RFI-000004 - Comparison Analysis: Sub-base Design vs. As-Built (Heat Map)</t>
  </si>
  <si>
    <t>HillInt-RTRFI-000006</t>
  </si>
  <si>
    <t>HAC-RFI-000007</t>
  </si>
  <si>
    <t>Re: P000-K03048-HA-HI-RW-RFI-000004 - Comparison Analysis: Sub-base Design vs. As-Built (Heat Map)</t>
  </si>
  <si>
    <t>HillInt-RTRFI-000278</t>
  </si>
  <si>
    <t>P000-K03048-HA-HI-GE-RFI-000005-00</t>
  </si>
  <si>
    <t>HAC-RFI-000005</t>
  </si>
  <si>
    <t>P000-K03048-HA-HI-GE-RFI-000005-00 - Quantities in B.O.Q for Electrical works</t>
  </si>
  <si>
    <t>HillInt-RTRFI-000019</t>
  </si>
  <si>
    <t>P000-K03048-HA-HI-RW-RFI-000006-00</t>
  </si>
  <si>
    <t>P000-K03048-HA-HI-RW-RFI-00006</t>
  </si>
  <si>
    <t xml:space="preserve">P000-K03048-HA-HI-RW-RFI-000006-00 for MS03 Scope Conflict &amp; Land Access Constraints (J7 to J12). </t>
  </si>
  <si>
    <t>HillInt-RTRFI-000097</t>
  </si>
  <si>
    <t>HAC-GNC-000019</t>
  </si>
  <si>
    <t>DRAFT-002163</t>
  </si>
  <si>
    <t>P000-K03048-HA-HI-RW-RFI-0006.</t>
  </si>
  <si>
    <t>HillInt-RTRFI-000243</t>
  </si>
  <si>
    <t>HAC-RFI-000016</t>
  </si>
  <si>
    <t>P000-K03048-HA-HI-ME-RFI-000007-00</t>
  </si>
  <si>
    <t>P000-K03048-HA-HI-ME-RFI-00007</t>
  </si>
  <si>
    <t>P000-K03048-HA-HI-ME-RFI-000007-00 for Missing Finish Floor Levels.</t>
  </si>
  <si>
    <t>HillInt-RTRFI-000299</t>
  </si>
  <si>
    <t>P000-K03048-HA-HI-ME-RFI-000008-00</t>
  </si>
  <si>
    <t>P000-K03048-HA-HI-ME-RFI-00008</t>
  </si>
  <si>
    <t>P000-K03048-HA-HI-ME-RFI-000008-00 for Missing Connection Level and Detail for the Connection between STP-1/STP-3-1/T-1-1/T-2-5 and Irrigation Line.</t>
  </si>
  <si>
    <t>HillInt-RTRFI-000200</t>
  </si>
  <si>
    <t>P000-K03048-HA-HI-ME-RFI-000009-00</t>
  </si>
  <si>
    <t>P000-K03048-HA-HI-ME-RFI-00009</t>
  </si>
  <si>
    <t>P000-K03048-HA-HI-ME-RFI-000009-00 for Missing Connection Level and Detail for the Connection between RO Water tank (RO-1) and Potable Water Line</t>
  </si>
  <si>
    <t>HillInt-RTRFI-000201</t>
  </si>
  <si>
    <t xml:space="preserve">P000-K03048-HA-HI-ME-RFI-000010-00 </t>
  </si>
  <si>
    <t>P000-K03048-HA-HI-ME-RFI-00010</t>
  </si>
  <si>
    <t>P000-K03048-HA-HI-ME-RFI-000010-00 for Missing Sediment Trap Item in BOQ and Missing Detail and Geometry.</t>
  </si>
  <si>
    <t>HillInt-RTRFI-000202</t>
  </si>
  <si>
    <t>P000-K03048-HA-HI-ME-RFI-000011-00</t>
  </si>
  <si>
    <t>P000-K03048-HA-HI-ME-RFI-00011</t>
  </si>
  <si>
    <t xml:space="preserve"> P000-K03048-HA-HI-ME-RFI-000011-00 for Missing Manhole with Flooding Sensor typical Detail and Missing item in BOQ for the Manhole with Flooding Sensor.</t>
  </si>
  <si>
    <t>HillInt-RTRFI-000240</t>
  </si>
  <si>
    <t>P000-K03048-HA-HI-ST-RFI-000012-00</t>
  </si>
  <si>
    <t>P000-K03048-HA-HI-ST-RFI-00012</t>
  </si>
  <si>
    <t>P000-K03048-HA-HI-ST-RFI-000012-00 for Missing structure detail for box culvert with full Concrete Dimensions and Sections.</t>
  </si>
  <si>
    <t>send to shaker</t>
  </si>
  <si>
    <t>Reminder  to shaker 27 April 2026</t>
  </si>
  <si>
    <t>P000-K03048-HA-HI-ME-RFI-000013-00</t>
  </si>
  <si>
    <t>P000-K03048-HA-HI-ME-RFI-00013</t>
  </si>
  <si>
    <t>P000-K03048-HA-HI-ME-RFI-000013-00 for Missing Connection Point Level and location between storm main line and box culvert.</t>
  </si>
  <si>
    <t>HillInt-RTRFI-000203</t>
  </si>
  <si>
    <t>P000-K03048-HA-HI-ST-RFI-000014-00</t>
  </si>
  <si>
    <t>P000-K03048-HA-HI-ST-RFI-00014</t>
  </si>
  <si>
    <t>P000-K03048-HA-HI-ST-RFI-000014-00 for Missing Structure Design Details for all valve chambers (PW and IRR and Forced Main).</t>
  </si>
  <si>
    <t>HillInt-RTRFI-000386</t>
  </si>
  <si>
    <t>Reminder  to shaker 21 April 2026</t>
  </si>
  <si>
    <t>P000-K03048-HA-HI-GE-RFI-000015-00</t>
  </si>
  <si>
    <t>HAC-RFI-000009</t>
  </si>
  <si>
    <t xml:space="preserve">P000-K03048-HA-HI-GE-RFI-000015-00 for Gravity Networks Ductile Iron Covers Logo Design </t>
  </si>
  <si>
    <t>HillInt-RTRFI-000219</t>
  </si>
  <si>
    <t>P000-K03048-HA-HI-GE-RFI-0015</t>
  </si>
  <si>
    <t>P000-K03048-HA-HI-ME-RFI-000016-00</t>
  </si>
  <si>
    <t>P000-K03048-HA-HI-ME-RFI-00016</t>
  </si>
  <si>
    <t>P000-K03048-HA-HI-ME-RFI-000016-00 For Catch Basins are Located in the High Points of Road.</t>
  </si>
  <si>
    <t>HillInt-RTRFI-000204</t>
  </si>
  <si>
    <t>P000-K03048-HA-HI-ME-RFI-000017-00</t>
  </si>
  <si>
    <t>P000-K03048-HA-HI-ME-RFI-00017</t>
  </si>
  <si>
    <t>P000-K03048-HA-HI-ME-RFI-000017-00 For Irrigation Network 12m difference between the Main Line and the Connection with the Tank.</t>
  </si>
  <si>
    <t>HillInt-RTRFI-000291</t>
  </si>
  <si>
    <t>P000-K03048-HA-HI-ME-RFI-000018-00</t>
  </si>
  <si>
    <t>P000-K03048-HA-HI-ME-RFI-00018</t>
  </si>
  <si>
    <t>P000-K03048-HA-HI-ME-RFI-000018-00 For Sewage network distance between manholes Ring Road – Overall Layout.</t>
  </si>
  <si>
    <t>HillInt-RTRFI-000293</t>
  </si>
  <si>
    <t>P000-K03048-HA-HI-ME-RFI-000019-00</t>
  </si>
  <si>
    <t>P000-K03048-HA-HI-ME-RFI-00019</t>
  </si>
  <si>
    <t>P000-K03048-HA-HI-ME-RFI-000019-00 For Sewage network pipe cover Ring Road – Overall Layout.</t>
  </si>
  <si>
    <t>HillInt-RTRFI-000292</t>
  </si>
  <si>
    <t>P000-K03048-HA-HI-ST-RFI-000020-00</t>
  </si>
  <si>
    <t>HAC-RFI-000011</t>
  </si>
  <si>
    <t>P000-K03048-HA-HI-ST-RFI-000020 for Fence Relocation with 1m Offset from ROW (Station 22+800 to 12+900) For Ring Road Overall Layout.</t>
  </si>
  <si>
    <t>HillInt-RTRFI-000269</t>
  </si>
  <si>
    <t>P000-K03048-HA-HI-GE-RFI-000021-00</t>
  </si>
  <si>
    <t>HAC-RFI-000012</t>
  </si>
  <si>
    <t>P000-K03048-HA-HI-GE-RFI-000021 for Hoarding purposed location for Sign Board Locations at entrance of Infra Project.</t>
  </si>
  <si>
    <t>HillInt-RTRFI-000229</t>
  </si>
  <si>
    <t>P000-K03048-HA-HI-ME-RFI-000022-00</t>
  </si>
  <si>
    <t>HAC-RFI-000014</t>
  </si>
  <si>
    <t>P000-K03048-HA-HI-ME-RFI-000022 For Change in Valves &amp; Special Fitting PN From 16 to 20 (PW and IRR and Forced Main).</t>
  </si>
  <si>
    <t>HillInt-RTRFI-000296</t>
  </si>
  <si>
    <t>P000-K03048-HA-HI-GE-RFI-000023-00</t>
  </si>
  <si>
    <t>HAC-RFI-000015</t>
  </si>
  <si>
    <t>P000-K03048-HA-HI-GE-RFI-000023 For Request to Review and Approval for the Structural Design three Project signboard (Main, Directional &amp; Site Safety).</t>
  </si>
  <si>
    <t>HillInt-RTRFI-000281</t>
  </si>
  <si>
    <t>P000-K03048-HA-HI-GE-RFI-000023-01</t>
  </si>
  <si>
    <t>HAC-RFI-000017</t>
  </si>
  <si>
    <t>Re: Kindly find attached outgoing RFI from HAC to HILL Ref. P000-K03048-HA-HI-GE-RFI-000023 For Request to Review and Approval for the Structural Design three Project signboard (Main, Directional &amp; Site Safety). Rev01</t>
  </si>
  <si>
    <t>HillInt-RTRFI-000344</t>
  </si>
  <si>
    <t xml:space="preserve">
Mr Tamer Elsayed</t>
  </si>
  <si>
    <t>P000-K03048-HA-HI-ME-RFI-000024</t>
  </si>
  <si>
    <t>HAC-RFI-000018</t>
  </si>
  <si>
    <t>P000-K03048-HA-HI-ME-RFI-000024 for Discrepancy in Centerline Levels for the Outside Area (Reference to RFI No. 7).</t>
  </si>
  <si>
    <t>HillInt-RTRFI-000407</t>
  </si>
  <si>
    <t>P000-K03048-HA-HI-ME-RFI-000025</t>
  </si>
  <si>
    <t>HAC-RFI-000019</t>
  </si>
  <si>
    <t>P000-K03048-HA-HI-ME-RFI-000025 for Conflict Between Storm Water IFC Drawings and Existing Culverts on Site.</t>
  </si>
  <si>
    <t>HillInt-RTRFI-000378</t>
  </si>
  <si>
    <t>send to Shaker 
HillInt-RFI-000216</t>
  </si>
  <si>
    <t xml:space="preserve">send reminder </t>
  </si>
  <si>
    <t>P000-K03048-HA-HI-GE-RFI-000026</t>
  </si>
  <si>
    <t>HAC-RFI-000020</t>
  </si>
  <si>
    <t>P000-K03048-HA-HI-GE-RFI-000026 for Infra Project Signage Layout &amp; Formatting At Entrance of Infra Project.</t>
  </si>
  <si>
    <t>send to hill 
eng-Ayman El Ghannam 
to signature
04/05/2026</t>
  </si>
  <si>
    <t>P000-K03048-HA-HI-ME-RFI-000027</t>
  </si>
  <si>
    <t>HAC-RFI-000024</t>
  </si>
  <si>
    <t>P000-K03048-HA-HI-ME-RFI-000027 for Clash Between Existing Culverts and Irrigation Main Line.</t>
  </si>
  <si>
    <t>HillInt-RTRFI-000350</t>
  </si>
  <si>
    <t>P000-K03048-HA-HI-ME-RFI-000028</t>
  </si>
  <si>
    <t>HAC-RFI-000025</t>
  </si>
  <si>
    <t>P000-K03048-HA-HI-ME-RFI-000028 for Clash Between Existing Culverts and Potable Water Main Line.</t>
  </si>
  <si>
    <t>HillInt-RTRFI-000349</t>
  </si>
  <si>
    <t>P000-K03048-HA-HI-BR-RFI-000029</t>
  </si>
  <si>
    <t>HAC-RFI-000026</t>
  </si>
  <si>
    <t>P000-K03048-HA-HI-BR-RFI-000029 for Hoarding purposed location Infra at Bridge J09.</t>
  </si>
  <si>
    <t>P000-K03048-HA-HI-BR-RFI-000030</t>
  </si>
  <si>
    <t>HAC-RFI-000027</t>
  </si>
  <si>
    <t>P000-K03048-HA-HI-BR-RFI-000030 For Requesting date about the non-Working Pile At Bridge J09.</t>
  </si>
  <si>
    <t>HillInt-RTRFI-000384</t>
  </si>
  <si>
    <t>P000-K03048-HA-HI-BR-RFI-000031</t>
  </si>
  <si>
    <t>HillInt-RFI-000275</t>
  </si>
  <si>
    <t>P000-K03048-HA-HI-BR-RFI-000031 For Steel Reinforcement Grade Clarification At Bridge J09.</t>
  </si>
  <si>
    <t>P000-K03048-HA-HI-BR-RFI-000032</t>
  </si>
  <si>
    <t>HAC-RFI-000029</t>
  </si>
  <si>
    <t>P000-K03048-HA-HI-BR-RFI-000032 For Cement Type of Piles Mix Design.</t>
  </si>
  <si>
    <t>HillInt-RTRFI-000434</t>
  </si>
  <si>
    <t>P000-K03048-HA-HI-ME-RFI-000033</t>
  </si>
  <si>
    <t>HAC-RFI-000032</t>
  </si>
  <si>
    <t>P000-K03048-HA-HI-ME-RFI-000033 For Concrete Encasement Around Pipes Not Included in BOQ.</t>
  </si>
  <si>
    <t>HillInt-RTRFI-000398</t>
  </si>
  <si>
    <t>MOATAZ 
TAMER</t>
  </si>
  <si>
    <t>P000-K03048-HA-HI-ME-RFI-000034</t>
  </si>
  <si>
    <t>HAC-RFI-000033</t>
  </si>
  <si>
    <t>P000-K03048-HA-HI-ME-RFI-000034 For The thrust block for bends Not Included in BOQ.</t>
  </si>
  <si>
    <t>HillInt-RTRFI-000394</t>
  </si>
  <si>
    <t>P000-K03048-HA-HI-ME-RFI-000035</t>
  </si>
  <si>
    <t>HAC-RFI-000034</t>
  </si>
  <si>
    <t>P000-K03048-HA-HI-ME-RFI-000035 For Catch Basin Section Modification.</t>
  </si>
  <si>
    <t>HillInt-RTRFI-000435</t>
  </si>
  <si>
    <t>P000-K03048-HA-HI-ST-RFI-000036</t>
  </si>
  <si>
    <t>HAC-RFI-000035</t>
  </si>
  <si>
    <t>P000-K03048-HA-HI-ST-RFI-000036 For Missing Structure Details for Chambers and Culver Box.</t>
  </si>
  <si>
    <t xml:space="preserve">send to hill 
eng-Ayman El Ghannam </t>
  </si>
  <si>
    <t>P000-K03048-HA-HI-GE-RFI-000037</t>
  </si>
  <si>
    <t>HAC-RFI-000043</t>
  </si>
  <si>
    <t>P000-K03048-HA-HI-GE-RFI-000037 for Modification of Sign Board location for Infra Project at Entrance of Infra Project.</t>
  </si>
  <si>
    <t>HillInt-RTRFI-000448</t>
  </si>
  <si>
    <t>P000-K03048-HA-HI-ME-RFI-000038</t>
  </si>
  <si>
    <t>HAC-RFI-000044</t>
  </si>
  <si>
    <t>P000-K03048-HA-HI-ME-RFI-000038 for Confirmation of Proposed FGL Levels for Road to STP-01 and RO Water Tank.</t>
  </si>
  <si>
    <t>HillInt-RTRFI-000466</t>
  </si>
  <si>
    <t xml:space="preserve">send to Shaker </t>
  </si>
  <si>
    <t xml:space="preserve">P000-K03048-HA-HI-ME-RFI-000039 </t>
  </si>
  <si>
    <t>HAC-RFI-000045</t>
  </si>
  <si>
    <t>P000-K03048-HA-HI-ME-RFI-000039 for Warning Tape clarification for Wet Utilities (overall).</t>
  </si>
  <si>
    <t>HillInt-RTRFI-000465</t>
  </si>
  <si>
    <t>P000-K03048-HA-HI-ME-RFI-000040</t>
  </si>
  <si>
    <t>HAC-RFI-000046</t>
  </si>
  <si>
    <t>P000-K03048-HA-HI-ME-RFI-000040 for Proposed Box Culverts Clashes (Box Over All Layout).</t>
  </si>
  <si>
    <t>HillInt-RTRFI-000464</t>
  </si>
  <si>
    <t>P000-K03048-HA-HI-EL-RFI-000041</t>
  </si>
  <si>
    <t>HAC-RFI-000047</t>
  </si>
  <si>
    <t>Lighting poles more specifications .</t>
  </si>
  <si>
    <t>P000-K03048-HA-HI-BR-RFI-000042</t>
  </si>
  <si>
    <t>HAC-RFI-000048</t>
  </si>
  <si>
    <t>Bridge J09 - Proposal for new cut-off levels for pile caps at axis MB P01, MB P02 and MB P03.</t>
  </si>
  <si>
    <t>P000-K03048-HA-HI-BR-RFI-000043</t>
  </si>
  <si>
    <t>HAC-RFI-000049</t>
  </si>
  <si>
    <t>Proposal for Cold - applied bitumen emulsion for waterproofing for Beneath of Pile Cap for All Bridges.</t>
  </si>
  <si>
    <t>P000-K03048-HA-HI-BR-RFI-000045</t>
  </si>
  <si>
    <t>HAC-RFI-000051</t>
  </si>
  <si>
    <t>Clarification on Conflicting Concrete Specifications between Specification [STANDARD CONSTRUCTION SPECIFICATIONS PART 2 ROAD STRUCTURE] and Specification [Primary Infrastructure Package for the Ring Road Volume (2)</t>
  </si>
  <si>
    <t>P000-K03048-HA-HI-ME-RFI-000044</t>
  </si>
  <si>
    <t>HAC-RFI-000050</t>
  </si>
  <si>
    <t>Clarification Required Regarding Utility Design Levels and Existing Ground Levels – STP-1 Access Road.</t>
  </si>
  <si>
    <t>P000-K03048-HA-HI-BR-RFI-000046</t>
  </si>
  <si>
    <t>HAC-RFI-000052</t>
  </si>
  <si>
    <t>Request for Clarification &amp; Adjustment of Pile Cut-Off Level for axis MB P04 and MB P05 at bridge J09.</t>
  </si>
  <si>
    <t>P000-K03048-HA-HI-ME-RFI-000047</t>
  </si>
  <si>
    <t>HAC-RFI-000053</t>
  </si>
  <si>
    <t>Proposed Box Culverts Modification Ras Elhekma Ring Road station 28+500 &amp; station 19+300.</t>
  </si>
  <si>
    <t>HillInt-RTRFI-000544</t>
  </si>
  <si>
    <t>HillInt-RTRFI-000557</t>
  </si>
  <si>
    <t>HillInt-RTRFI-000558</t>
  </si>
  <si>
    <t>HillInt-RTRFI-000559</t>
  </si>
  <si>
    <t>HillInt-RTRFI-000560</t>
  </si>
  <si>
    <t>HillInt-RTRFI-000564</t>
  </si>
  <si>
    <t>P000-K03048-HA-HI-EL-RFI-000048</t>
  </si>
  <si>
    <t>HAC-RFI-000054</t>
  </si>
  <si>
    <t>Clarification on Road Crossing Sleeves (Ras Elhekma Ring Road station 28+500 &amp; station 19+300).</t>
  </si>
  <si>
    <t>HillInt-RTRFI-000567</t>
  </si>
  <si>
    <t>P000-K03048-HA-HI-ST-RFI-000049</t>
  </si>
  <si>
    <t>HAC-RFI-000055</t>
  </si>
  <si>
    <t>Valve Chambers Structure Details Queries(Over All Layout).</t>
  </si>
  <si>
    <t>P000-K03048-HA-HI-BR-RFI-000050</t>
  </si>
  <si>
    <t>HAC-RFI-000056</t>
  </si>
  <si>
    <t>Proposal for Piles to be tested for the Cross Hole Sonic Logging Test (CSL) at bridge J09 main bridge from MB-P01 to MB-P05.</t>
  </si>
  <si>
    <t>HillInt-RTRFI-000579</t>
  </si>
  <si>
    <t>P000-K03048-HA-HI-BR-RFI-000051</t>
  </si>
  <si>
    <t>HAC-RFI-000062</t>
  </si>
  <si>
    <t>Request for confirmation of using mass concrete at pile caps only (All Bridges).</t>
  </si>
  <si>
    <t>HillInt-RTRFI-000588</t>
  </si>
  <si>
    <t>HillInt-RTRFI-000589</t>
  </si>
  <si>
    <t>P000-K03048-HA-HI-RW-RFI-000052</t>
  </si>
  <si>
    <t>HAC-RFI-000063</t>
  </si>
  <si>
    <t>Review and Approval of the Alignment, Profile, and Proposed Typical Section for Utility Route Backfilling Corridor to STP1(Ring Road -East Zone – General)</t>
  </si>
  <si>
    <t>HAC-RFI-000064</t>
  </si>
  <si>
    <t>P000-K03048-HA-HI-ME-RFI-000053</t>
  </si>
  <si>
    <t>HAC-RFI-000065</t>
  </si>
  <si>
    <t>Clarification of Operating Pressure and Request for Design Report (Over All ).</t>
  </si>
  <si>
    <t>00</t>
  </si>
  <si>
    <t>01</t>
  </si>
  <si>
    <t>HillInt-RTRFI-000608</t>
  </si>
  <si>
    <t>HAC-RFI-000066</t>
  </si>
  <si>
    <t xml:space="preserve"> Missing Structure Details for Chambers and Culver Box.</t>
  </si>
  <si>
    <t>HillInt-RTRFI-000612</t>
  </si>
  <si>
    <t>HAC-RFI-000067</t>
  </si>
  <si>
    <t>P000-K03048-HA-HI-EL-RFI-000054</t>
  </si>
  <si>
    <t>Clarification of HDPE Conduit Specification for Road Crossings Sleeves.</t>
  </si>
  <si>
    <t>P000-K03048-HA-HI-EL-RFI-000055</t>
  </si>
  <si>
    <t>HAC-RFI-000068</t>
  </si>
  <si>
    <t>Landscape Design Required for Recessed Manhole Covers.</t>
  </si>
  <si>
    <t>P000-K03048-HA-HI-EL-RFI-000056</t>
  </si>
  <si>
    <t>HAC-RFI-000070</t>
  </si>
  <si>
    <t xml:space="preserve"> Discrepancy in LV Feeder Cable Size Between IFC Drawings and BOQ (Over All).</t>
  </si>
  <si>
    <t>P000-K03048-HA-HI-BR-RFI-000057</t>
  </si>
  <si>
    <t>HAC-RFI-000071</t>
  </si>
  <si>
    <t>Requesting the Use of CEM III in Pile Concrete Mix Design for JN 09 (Bridges J09).</t>
  </si>
  <si>
    <t>P000-K03048-HA-HI-BR-RFI-000058</t>
  </si>
  <si>
    <t>HAC-RFI-000072</t>
  </si>
  <si>
    <t>Requested evidence for GGBS material &amp; CEM III proposed mix design.</t>
  </si>
  <si>
    <t>HillInt-RTRFI-000622</t>
  </si>
  <si>
    <t>HillInt-RTRFI-000626</t>
  </si>
  <si>
    <t>HillInt-RTRFI-000627</t>
  </si>
  <si>
    <t>P000-K03048-HA-HI-EL-RFI-000059</t>
  </si>
  <si>
    <t>Scope Clarification – MV Feeder Connection Over All Infra.</t>
  </si>
  <si>
    <t>HAC-RFI-000074</t>
  </si>
  <si>
    <t>HillInt-RTRFI-000654</t>
  </si>
  <si>
    <t>HillInt-RTRFI-000656</t>
  </si>
  <si>
    <t>P000-K03048-HA-HI-ST-RFI-000060</t>
  </si>
  <si>
    <t>HAC-RFI-000075</t>
  </si>
  <si>
    <t>Clarification of Ductile Iron Cover Load Rating for Valve Chambers (Over All).</t>
  </si>
  <si>
    <t>P000-K03048-HA-HI-BR-RFI-000061</t>
  </si>
  <si>
    <t>HAC-RFI-000076</t>
  </si>
  <si>
    <t>Confirmation list of Piles for Cross Hole Sonic Logging Testing (CSL) at bridge J09 main bridge At MB-A01 and MB-A02.</t>
  </si>
  <si>
    <t>P000-K03048-HA-HI-ST-RFI-000062</t>
  </si>
  <si>
    <t>HAC-RFI-000077</t>
  </si>
  <si>
    <t>Proposed Location of Civil Defense Station.</t>
  </si>
  <si>
    <t>HillInt-RTRFI-000667</t>
  </si>
  <si>
    <t>HAC-RFI-000078</t>
  </si>
  <si>
    <t xml:space="preserve">
HAC-RFI-000079</t>
  </si>
  <si>
    <t>HillInt-RTRFI-000676</t>
  </si>
  <si>
    <t>HillInt-RTRFI-000678</t>
  </si>
  <si>
    <t>HillInt-RTRFI-000679</t>
  </si>
  <si>
    <t>HillInt-RTRFI-000680</t>
  </si>
  <si>
    <t>P000-K03048-HA-HI-ST-RFI-000063</t>
  </si>
  <si>
    <t>HAC-RFI-000083</t>
  </si>
  <si>
    <t>Request for Box Culvert Extension Design (Over All).</t>
  </si>
  <si>
    <t>02</t>
  </si>
  <si>
    <t>HAC-RFI-000082</t>
  </si>
  <si>
    <t>Missing Structure Details for Chambers and Culver Box.</t>
  </si>
  <si>
    <t>HillInt-RTRFI-000691</t>
  </si>
  <si>
    <t>HillInt-RFI-000629</t>
  </si>
  <si>
    <t>P000-K03048-HA-HI-BR-RFI-000064</t>
  </si>
  <si>
    <t>HAC-RFI-000084</t>
  </si>
  <si>
    <t>Discrepancy Between Geotechnical Report by EGEC and Project Final Specifications for Pile Settlement Limits (Particular Specs. ) (Bridge 09).</t>
  </si>
  <si>
    <t>P000-K03048-HA-HI-BR-RFI-000065</t>
  </si>
  <si>
    <t>HAC-RFI-000085</t>
  </si>
  <si>
    <t>Requesting Clarification of Bridge Deck Slab Waterproofing Membrane Thickness .</t>
  </si>
  <si>
    <t>P000-K03048-HA-HI-ME-RFI-000066</t>
  </si>
  <si>
    <t>HAC-RFI-000086</t>
  </si>
  <si>
    <t>Clarification of Washout Valve Chamber Drainage Arrangement and Discharge Method (Over All).</t>
  </si>
  <si>
    <t>P000-K03048-HA-HI-ME-RFI-000067</t>
  </si>
  <si>
    <t>HAC-RFI-000087</t>
  </si>
  <si>
    <t>Approval of DWC HDPE Pipe Installation Arrangement Between Gravity Manholes.</t>
  </si>
  <si>
    <t>HillInt-RFI-000658</t>
  </si>
  <si>
    <t>HillInt-RTRFI-000703</t>
  </si>
  <si>
    <t>HillInt-RFI-000662</t>
  </si>
  <si>
    <t>P000-K03048-HA-HI-ME-RFI-000068</t>
  </si>
  <si>
    <t>HAC-RFI-000090</t>
  </si>
  <si>
    <t>Clarification Regarding Sewer Pipeline Levels at Box Culvert Crossing (Over All).</t>
  </si>
  <si>
    <t>HillInt-RTRFI-000724</t>
  </si>
  <si>
    <t>P000-K03048-HA-HI-BR-RFI-000069</t>
  </si>
  <si>
    <t>HAC-RFI-000093</t>
  </si>
  <si>
    <t>Confirmation of Final Spherical Bearing Design Load of Bridge J09.</t>
  </si>
  <si>
    <t>HillInt-RTRFI-000741</t>
  </si>
  <si>
    <t>HillInt-RTRFI-000742</t>
  </si>
  <si>
    <t>HAC-RFI-000094</t>
  </si>
  <si>
    <t>HillInt-RTRFI-000748</t>
  </si>
  <si>
    <t>P000-K03048-HA-HI-BR-RFI-000070</t>
  </si>
  <si>
    <t>HAC-RFI-000096</t>
  </si>
  <si>
    <t>Clarification on Load Test Criteria for Non-Working Pile of Bridge J10.</t>
  </si>
  <si>
    <t>HillInt-RTRFI-000770</t>
  </si>
  <si>
    <t>HillInt-RTRFI-000785</t>
  </si>
  <si>
    <t>HillInt-RTRFI-000786</t>
  </si>
  <si>
    <t>HillInt-RTRFI-000790</t>
  </si>
  <si>
    <t>P000-K03048-HA-HI-BR-RFI-000071</t>
  </si>
  <si>
    <t>HAC-RFI-000098</t>
  </si>
  <si>
    <t>Clarification of the Required Number of static load test (non-working piles and working piles) for Bridge J09.</t>
  </si>
  <si>
    <t>P000-K03048-HA-HI-BR-RFI-000072</t>
  </si>
  <si>
    <t>HAC-RFI-000099</t>
  </si>
  <si>
    <t>Subject: Conformation of pile cut off levels and pile caps top level for Axis from MB P01 to MB P05 at Junction 09.</t>
  </si>
  <si>
    <t>HillInt-RTRFI-000796</t>
  </si>
  <si>
    <t>HillInt-RTRFI-000795</t>
  </si>
  <si>
    <t>HillInt-RTRFI-000811</t>
  </si>
  <si>
    <t>HillInt-RTRFI-000813</t>
  </si>
  <si>
    <t xml:space="preserve">
HillInt-RTRFI-000814</t>
  </si>
  <si>
    <t>P000-K03048-HA-HI-ME-RFI-000073</t>
  </si>
  <si>
    <t>HAC-RFI-000100</t>
  </si>
  <si>
    <t>Concrete Encasement Requirement for Double Wall Corrugated HDPE Pipes (Over All).</t>
  </si>
  <si>
    <t>P000-K03048-HA-HI-BR-RFI-000074</t>
  </si>
  <si>
    <t>HAC-RFI-000101</t>
  </si>
  <si>
    <t>Request for Approval of Alternative 2.5 mm Thickness for Cross hole sonic test Access Tubes – for piles work.</t>
  </si>
  <si>
    <t>P000-K03048-HA-HI-BR-RFI-000075</t>
  </si>
  <si>
    <t>HAC-RFI-000102</t>
  </si>
  <si>
    <t>Confirmation that the Concrete of Superstructure Elements is considered “Low” permeability level with a maximum limit of RCPT of 2000 coulombs All BRIDGES.</t>
  </si>
  <si>
    <t>HAC-RFI-000103</t>
  </si>
  <si>
    <t>Request for Confirmation of Execution Mass Concrete for Pile Cap only for all Junctions. (Rev.01)</t>
  </si>
  <si>
    <t>HAC-RFI-000104</t>
  </si>
  <si>
    <t>HillInt-RTRFI-000828</t>
  </si>
  <si>
    <t>HillInt-RTRFI-000829</t>
  </si>
  <si>
    <t>HillInt-RTRFI-000833</t>
  </si>
  <si>
    <t>send to Shaker</t>
  </si>
  <si>
    <t>HillInt-RTRFI-000836</t>
  </si>
  <si>
    <t>HillInt-RTRFI-000856</t>
  </si>
  <si>
    <t>HillInt-RTRFI-000857</t>
  </si>
  <si>
    <t>HillInt-RTRFI-000861</t>
  </si>
  <si>
    <t>HillInt-RTRFI-000862</t>
  </si>
  <si>
    <t>P000-K03048-HA-HI-ST-RFI-000076</t>
  </si>
  <si>
    <t>HAC-RFI-000107</t>
  </si>
  <si>
    <t>Clarification of Plain Concrete Grade for Catch Basin and Manholes Over All .</t>
  </si>
  <si>
    <t>HAC-RFI-000108</t>
  </si>
  <si>
    <t>HillInt-RTRFI-000892</t>
  </si>
  <si>
    <t>P000-K03048-HA-HI-ME-RFI-000077</t>
  </si>
  <si>
    <t>HAC-RFI-000109</t>
  </si>
  <si>
    <t xml:space="preserve"> Proposed Culvert at St.13+500 Level Modification to Resolve Conflict with Proposed 1200mm Potable Water Pipeline (Ring Road)</t>
  </si>
  <si>
    <t>P000-K03048-HA-HI-El-RFI-000078</t>
  </si>
  <si>
    <t>HAC-RFI-000110</t>
  </si>
  <si>
    <t>Clarification of Installation Method for CCTV Panel Outgoing Feeder Cables to Smart Poles and Emergency Points (Ring Road)</t>
  </si>
  <si>
    <t>HAC-RFI-000111</t>
  </si>
  <si>
    <t>Clarification on Earthworks Limits and Final Grading Levels for Sidewalk &amp; Utility Corridor rev (02)</t>
  </si>
  <si>
    <t xml:space="preserve"> Clarification on Earthworks Limits and Final Grading Levels for Sidewalk &amp; Utility Corridor</t>
  </si>
  <si>
    <t>HAC-RFI-000114</t>
  </si>
  <si>
    <t>P000-K03048-HA-HI-ME-RFI-000079</t>
  </si>
  <si>
    <t>Clarification of Installation Method for 110 mm UPVC Duct Line with 4 × 32 mm HDPE Sub-Ducts.</t>
  </si>
  <si>
    <t>P000-K03048-HA-HI-ST-RFI-000080</t>
  </si>
  <si>
    <t>HAC-RFI-000115</t>
  </si>
  <si>
    <t>Proposed Foundation Design for 20 m Lighting Poles (Over All).</t>
  </si>
  <si>
    <t>HAC-RFI-000116</t>
  </si>
  <si>
    <t>P000-K03048-HA-HI-BR-RFI-000081</t>
  </si>
  <si>
    <t>Discrepancy between the Right &amp; Left Side for New Jersey Barrier in terms of the Architectural Design of Barrier &amp; Barrier Details for Main Bridge of Junction 09.</t>
  </si>
  <si>
    <t>HillInt-RTRFI-000919</t>
  </si>
  <si>
    <t>P000-K03048-HA-HI-ME-RFI-000082</t>
  </si>
  <si>
    <t>HAC-RFI-000128</t>
  </si>
  <si>
    <t>Proposed Modification of Sewage Pipeline Alignment at Existing Box Culverts.</t>
  </si>
  <si>
    <t>HillInt-RTRFI-000923</t>
  </si>
  <si>
    <t>HillInt-RTRFI-000925</t>
  </si>
  <si>
    <t>P000-K03048-HA-HI-EL-RFI-000083</t>
  </si>
  <si>
    <t>HAC-RFI-000129</t>
  </si>
  <si>
    <t>Clarification of DALI Cable Size and Quantity for Street Lighting Control System.</t>
  </si>
  <si>
    <t>P000-K03048-HA-HI-ST-RFI-000084</t>
  </si>
  <si>
    <t>HAC-RFI-000138</t>
  </si>
  <si>
    <t>Proposed Precast Design for Sewage and Stormwater Manholes.</t>
  </si>
  <si>
    <t>HAC-RFI-000140</t>
  </si>
  <si>
    <t>P000-K03048-HA-HI-BR-RFI-000085</t>
  </si>
  <si>
    <t>Requesting for using Cement Type CEMIII/A (OPC+ 50% GGBS) instead of Cement Type CEMIII/B (OPC+ 65% GGBS) for all Reinforced Concrete Elements.</t>
  </si>
  <si>
    <t>HAC-RFI-000141</t>
  </si>
  <si>
    <t>P000-K03048-HA-HI-ME-RFI-000086</t>
  </si>
  <si>
    <t>Proposed Change of DWC HDPE Pipe Diameter from 1100 mm to 1200 mm (Over All)</t>
  </si>
  <si>
    <t>HillInt-RTRFI-000945</t>
  </si>
  <si>
    <t>HAC-RFI-000142</t>
  </si>
  <si>
    <t>Request for Confirmation of using Mass Concrete for Pile Caps only(All Bridges/Junctions) (Rev.02)</t>
  </si>
  <si>
    <t>P000-K03048-HA-HI-BR-RFI-000087</t>
  </si>
  <si>
    <t>HAC-RFI-000143</t>
  </si>
  <si>
    <t>Overlap Between Executed Non-Working Test Pile and Pile Cap at Axis MB-P03 at Junction 10.</t>
  </si>
  <si>
    <t xml:space="preserve">
HAC-RFI-000145</t>
  </si>
  <si>
    <t>P000-K03048-HA-HI-ME-RFI-000088</t>
  </si>
  <si>
    <t>Insufficient Pipe Cover at Potable Water Crossings above Existing Box Culverts.</t>
  </si>
  <si>
    <t>HillInt-RTRFI-000949</t>
  </si>
  <si>
    <t>HillInt-RTRFI-000962</t>
  </si>
  <si>
    <t>HillInt-RTRFI-000968</t>
  </si>
  <si>
    <t>HillInt-RTRFI-000967</t>
  </si>
  <si>
    <t>HillInt-RTRFI-000969</t>
  </si>
  <si>
    <t>HillInt-RTRFI-000970</t>
  </si>
  <si>
    <t>P000-K03048-HA-HI-BR-RFI-000089</t>
  </si>
  <si>
    <t>HAC-RFI-000147</t>
  </si>
  <si>
    <t>Proposed Piles for Cross Hole Sonic Logging (CSL) Testing – Bridge J09 U Turn 2 from Axis (U2-A1) to Axis (U2-A2)</t>
  </si>
  <si>
    <t>P000-K03048-HA-HI-BR-RFI-000090</t>
  </si>
  <si>
    <t>HAC-RFI-000148</t>
  </si>
  <si>
    <t xml:space="preserve"> Proposed Piles for Cross Hole Sonic Logging (CSL) Testing – Bridge J09 U Turn 1 From Axis (U1-A1) to Axis (U1-A2)</t>
  </si>
  <si>
    <t>P000-K03048-HA-HI-BR-RFI-000091</t>
  </si>
  <si>
    <t>HAC-RFI-000149</t>
  </si>
  <si>
    <t>Proposed Piles for Cross Hole Sonic Logging (CSL) Testing – Bridge J10 Main Bridge from Axis (MB-A1) to Axis (MB-A2).</t>
  </si>
  <si>
    <t>P000-K03048-HA-HI-BR-RFI-000092</t>
  </si>
  <si>
    <t>HAC-RFI-000150</t>
  </si>
  <si>
    <t>Proposed Piles for Cross Hole Sonic Logging (CSL) Testing – Bridge J05 Main Bridge from Axis (MB-A1) to Axis (MB-A2).</t>
  </si>
  <si>
    <t>P000-K03048-HA-HI-BR-RFI-000093</t>
  </si>
  <si>
    <t>HAC-RFI-000151</t>
  </si>
  <si>
    <t>Proposed Piles for Cross Hole Sonic Logging (CSL) Testing – Bridge J03 Main Bridge from Axis (MB-A1) to Axis (MB-A2).</t>
  </si>
  <si>
    <t>P000-K03048-HA-HI-EL-RFI-000094</t>
  </si>
  <si>
    <t>HAC-RFI-000152</t>
  </si>
  <si>
    <t>Clarification on Installation Method of Telecom Micro-Ducts – Direct Buried vs. Inside 110 mm UPVC Conduit.</t>
  </si>
  <si>
    <t>P000-K03048-HA-HI-EL-RFI-000095</t>
  </si>
  <si>
    <t>HAC-RFI-000153</t>
  </si>
  <si>
    <t>Request for Updated Vendor List.</t>
  </si>
  <si>
    <t>P000-K03048-HA-HI-ME-RFI-000096</t>
  </si>
  <si>
    <t>HAC-RFI-000154</t>
  </si>
  <si>
    <t>Confirmation of Backfilling and Testing Sequence for Gravity Pipelines (Over All).</t>
  </si>
  <si>
    <t>HillInt-RTRFI-001002</t>
  </si>
  <si>
    <t>HillInt-RTRFI-001003</t>
  </si>
  <si>
    <t>HillInt-RTRFI-001004</t>
  </si>
  <si>
    <t>HillInt-RTRFI-001007</t>
  </si>
  <si>
    <t>HillInt-RTRFI-001015</t>
  </si>
  <si>
    <t>HillInt-RTRFI-001016</t>
  </si>
  <si>
    <t>HillInt-RTRFI-001017</t>
  </si>
  <si>
    <t>HillInt-RTRFI-001018</t>
  </si>
  <si>
    <t>HillInt-RTRFI-001019</t>
  </si>
  <si>
    <t>HillInt-RTRFI-001020</t>
  </si>
  <si>
    <t>HAC-RFI-000162</t>
  </si>
  <si>
    <t>Clarifications and Confirmations Required for IFC Road Drawings (Interchanges Package) - New Jersey Barriers, Curb stone Details, and Site Boundaries.</t>
  </si>
  <si>
    <t>P000-K03048-HA-HI-RW-RFI-000097</t>
  </si>
  <si>
    <t>HillInt-RTRFI-001022</t>
  </si>
  <si>
    <t>HAC-RFI-000164</t>
  </si>
  <si>
    <t>P000-K03048-HA-HI-EL-RFI-000098</t>
  </si>
  <si>
    <t>Clarification on Installation Method of Telecom Micro-Ducts – Direct Buried vs. Inside 110 mm UPVC Conduit – Response.</t>
  </si>
  <si>
    <t>HAC-RFI-000165</t>
  </si>
  <si>
    <t>Clarification on Design Layout Overlapping Outside Project Right-of-Way (R.O.W.) Limits for Junctions J03 &amp; J05.</t>
  </si>
  <si>
    <t>P000-K03048-HA-HI-BR-RFI-000099</t>
  </si>
  <si>
    <t>HillInt-RTRFI-001043</t>
  </si>
  <si>
    <t>HAC-RFI-000167</t>
  </si>
  <si>
    <t>P000-K03048-HA-HI-ME-RFI-000100</t>
  </si>
  <si>
    <t>Proposed Colors and Markings for Underground Warning Tapes for Wet &amp;Dry Utilities</t>
  </si>
  <si>
    <t>HillInt-RTRFI-001056</t>
  </si>
  <si>
    <t>HillInt-RTRFI-001065</t>
  </si>
  <si>
    <t>HAC-RFI-000169</t>
  </si>
  <si>
    <t>HAC-RFI-000170</t>
  </si>
  <si>
    <t>Send to Shaker</t>
  </si>
  <si>
    <t>P000-K03048-HA-HI-ME-RFI-000101</t>
  </si>
  <si>
    <t>HAC-RFI-000173</t>
  </si>
  <si>
    <t>Proposed Modification of Stormwater Catch basin cover Design.</t>
  </si>
  <si>
    <t>P000-K03048-HA-HI-BR-RFI-000102</t>
  </si>
  <si>
    <t>HAC-RFI-000174</t>
  </si>
  <si>
    <t>Discrepancy in Bearing Centerlines Spacing at Abutment Axis MB-A1&amp;MB-A2 at Junction 09</t>
  </si>
  <si>
    <t>P000-K03048-HA-HI-BR-RFI-000103</t>
  </si>
  <si>
    <t>Site Obstacles for Execution of Non-working Piles Nos. 2, 3, &amp; 4 of Junction J09</t>
  </si>
  <si>
    <t>HAC-RFI-000175</t>
  </si>
  <si>
    <t>HAC-RFI-000176</t>
  </si>
  <si>
    <t>P000-K03048-HA-HI-BR-RFI-000104</t>
  </si>
  <si>
    <t>Discrepancy in the number of Pier Reinforcement bars between Pier Elevation Reinforcement Details and Section of the mentioned Drawings for the same Element at Junctions J03, J09 &amp; J10</t>
  </si>
  <si>
    <t>P000-K03048-HA-HI-RW-RFI-000105</t>
  </si>
  <si>
    <t>HAC-RFI-000177</t>
  </si>
  <si>
    <t>Follow-up Queries for Same Road Design (Interchange package).</t>
  </si>
  <si>
    <t>HillInt-RTRFI-001161</t>
  </si>
  <si>
    <t>HillInt-RTRFI-001187</t>
  </si>
  <si>
    <t>HillInt-RTRFI-001191</t>
  </si>
  <si>
    <t>P000-K03048-HA-HI-BR-RFI-000106</t>
  </si>
  <si>
    <t>HAC-RFI-000180</t>
  </si>
  <si>
    <t>Request for Structural Reinforcement Details for Median Barrier (Newjersy) under Junctions Applies protection to Piers – All Junctions.</t>
  </si>
  <si>
    <t>P000-K03048-HA-HI-EL-RFI-000107</t>
  </si>
  <si>
    <t>HAC-RFI-000181</t>
  </si>
  <si>
    <t xml:space="preserve"> Confirmation of Proposed Cable Trench Detail for LV &amp; MV Cables in The Same 1m Utility Corridor (Ring Road).</t>
  </si>
  <si>
    <t>HillInt-RTRFI-001201</t>
  </si>
  <si>
    <t>HillInt-RTRFI-001203</t>
  </si>
  <si>
    <t>HillInt-RTRFI-001226</t>
  </si>
  <si>
    <t>HillInt-RTRFI-001227</t>
  </si>
  <si>
    <t>HAC-RFI-000182</t>
  </si>
  <si>
    <t>Request for MSE WALL DETAILS AT MAIN BRIDGES ABUTMENTS Drawing for Junction 05</t>
  </si>
  <si>
    <t>P000-K03048-HA-HI-BR-RFI-000108</t>
  </si>
  <si>
    <t>P000-K03048-HA-HI-BR-RFI-000109</t>
  </si>
  <si>
    <t>HAC-RFI-000183</t>
  </si>
  <si>
    <t>Constructability Concerns &amp; Proposed Realignment of Front MSE Wall at Abutment for all Junctions.</t>
  </si>
  <si>
    <t>HAC-RFI-000184</t>
  </si>
  <si>
    <t>P000-K03048-HA-HI-RW-RFI-000110</t>
  </si>
  <si>
    <t>Confirmation of Proposed Fence Relocation Following Approved Grading Revision.</t>
  </si>
  <si>
    <t>P000-K03048-HA-HI-RW-RFI-000111</t>
  </si>
  <si>
    <t>HAC-RFI-000185</t>
  </si>
  <si>
    <t>Request for Approval of Alternative Kerbstone Dimensions.</t>
  </si>
  <si>
    <t>HillInt-RTRFI-001233</t>
  </si>
  <si>
    <t>HillInt-GNC-003192</t>
  </si>
  <si>
    <t>HillInt-GNC-003193</t>
  </si>
  <si>
    <t>HillInt-GNC-003415</t>
  </si>
  <si>
    <t>P000-K03048-HA-HI-BR-RFI-000112</t>
  </si>
  <si>
    <t>HAC-RFI-000202</t>
  </si>
  <si>
    <t>Clarification &amp; Relaxation Request for Maximum Concrete Core Temperature Limit (ACI 301M-20- 8.1.3) for Mass Concrete Element for all Junctions.</t>
  </si>
  <si>
    <t>HillInt-GNC-003430</t>
  </si>
  <si>
    <t>HillInt-GNC-003432</t>
  </si>
  <si>
    <t>HAC-RFI-000204</t>
  </si>
  <si>
    <t>HillInt-GNC-003236</t>
  </si>
  <si>
    <t>HAC-RFI-000216</t>
  </si>
  <si>
    <t>P000-K03048-HA-HI-EL-RFI-000113</t>
  </si>
  <si>
    <t>HAC-RFI-000215</t>
  </si>
  <si>
    <t>Clarification of Pull Box Size and Dimensions Security System (Ring Road).</t>
  </si>
  <si>
    <t>HillInt-GNC-003606</t>
  </si>
  <si>
    <t>HAC-RFI-000217</t>
  </si>
  <si>
    <t>Approval Request for Asphalt Job Mix Formulas (Binder &amp; Wearing Courses) and Optimum Bitumen Content Clarification.</t>
  </si>
  <si>
    <t>P000-K03048-HA-HI-RW-RFI-000114</t>
  </si>
  <si>
    <t>P000-K03048-HA-HI-RW-RFI-000115</t>
  </si>
  <si>
    <t>HAC-RFI-000219</t>
  </si>
  <si>
    <t>Clarifications and Confirmations Required for IFC Road Drawings (Interchanges Package) - Request for Clarification Regarding Fill Limits and MSE Wall Scope at Junction Areas &amp; Ring Road Typical X-Sec. note.</t>
  </si>
  <si>
    <t>P000-K03048-HA-HI-ST-RFI-000116</t>
  </si>
  <si>
    <t>Clarification of Bedding, Soil Replacement and Geotextile Requirements for DI and DWC HDPE Pipelines (Ring Road).</t>
  </si>
  <si>
    <t>HAC-RFI-000220</t>
  </si>
  <si>
    <t>HillInt-GNC-004002</t>
  </si>
  <si>
    <t>P000-K03048-HA-HI-ST-RFI-000117</t>
  </si>
  <si>
    <t>HAC-RFI-000221</t>
  </si>
  <si>
    <t>Confirmation of Concrete Grades for Pre-Cast Fence Wall and Foundation (REH South Fence)</t>
  </si>
  <si>
    <t>HAC-RFI-000222</t>
  </si>
  <si>
    <t>HillInt-GNC-004091</t>
  </si>
  <si>
    <t>HAC-RFI-000228</t>
  </si>
  <si>
    <t>P000-K03048-HA-HI-RW-RFI-000118</t>
  </si>
  <si>
    <t>Request for Clarification Regarding the Relocation of the Existing Fence.</t>
  </si>
  <si>
    <t>HAC-RFI-000229</t>
  </si>
  <si>
    <t>P000-K03048-HA-HI-El-RFI-000119</t>
  </si>
  <si>
    <t>SCADA System Coordination with Wet Utilities IFC and Shop Drawings – Zone 2.</t>
  </si>
  <si>
    <t>HillInt-GNC-004166</t>
  </si>
  <si>
    <t>HillInt-GNC-004209</t>
  </si>
  <si>
    <t>HillInt-GNC-004305</t>
  </si>
  <si>
    <t>HillInt-GNC-004314</t>
  </si>
  <si>
    <t>Missing Information and Technical Clarifications for Infrastructure Design Review</t>
  </si>
  <si>
    <t>HAC-RFI-000244</t>
  </si>
  <si>
    <t>P000-K03048-HA-HI-GE-RFI-000120</t>
  </si>
  <si>
    <t>HAC-RFI-000245</t>
  </si>
  <si>
    <t>Request for Preliminary Approval for Removal of Existing Concrete Side Slopes Along the Existing Road</t>
  </si>
  <si>
    <t>P000-K03048-HA-HI-RW-RFI-000121</t>
  </si>
  <si>
    <t>HAC-RFI-000246</t>
  </si>
  <si>
    <t>P000-K03048-HA-HI-EL-RFI-000122</t>
  </si>
  <si>
    <t>Road Crossing Protection / Concrete Encasement for Telecom &amp; Security Networks.</t>
  </si>
  <si>
    <t>HillInt-GNC-004399</t>
  </si>
  <si>
    <t>HillInt-GNC-004459</t>
  </si>
  <si>
    <t>HillInt-GNC-004460</t>
  </si>
  <si>
    <t>HillInt-GNC-004599</t>
  </si>
  <si>
    <t>HillInt-GNC-004601</t>
  </si>
  <si>
    <t>HillInt-GNC-004605</t>
  </si>
  <si>
    <t>P000-K03048-HA-HI-BR-RFI-000123</t>
  </si>
  <si>
    <t>HAC-RFI-000248</t>
  </si>
  <si>
    <t>Request for Flowable Concrete Mix Specifications for Congested Reinforcement in Pile Caps and Piers for all Junctions.</t>
  </si>
  <si>
    <t>HAC-RFI-000250</t>
  </si>
  <si>
    <t>P000-K03048-HA-HI-BR-RFI-000124</t>
  </si>
  <si>
    <t>Request for Details of Lifting Jacks at Pier Head (JUNCTION 09)</t>
  </si>
  <si>
    <t>HAC-RFI-000254</t>
  </si>
  <si>
    <t>P000-K03048-HA-HI-RW-RFI-000125</t>
  </si>
  <si>
    <t>Comprehensive Design Review Summary for Junctions.</t>
  </si>
  <si>
    <t>HAC-RFI-000255</t>
  </si>
  <si>
    <t>P000-K03048-HA-HI-RW-RFI-000126</t>
  </si>
  <si>
    <t>Discrepancy Between Finished Grade Levels and IFC Road Design Levels at the Intersections.</t>
  </si>
  <si>
    <t>HAC-RFI-000256</t>
  </si>
  <si>
    <t>P000-K03048-HA-HI-RW-RFI-000127</t>
  </si>
  <si>
    <t>Clarification Regarding Demarcation Plan Issuance and Shop Drawing Preparation.</t>
  </si>
  <si>
    <t>HAC-RFI-000258</t>
  </si>
  <si>
    <t>HAC-RFI-000259</t>
  </si>
  <si>
    <t>P000-K03048-HA-HI-BR-RFI-000128</t>
  </si>
  <si>
    <t>A discrepancy between Grading Finish Levels and Pile Cap Top Levels at MB2 of Junction 03.</t>
  </si>
  <si>
    <t>P000-K03048-HA-HI-BR-RFI-000129</t>
  </si>
  <si>
    <t>HAC-RFI-000260</t>
  </si>
  <si>
    <t>Approval of the change of Access Doors (Opening) Dimensions &amp; Clarification and approval of the quantity of Openings for each Box-Section Panel for all Junctions</t>
  </si>
  <si>
    <t>HAC-RFI-000261</t>
  </si>
  <si>
    <t>P000-K03048-HA-HI-BR-RFI-000130</t>
  </si>
  <si>
    <t>Clarification on Shear Link Distribution Extent Across Pile Cap (Discrepancy in Section Details) for Pile Cap of Axis (U1-P3) Junction 09</t>
  </si>
  <si>
    <t>HillInt-GNC-005009</t>
  </si>
  <si>
    <t>HillInt-GNC-005011</t>
  </si>
  <si>
    <t>HillInt-GNC-005017</t>
  </si>
  <si>
    <t>HillInt-GNC-005019</t>
  </si>
  <si>
    <t>HillInt-GNC-005021</t>
  </si>
  <si>
    <t>HillInt-GNC-005023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</si>
</sst>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4"/>
      <color indexed="12"/>
      <name val="Calibri"/>
      <family val="2"/>
    </font>
    <font>
      <b/>
      <sz val="14"/>
      <color rgb="FF00B0F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0" xfId="0" applyFill="1"/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5" fontId="0" fillId="0" borderId="12" xfId="0" applyNumberFormat="1" applyBorder="1" applyAlignment="1">
      <alignment horizontal="center" vertical="center"/>
    </xf>
    <xf numFmtId="15" fontId="0" fillId="0" borderId="7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15" fontId="0" fillId="0" borderId="1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5" borderId="0" xfId="0" applyFont="1" applyFill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15" fontId="0" fillId="0" borderId="13" xfId="0" applyNumberForma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 wrapText="1"/>
    </xf>
    <xf numFmtId="15" fontId="0" fillId="0" borderId="12" xfId="0" applyNumberForma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60"/>
  <sheetViews>
    <sheetView tabSelected="1" view="pageBreakPreview" topLeftCell="B1" zoomScale="85" zoomScaleNormal="100" zoomScaleSheetLayoutView="85" workbookViewId="0">
      <pane ySplit="4" topLeftCell="A150" activePane="bottomLeft" state="frozen"/>
      <selection pane="bottomLeft" activeCell="E154" sqref="E154"/>
    </sheetView>
  </sheetViews>
  <sheetFormatPr defaultRowHeight="14.4" x14ac:dyDescent="0.3"/>
  <cols>
    <col min="1" max="1" width="25.109375" style="1" hidden="1" customWidth="1"/>
    <col min="2" max="2" width="43" style="1" customWidth="1"/>
    <col min="3" max="3" width="10.5546875" style="36" customWidth="1"/>
    <col min="4" max="4" width="30.109375" style="1" customWidth="1"/>
    <col min="5" max="5" width="78.44140625" style="1" customWidth="1"/>
    <col min="6" max="6" width="17.6640625" style="1" customWidth="1"/>
    <col min="7" max="7" width="22.109375" style="1" customWidth="1"/>
    <col min="8" max="8" width="17.6640625" style="1" customWidth="1"/>
    <col min="9" max="10" width="17.6640625" style="1" hidden="1" customWidth="1"/>
    <col min="11" max="11" width="19.33203125" style="1" hidden="1" customWidth="1"/>
    <col min="12" max="12" width="17.6640625" style="1" hidden="1" customWidth="1"/>
    <col min="13" max="13" width="17.5546875" style="1" customWidth="1"/>
    <col min="14" max="14" width="20" style="23" customWidth="1"/>
    <col min="15" max="16" width="23.33203125" style="1" customWidth="1"/>
  </cols>
  <sheetData>
    <row r="1" spans="1:17" ht="37.200000000000003" customHeight="1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8" t="s">
        <v>1</v>
      </c>
      <c r="N1" s="2">
        <f>COUNTA(M$5:M$1048576)</f>
        <v>154</v>
      </c>
    </row>
    <row r="2" spans="1:17" ht="37.200000000000003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9" t="s">
        <v>2</v>
      </c>
      <c r="N2" s="11">
        <f>COUNTIF(M$5:M$1048576,"Response ")</f>
        <v>147</v>
      </c>
    </row>
    <row r="3" spans="1:17" ht="37.200000000000003" customHeight="1" x14ac:dyDescent="0.3">
      <c r="A3" s="39" t="s">
        <v>3</v>
      </c>
      <c r="B3" s="39"/>
      <c r="C3" s="39"/>
      <c r="D3" s="39"/>
      <c r="E3" s="39"/>
      <c r="F3" s="39"/>
      <c r="G3" s="40" t="s">
        <v>4</v>
      </c>
      <c r="H3" s="41"/>
      <c r="I3" s="42" t="s">
        <v>5</v>
      </c>
      <c r="J3" s="43"/>
      <c r="K3" s="42" t="s">
        <v>6</v>
      </c>
      <c r="L3" s="43"/>
      <c r="M3" s="9" t="s">
        <v>7</v>
      </c>
      <c r="N3" s="11">
        <f>COUNTIF(M$5:M$1048576,"OPEN")</f>
        <v>7</v>
      </c>
    </row>
    <row r="4" spans="1:17" ht="59.4" customHeight="1" x14ac:dyDescent="0.3">
      <c r="A4" s="12" t="s">
        <v>8</v>
      </c>
      <c r="B4" s="12" t="s">
        <v>9</v>
      </c>
      <c r="C4" s="34" t="s">
        <v>10</v>
      </c>
      <c r="D4" s="13" t="s">
        <v>8</v>
      </c>
      <c r="E4" s="13" t="s">
        <v>11</v>
      </c>
      <c r="F4" s="14" t="s">
        <v>12</v>
      </c>
      <c r="G4" s="15" t="s">
        <v>8</v>
      </c>
      <c r="H4" s="16" t="s">
        <v>12</v>
      </c>
      <c r="I4" s="15" t="s">
        <v>8</v>
      </c>
      <c r="J4" s="16" t="s">
        <v>12</v>
      </c>
      <c r="K4" s="15" t="s">
        <v>8</v>
      </c>
      <c r="L4" s="16" t="s">
        <v>12</v>
      </c>
      <c r="M4" s="17"/>
      <c r="N4" s="18"/>
    </row>
    <row r="5" spans="1:17" s="7" customFormat="1" ht="58.2" hidden="1" customHeight="1" x14ac:dyDescent="0.3">
      <c r="A5" s="6" t="s">
        <v>13</v>
      </c>
      <c r="B5" s="19" t="s">
        <v>14</v>
      </c>
      <c r="C5" s="35" t="s">
        <v>245</v>
      </c>
      <c r="D5" s="5" t="s">
        <v>15</v>
      </c>
      <c r="E5" s="5" t="s">
        <v>16</v>
      </c>
      <c r="F5" s="22">
        <v>46072</v>
      </c>
      <c r="G5" s="3" t="s">
        <v>17</v>
      </c>
      <c r="H5" s="22">
        <v>46083</v>
      </c>
      <c r="I5" s="3"/>
      <c r="J5" s="4"/>
      <c r="K5" s="20"/>
      <c r="L5" s="21"/>
      <c r="M5" s="10" t="s">
        <v>2</v>
      </c>
      <c r="N5" s="11"/>
      <c r="O5" s="1"/>
      <c r="P5" s="1"/>
      <c r="Q5"/>
    </row>
    <row r="6" spans="1:17" s="7" customFormat="1" ht="58.2" hidden="1" customHeight="1" x14ac:dyDescent="0.3">
      <c r="A6" s="6" t="s">
        <v>18</v>
      </c>
      <c r="B6" s="19" t="s">
        <v>19</v>
      </c>
      <c r="C6" s="35" t="s">
        <v>245</v>
      </c>
      <c r="D6" s="5" t="s">
        <v>20</v>
      </c>
      <c r="E6" s="5" t="s">
        <v>376</v>
      </c>
      <c r="F6" s="22">
        <v>46072</v>
      </c>
      <c r="G6" s="3" t="s">
        <v>21</v>
      </c>
      <c r="H6" s="22">
        <v>46078</v>
      </c>
      <c r="I6" s="3"/>
      <c r="J6" s="4"/>
      <c r="K6" s="20"/>
      <c r="L6" s="21"/>
      <c r="M6" s="10" t="s">
        <v>2</v>
      </c>
      <c r="N6" s="11"/>
      <c r="O6" s="1"/>
      <c r="P6" s="1"/>
      <c r="Q6"/>
    </row>
    <row r="7" spans="1:17" s="7" customFormat="1" ht="58.2" hidden="1" customHeight="1" x14ac:dyDescent="0.3">
      <c r="A7" s="6"/>
      <c r="B7" s="19" t="s">
        <v>19</v>
      </c>
      <c r="C7" s="35" t="s">
        <v>246</v>
      </c>
      <c r="D7" s="5" t="s">
        <v>23</v>
      </c>
      <c r="E7" s="5" t="s">
        <v>376</v>
      </c>
      <c r="F7" s="22">
        <v>46082</v>
      </c>
      <c r="G7" s="3" t="s">
        <v>22</v>
      </c>
      <c r="H7" s="22">
        <v>46078</v>
      </c>
      <c r="I7" s="3"/>
      <c r="J7" s="4"/>
      <c r="K7" s="20"/>
      <c r="L7" s="21"/>
      <c r="M7" s="10" t="s">
        <v>2</v>
      </c>
      <c r="N7" s="11"/>
      <c r="O7" s="1"/>
      <c r="P7" s="1"/>
      <c r="Q7"/>
    </row>
    <row r="8" spans="1:17" s="7" customFormat="1" ht="58.2" hidden="1" customHeight="1" x14ac:dyDescent="0.3">
      <c r="A8" s="6"/>
      <c r="B8" s="19" t="s">
        <v>19</v>
      </c>
      <c r="C8" s="35" t="s">
        <v>293</v>
      </c>
      <c r="D8" s="5" t="s">
        <v>374</v>
      </c>
      <c r="E8" s="5" t="s">
        <v>375</v>
      </c>
      <c r="F8" s="22">
        <v>46232</v>
      </c>
      <c r="G8" s="3" t="s">
        <v>390</v>
      </c>
      <c r="H8" s="22">
        <v>46237</v>
      </c>
      <c r="I8" s="3"/>
      <c r="J8" s="4"/>
      <c r="K8" s="20"/>
      <c r="L8" s="21"/>
      <c r="M8" s="10" t="s">
        <v>2</v>
      </c>
      <c r="N8" s="11"/>
      <c r="O8" s="1"/>
      <c r="P8" s="1"/>
      <c r="Q8"/>
    </row>
    <row r="9" spans="1:17" s="7" customFormat="1" ht="58.2" hidden="1" customHeight="1" x14ac:dyDescent="0.3">
      <c r="A9" s="6" t="s">
        <v>24</v>
      </c>
      <c r="B9" s="19" t="s">
        <v>25</v>
      </c>
      <c r="C9" s="35">
        <v>0</v>
      </c>
      <c r="D9" s="5" t="s">
        <v>26</v>
      </c>
      <c r="E9" s="5" t="s">
        <v>27</v>
      </c>
      <c r="F9" s="22">
        <v>46072</v>
      </c>
      <c r="G9" s="3" t="s">
        <v>28</v>
      </c>
      <c r="H9" s="22">
        <v>46078</v>
      </c>
      <c r="I9" s="3"/>
      <c r="J9" s="4"/>
      <c r="K9" s="20"/>
      <c r="L9" s="21"/>
      <c r="M9" s="10" t="s">
        <v>2</v>
      </c>
      <c r="N9" s="11"/>
      <c r="O9" s="1"/>
      <c r="P9" s="1"/>
      <c r="Q9"/>
    </row>
    <row r="10" spans="1:17" s="7" customFormat="1" ht="58.2" hidden="1" customHeight="1" x14ac:dyDescent="0.3">
      <c r="A10" s="6"/>
      <c r="B10" s="46" t="s">
        <v>29</v>
      </c>
      <c r="C10" s="35">
        <v>0</v>
      </c>
      <c r="D10" s="5" t="s">
        <v>30</v>
      </c>
      <c r="E10" s="5" t="s">
        <v>31</v>
      </c>
      <c r="F10" s="22">
        <v>46072</v>
      </c>
      <c r="G10" s="3" t="s">
        <v>32</v>
      </c>
      <c r="H10" s="22">
        <v>46078</v>
      </c>
      <c r="I10" s="3"/>
      <c r="J10" s="4"/>
      <c r="K10" s="20"/>
      <c r="L10" s="21"/>
      <c r="M10" s="10" t="s">
        <v>2</v>
      </c>
      <c r="N10" s="11"/>
      <c r="O10" s="1"/>
      <c r="P10" s="1"/>
      <c r="Q10"/>
    </row>
    <row r="11" spans="1:17" s="7" customFormat="1" ht="58.2" hidden="1" customHeight="1" x14ac:dyDescent="0.3">
      <c r="A11" s="6"/>
      <c r="B11" s="48"/>
      <c r="C11" s="35"/>
      <c r="D11" s="5" t="s">
        <v>33</v>
      </c>
      <c r="E11" s="5" t="s">
        <v>34</v>
      </c>
      <c r="F11" s="25">
        <v>46025</v>
      </c>
      <c r="G11" s="3" t="s">
        <v>35</v>
      </c>
      <c r="H11" s="22">
        <v>46138</v>
      </c>
      <c r="I11" s="3"/>
      <c r="J11" s="4"/>
      <c r="K11" s="20"/>
      <c r="L11" s="21"/>
      <c r="M11" s="10" t="s">
        <v>2</v>
      </c>
      <c r="N11" s="11"/>
      <c r="O11" s="1"/>
      <c r="P11" s="1"/>
      <c r="Q11"/>
    </row>
    <row r="12" spans="1:17" s="7" customFormat="1" ht="58.2" hidden="1" customHeight="1" x14ac:dyDescent="0.3">
      <c r="A12" s="6"/>
      <c r="B12" s="19" t="s">
        <v>36</v>
      </c>
      <c r="C12" s="35"/>
      <c r="D12" s="5" t="s">
        <v>37</v>
      </c>
      <c r="E12" s="5" t="s">
        <v>38</v>
      </c>
      <c r="F12" s="22">
        <v>46076</v>
      </c>
      <c r="G12" s="3" t="s">
        <v>39</v>
      </c>
      <c r="H12" s="22">
        <v>46082</v>
      </c>
      <c r="I12" s="3"/>
      <c r="J12" s="4"/>
      <c r="K12" s="20"/>
      <c r="L12" s="21"/>
      <c r="M12" s="10" t="s">
        <v>2</v>
      </c>
      <c r="N12" s="11"/>
      <c r="O12" s="1"/>
      <c r="P12" s="1"/>
      <c r="Q12"/>
    </row>
    <row r="13" spans="1:17" s="7" customFormat="1" ht="58.2" hidden="1" customHeight="1" x14ac:dyDescent="0.3">
      <c r="A13" s="6"/>
      <c r="B13" s="46" t="s">
        <v>40</v>
      </c>
      <c r="C13" s="35"/>
      <c r="D13" s="24" t="s">
        <v>41</v>
      </c>
      <c r="E13" s="46" t="s">
        <v>42</v>
      </c>
      <c r="F13" s="22">
        <v>46111</v>
      </c>
      <c r="G13" s="3" t="s">
        <v>43</v>
      </c>
      <c r="H13" s="22">
        <v>46118</v>
      </c>
      <c r="I13" s="3"/>
      <c r="J13" s="4"/>
      <c r="K13" s="20"/>
      <c r="L13" s="21"/>
      <c r="M13" s="10" t="s">
        <v>2</v>
      </c>
      <c r="N13" s="11"/>
      <c r="O13" s="1"/>
      <c r="P13" s="1"/>
      <c r="Q13"/>
    </row>
    <row r="14" spans="1:17" s="7" customFormat="1" ht="58.2" hidden="1" customHeight="1" x14ac:dyDescent="0.3">
      <c r="A14" s="6"/>
      <c r="B14" s="47"/>
      <c r="C14" s="35"/>
      <c r="D14" s="27" t="s">
        <v>44</v>
      </c>
      <c r="E14" s="47"/>
      <c r="F14" s="22">
        <v>46118</v>
      </c>
      <c r="G14" s="3" t="s">
        <v>45</v>
      </c>
      <c r="H14" s="22">
        <v>46135</v>
      </c>
      <c r="I14" s="3"/>
      <c r="J14" s="4"/>
      <c r="K14" s="20"/>
      <c r="L14" s="21"/>
      <c r="M14" s="53" t="s">
        <v>2</v>
      </c>
      <c r="N14" s="44"/>
      <c r="O14" s="1"/>
      <c r="P14" s="1"/>
      <c r="Q14"/>
    </row>
    <row r="15" spans="1:17" s="7" customFormat="1" ht="58.2" hidden="1" customHeight="1" x14ac:dyDescent="0.3">
      <c r="A15" s="6"/>
      <c r="B15" s="47"/>
      <c r="C15" s="35"/>
      <c r="D15" s="5" t="s">
        <v>46</v>
      </c>
      <c r="E15" s="47"/>
      <c r="F15" s="22">
        <v>46120</v>
      </c>
      <c r="G15" s="3" t="s">
        <v>47</v>
      </c>
      <c r="H15" s="26">
        <v>46135</v>
      </c>
      <c r="I15" s="3"/>
      <c r="J15" s="4"/>
      <c r="K15" s="20"/>
      <c r="L15" s="21"/>
      <c r="M15" s="54"/>
      <c r="N15" s="45"/>
      <c r="O15" s="1"/>
      <c r="P15" s="1"/>
      <c r="Q15"/>
    </row>
    <row r="16" spans="1:17" s="7" customFormat="1" ht="58.2" hidden="1" customHeight="1" x14ac:dyDescent="0.3">
      <c r="A16" s="6"/>
      <c r="B16" s="48"/>
      <c r="C16" s="35"/>
      <c r="D16" s="5" t="s">
        <v>48</v>
      </c>
      <c r="E16" s="48"/>
      <c r="F16" s="22">
        <v>46137</v>
      </c>
      <c r="G16" s="3"/>
      <c r="H16" s="22">
        <v>46141</v>
      </c>
      <c r="I16" s="3"/>
      <c r="J16" s="4"/>
      <c r="K16" s="20"/>
      <c r="L16" s="21"/>
      <c r="M16" s="10" t="s">
        <v>2</v>
      </c>
      <c r="N16" s="31"/>
      <c r="O16" s="1"/>
      <c r="P16" s="1"/>
      <c r="Q16"/>
    </row>
    <row r="17" spans="1:18" s="7" customFormat="1" ht="58.2" hidden="1" customHeight="1" x14ac:dyDescent="0.3">
      <c r="A17" s="6"/>
      <c r="B17" s="19" t="s">
        <v>49</v>
      </c>
      <c r="C17" s="35"/>
      <c r="D17" s="5" t="s">
        <v>50</v>
      </c>
      <c r="E17" s="5" t="s">
        <v>51</v>
      </c>
      <c r="F17" s="22">
        <v>46113</v>
      </c>
      <c r="G17" s="3" t="s">
        <v>52</v>
      </c>
      <c r="H17" s="22">
        <v>46139</v>
      </c>
      <c r="I17" s="3"/>
      <c r="J17" s="4"/>
      <c r="K17" s="20"/>
      <c r="L17" s="21"/>
      <c r="M17" s="10" t="s">
        <v>2</v>
      </c>
      <c r="N17" s="11"/>
      <c r="O17" s="1"/>
      <c r="P17" s="1"/>
      <c r="Q17"/>
    </row>
    <row r="18" spans="1:18" s="7" customFormat="1" ht="58.2" hidden="1" customHeight="1" x14ac:dyDescent="0.3">
      <c r="A18" s="6"/>
      <c r="B18" s="19" t="s">
        <v>53</v>
      </c>
      <c r="C18" s="35"/>
      <c r="D18" s="5" t="s">
        <v>54</v>
      </c>
      <c r="E18" s="5" t="s">
        <v>55</v>
      </c>
      <c r="F18" s="22">
        <v>46114</v>
      </c>
      <c r="G18" s="3" t="s">
        <v>56</v>
      </c>
      <c r="H18" s="22">
        <v>46132</v>
      </c>
      <c r="I18" s="3"/>
      <c r="J18" s="4"/>
      <c r="K18" s="20"/>
      <c r="L18" s="21"/>
      <c r="M18" s="10" t="s">
        <v>2</v>
      </c>
      <c r="N18" s="11"/>
      <c r="O18" s="1"/>
      <c r="P18" s="1"/>
      <c r="Q18"/>
    </row>
    <row r="19" spans="1:18" s="7" customFormat="1" ht="58.2" hidden="1" customHeight="1" x14ac:dyDescent="0.3">
      <c r="A19" s="6"/>
      <c r="B19" s="19" t="s">
        <v>57</v>
      </c>
      <c r="C19" s="35"/>
      <c r="D19" s="5" t="s">
        <v>58</v>
      </c>
      <c r="E19" s="5" t="s">
        <v>59</v>
      </c>
      <c r="F19" s="22">
        <v>46114</v>
      </c>
      <c r="G19" s="3" t="s">
        <v>60</v>
      </c>
      <c r="H19" s="22">
        <v>46132</v>
      </c>
      <c r="I19" s="3"/>
      <c r="J19" s="4"/>
      <c r="K19" s="20"/>
      <c r="L19" s="21"/>
      <c r="M19" s="10" t="s">
        <v>2</v>
      </c>
      <c r="N19" s="11"/>
      <c r="O19" s="1"/>
      <c r="P19" s="1"/>
      <c r="Q19"/>
    </row>
    <row r="20" spans="1:18" s="7" customFormat="1" ht="58.2" hidden="1" customHeight="1" x14ac:dyDescent="0.3">
      <c r="A20" s="6"/>
      <c r="B20" s="19" t="s">
        <v>61</v>
      </c>
      <c r="C20" s="35" t="s">
        <v>245</v>
      </c>
      <c r="D20" s="5" t="s">
        <v>62</v>
      </c>
      <c r="E20" s="5" t="s">
        <v>63</v>
      </c>
      <c r="F20" s="22">
        <v>46114</v>
      </c>
      <c r="G20" s="3" t="s">
        <v>64</v>
      </c>
      <c r="H20" s="22">
        <v>46132</v>
      </c>
      <c r="I20" s="3"/>
      <c r="J20" s="4"/>
      <c r="K20" s="20"/>
      <c r="L20" s="21"/>
      <c r="M20" s="10" t="s">
        <v>2</v>
      </c>
      <c r="N20" s="11"/>
      <c r="O20" s="1"/>
      <c r="P20" s="1"/>
      <c r="Q20"/>
    </row>
    <row r="21" spans="1:18" s="7" customFormat="1" ht="58.2" hidden="1" customHeight="1" x14ac:dyDescent="0.3">
      <c r="A21" s="6"/>
      <c r="B21" s="19" t="s">
        <v>65</v>
      </c>
      <c r="C21" s="35"/>
      <c r="D21" s="5" t="s">
        <v>66</v>
      </c>
      <c r="E21" s="5" t="s">
        <v>67</v>
      </c>
      <c r="F21" s="22">
        <v>46114</v>
      </c>
      <c r="G21" s="3" t="s">
        <v>68</v>
      </c>
      <c r="H21" s="22">
        <v>46135</v>
      </c>
      <c r="I21" s="3"/>
      <c r="J21" s="4"/>
      <c r="K21" s="20"/>
      <c r="L21" s="21"/>
      <c r="M21" s="10" t="s">
        <v>2</v>
      </c>
      <c r="N21" s="11"/>
      <c r="O21" s="1"/>
      <c r="P21" s="1"/>
      <c r="Q21"/>
    </row>
    <row r="22" spans="1:18" s="7" customFormat="1" ht="58.2" hidden="1" customHeight="1" x14ac:dyDescent="0.3">
      <c r="A22" s="6"/>
      <c r="B22" s="19" t="s">
        <v>69</v>
      </c>
      <c r="C22" s="35"/>
      <c r="D22" s="5" t="s">
        <v>70</v>
      </c>
      <c r="E22" s="5" t="s">
        <v>71</v>
      </c>
      <c r="F22" s="22">
        <v>46114</v>
      </c>
      <c r="G22" s="3" t="s">
        <v>236</v>
      </c>
      <c r="H22" s="22">
        <v>46195</v>
      </c>
      <c r="I22" s="3"/>
      <c r="J22" s="4"/>
      <c r="K22" s="20"/>
      <c r="L22" s="21"/>
      <c r="M22" s="10" t="s">
        <v>2</v>
      </c>
      <c r="N22" s="11" t="s">
        <v>72</v>
      </c>
      <c r="O22" s="30" t="s">
        <v>73</v>
      </c>
      <c r="P22" s="30" t="s">
        <v>73</v>
      </c>
      <c r="Q22" s="28"/>
      <c r="R22" s="29"/>
    </row>
    <row r="23" spans="1:18" s="7" customFormat="1" ht="58.2" hidden="1" customHeight="1" x14ac:dyDescent="0.3">
      <c r="A23" s="6"/>
      <c r="B23" s="19" t="s">
        <v>74</v>
      </c>
      <c r="C23" s="35"/>
      <c r="D23" s="5" t="s">
        <v>75</v>
      </c>
      <c r="E23" s="5" t="s">
        <v>76</v>
      </c>
      <c r="F23" s="22">
        <v>46114</v>
      </c>
      <c r="G23" s="3" t="s">
        <v>77</v>
      </c>
      <c r="H23" s="22">
        <v>46132</v>
      </c>
      <c r="I23" s="3"/>
      <c r="J23" s="4"/>
      <c r="K23" s="20"/>
      <c r="L23" s="21"/>
      <c r="M23" s="10" t="s">
        <v>2</v>
      </c>
      <c r="N23" s="11"/>
      <c r="O23" s="30"/>
      <c r="P23" s="30"/>
      <c r="Q23" s="28"/>
      <c r="R23" s="29"/>
    </row>
    <row r="24" spans="1:18" s="7" customFormat="1" ht="58.2" hidden="1" customHeight="1" x14ac:dyDescent="0.3">
      <c r="A24" s="6"/>
      <c r="B24" s="19" t="s">
        <v>78</v>
      </c>
      <c r="C24" s="35"/>
      <c r="D24" s="5" t="s">
        <v>79</v>
      </c>
      <c r="E24" s="5" t="s">
        <v>80</v>
      </c>
      <c r="F24" s="22">
        <v>46114</v>
      </c>
      <c r="G24" s="3" t="s">
        <v>81</v>
      </c>
      <c r="H24" s="22">
        <v>46155</v>
      </c>
      <c r="I24" s="3"/>
      <c r="J24" s="4"/>
      <c r="K24" s="20"/>
      <c r="L24" s="21"/>
      <c r="M24" s="10" t="s">
        <v>2</v>
      </c>
      <c r="N24" s="11" t="s">
        <v>72</v>
      </c>
      <c r="O24" s="30" t="s">
        <v>82</v>
      </c>
      <c r="P24" s="30" t="s">
        <v>73</v>
      </c>
      <c r="Q24" s="28"/>
      <c r="R24" s="29"/>
    </row>
    <row r="25" spans="1:18" s="7" customFormat="1" ht="58.2" hidden="1" customHeight="1" x14ac:dyDescent="0.3">
      <c r="A25" s="6"/>
      <c r="B25" s="19" t="s">
        <v>83</v>
      </c>
      <c r="C25" s="35"/>
      <c r="D25" s="5" t="s">
        <v>84</v>
      </c>
      <c r="E25" s="46" t="s">
        <v>85</v>
      </c>
      <c r="F25" s="32">
        <v>46116</v>
      </c>
      <c r="G25" s="49" t="s">
        <v>86</v>
      </c>
      <c r="H25" s="51">
        <v>46133</v>
      </c>
      <c r="I25" s="3"/>
      <c r="J25" s="4"/>
      <c r="K25" s="20"/>
      <c r="L25" s="21"/>
      <c r="M25" s="53" t="s">
        <v>2</v>
      </c>
      <c r="N25" s="11"/>
      <c r="O25" s="1"/>
      <c r="P25" s="1"/>
      <c r="Q25"/>
    </row>
    <row r="26" spans="1:18" s="7" customFormat="1" ht="58.2" hidden="1" customHeight="1" x14ac:dyDescent="0.3">
      <c r="A26" s="6"/>
      <c r="B26" s="19" t="s">
        <v>83</v>
      </c>
      <c r="C26" s="35"/>
      <c r="D26" s="5" t="s">
        <v>87</v>
      </c>
      <c r="E26" s="48"/>
      <c r="F26" s="26">
        <v>46116</v>
      </c>
      <c r="G26" s="50"/>
      <c r="H26" s="52"/>
      <c r="I26" s="3"/>
      <c r="J26" s="4"/>
      <c r="K26" s="20"/>
      <c r="L26" s="21"/>
      <c r="M26" s="54"/>
      <c r="N26" s="11"/>
      <c r="O26" s="1"/>
      <c r="P26" s="1"/>
      <c r="Q26"/>
    </row>
    <row r="27" spans="1:18" s="7" customFormat="1" ht="58.2" hidden="1" customHeight="1" x14ac:dyDescent="0.3">
      <c r="A27" s="6"/>
      <c r="B27" s="19" t="s">
        <v>88</v>
      </c>
      <c r="C27" s="35"/>
      <c r="D27" s="5" t="s">
        <v>89</v>
      </c>
      <c r="E27" s="5" t="s">
        <v>90</v>
      </c>
      <c r="F27" s="22">
        <v>46118</v>
      </c>
      <c r="G27" s="3" t="s">
        <v>91</v>
      </c>
      <c r="H27" s="22">
        <v>46132</v>
      </c>
      <c r="I27" s="3"/>
      <c r="J27" s="4"/>
      <c r="K27" s="20"/>
      <c r="L27" s="21"/>
      <c r="M27" s="10" t="s">
        <v>2</v>
      </c>
      <c r="N27" s="11"/>
      <c r="O27" s="1"/>
      <c r="P27" s="1"/>
      <c r="Q27"/>
    </row>
    <row r="28" spans="1:18" s="7" customFormat="1" ht="58.2" hidden="1" customHeight="1" x14ac:dyDescent="0.3">
      <c r="A28" s="6"/>
      <c r="B28" s="19" t="s">
        <v>92</v>
      </c>
      <c r="C28" s="35"/>
      <c r="D28" s="5" t="s">
        <v>93</v>
      </c>
      <c r="E28" s="5" t="s">
        <v>94</v>
      </c>
      <c r="F28" s="22">
        <v>46118</v>
      </c>
      <c r="G28" s="3" t="s">
        <v>95</v>
      </c>
      <c r="H28" s="22">
        <v>46139</v>
      </c>
      <c r="I28" s="3"/>
      <c r="J28" s="4"/>
      <c r="K28" s="20"/>
      <c r="L28" s="21"/>
      <c r="M28" s="10" t="s">
        <v>2</v>
      </c>
      <c r="N28" s="11"/>
      <c r="O28" s="1"/>
      <c r="P28" s="1"/>
      <c r="Q28"/>
    </row>
    <row r="29" spans="1:18" s="7" customFormat="1" ht="58.2" hidden="1" customHeight="1" x14ac:dyDescent="0.3">
      <c r="A29" s="6"/>
      <c r="B29" s="19" t="s">
        <v>96</v>
      </c>
      <c r="C29" s="35"/>
      <c r="D29" s="5" t="s">
        <v>97</v>
      </c>
      <c r="E29" s="5" t="s">
        <v>98</v>
      </c>
      <c r="F29" s="22">
        <v>46121</v>
      </c>
      <c r="G29" s="3" t="s">
        <v>99</v>
      </c>
      <c r="H29" s="22">
        <v>46139</v>
      </c>
      <c r="I29" s="3"/>
      <c r="J29" s="4"/>
      <c r="K29" s="20"/>
      <c r="L29" s="21"/>
      <c r="M29" s="10" t="s">
        <v>2</v>
      </c>
      <c r="N29" s="11"/>
      <c r="O29" s="1"/>
      <c r="P29" s="1"/>
      <c r="Q29"/>
    </row>
    <row r="30" spans="1:18" s="7" customFormat="1" ht="58.2" hidden="1" customHeight="1" x14ac:dyDescent="0.3">
      <c r="A30" s="6"/>
      <c r="B30" s="19" t="s">
        <v>100</v>
      </c>
      <c r="C30" s="35"/>
      <c r="D30" s="5" t="s">
        <v>101</v>
      </c>
      <c r="E30" s="5" t="s">
        <v>102</v>
      </c>
      <c r="F30" s="22">
        <v>46121</v>
      </c>
      <c r="G30" s="3" t="s">
        <v>103</v>
      </c>
      <c r="H30" s="22">
        <v>46139</v>
      </c>
      <c r="I30" s="3"/>
      <c r="J30" s="4"/>
      <c r="K30" s="20"/>
      <c r="L30" s="21"/>
      <c r="M30" s="10" t="s">
        <v>2</v>
      </c>
      <c r="N30" s="11"/>
      <c r="O30" s="1"/>
      <c r="P30" s="1"/>
      <c r="Q30"/>
    </row>
    <row r="31" spans="1:18" s="7" customFormat="1" ht="58.2" hidden="1" customHeight="1" x14ac:dyDescent="0.3">
      <c r="A31" s="6"/>
      <c r="B31" s="19" t="s">
        <v>104</v>
      </c>
      <c r="C31" s="35"/>
      <c r="D31" s="5" t="s">
        <v>105</v>
      </c>
      <c r="E31" s="5" t="s">
        <v>106</v>
      </c>
      <c r="F31" s="22">
        <v>46125</v>
      </c>
      <c r="G31" s="3" t="s">
        <v>107</v>
      </c>
      <c r="H31" s="22">
        <v>46138</v>
      </c>
      <c r="I31" s="3"/>
      <c r="J31" s="4"/>
      <c r="K31" s="20"/>
      <c r="L31" s="21"/>
      <c r="M31" s="10" t="s">
        <v>2</v>
      </c>
      <c r="N31" s="11"/>
      <c r="O31" s="1"/>
      <c r="P31" s="1"/>
      <c r="Q31"/>
    </row>
    <row r="32" spans="1:18" s="7" customFormat="1" ht="58.2" hidden="1" customHeight="1" x14ac:dyDescent="0.3">
      <c r="A32" s="6"/>
      <c r="B32" s="19" t="s">
        <v>108</v>
      </c>
      <c r="C32" s="35"/>
      <c r="D32" s="5" t="s">
        <v>109</v>
      </c>
      <c r="E32" s="5" t="s">
        <v>110</v>
      </c>
      <c r="F32" s="22">
        <v>46127</v>
      </c>
      <c r="G32" s="3" t="s">
        <v>111</v>
      </c>
      <c r="H32" s="22">
        <v>46134</v>
      </c>
      <c r="I32" s="3"/>
      <c r="J32" s="4"/>
      <c r="K32" s="20"/>
      <c r="L32" s="21"/>
      <c r="M32" s="10" t="s">
        <v>2</v>
      </c>
      <c r="N32" s="11"/>
      <c r="O32" s="1"/>
      <c r="P32" s="1"/>
      <c r="Q32"/>
    </row>
    <row r="33" spans="1:17" s="7" customFormat="1" ht="58.2" hidden="1" customHeight="1" x14ac:dyDescent="0.3">
      <c r="A33" s="6"/>
      <c r="B33" s="19" t="s">
        <v>112</v>
      </c>
      <c r="C33" s="35"/>
      <c r="D33" s="5" t="s">
        <v>113</v>
      </c>
      <c r="E33" s="5" t="s">
        <v>114</v>
      </c>
      <c r="F33" s="22">
        <v>46132</v>
      </c>
      <c r="G33" s="3" t="s">
        <v>115</v>
      </c>
      <c r="H33" s="22">
        <v>46139</v>
      </c>
      <c r="I33" s="3"/>
      <c r="J33" s="4"/>
      <c r="K33" s="20"/>
      <c r="L33" s="21"/>
      <c r="M33" s="10" t="s">
        <v>2</v>
      </c>
      <c r="N33" s="11"/>
      <c r="O33" s="1"/>
      <c r="P33" s="1"/>
      <c r="Q33"/>
    </row>
    <row r="34" spans="1:17" s="7" customFormat="1" ht="58.2" hidden="1" customHeight="1" x14ac:dyDescent="0.3">
      <c r="A34" s="6"/>
      <c r="B34" s="19" t="s">
        <v>116</v>
      </c>
      <c r="C34" s="35"/>
      <c r="D34" s="5" t="s">
        <v>117</v>
      </c>
      <c r="E34" s="5" t="s">
        <v>118</v>
      </c>
      <c r="F34" s="22">
        <v>46135</v>
      </c>
      <c r="G34" s="3" t="s">
        <v>119</v>
      </c>
      <c r="H34" s="22">
        <v>46138</v>
      </c>
      <c r="I34" s="3"/>
      <c r="J34" s="4"/>
      <c r="K34" s="20"/>
      <c r="L34" s="21"/>
      <c r="M34" s="10" t="s">
        <v>2</v>
      </c>
      <c r="N34" s="11"/>
      <c r="O34" s="1"/>
      <c r="P34" s="1"/>
      <c r="Q34"/>
    </row>
    <row r="35" spans="1:17" s="7" customFormat="1" ht="58.2" hidden="1" customHeight="1" x14ac:dyDescent="0.3">
      <c r="A35" s="6"/>
      <c r="B35" s="19" t="s">
        <v>120</v>
      </c>
      <c r="C35" s="35"/>
      <c r="D35" s="5" t="s">
        <v>121</v>
      </c>
      <c r="E35" s="5" t="s">
        <v>122</v>
      </c>
      <c r="F35" s="22">
        <v>46140</v>
      </c>
      <c r="G35" s="3" t="s">
        <v>123</v>
      </c>
      <c r="H35" s="22">
        <v>46146</v>
      </c>
      <c r="I35" s="3"/>
      <c r="J35" s="4"/>
      <c r="K35" s="20"/>
      <c r="L35" s="21"/>
      <c r="M35" s="10" t="s">
        <v>2</v>
      </c>
      <c r="N35" s="33" t="s">
        <v>124</v>
      </c>
      <c r="O35" s="1"/>
      <c r="P35" s="1"/>
      <c r="Q35"/>
    </row>
    <row r="36" spans="1:17" s="7" customFormat="1" ht="58.2" hidden="1" customHeight="1" x14ac:dyDescent="0.3">
      <c r="A36" s="6"/>
      <c r="B36" s="19" t="s">
        <v>125</v>
      </c>
      <c r="C36" s="35"/>
      <c r="D36" s="5" t="s">
        <v>126</v>
      </c>
      <c r="E36" s="5" t="s">
        <v>127</v>
      </c>
      <c r="F36" s="22">
        <v>46140</v>
      </c>
      <c r="G36" s="3" t="s">
        <v>128</v>
      </c>
      <c r="H36" s="22">
        <v>46160</v>
      </c>
      <c r="I36" s="3"/>
      <c r="J36" s="4"/>
      <c r="K36" s="20"/>
      <c r="L36" s="21"/>
      <c r="M36" s="10" t="s">
        <v>2</v>
      </c>
      <c r="N36" s="11" t="s">
        <v>72</v>
      </c>
      <c r="O36" s="1"/>
      <c r="P36" s="1"/>
      <c r="Q36"/>
    </row>
    <row r="37" spans="1:17" s="7" customFormat="1" ht="58.2" hidden="1" customHeight="1" x14ac:dyDescent="0.3">
      <c r="A37" s="6"/>
      <c r="B37" s="19" t="s">
        <v>129</v>
      </c>
      <c r="C37" s="35"/>
      <c r="D37" s="5" t="s">
        <v>130</v>
      </c>
      <c r="E37" s="5" t="s">
        <v>131</v>
      </c>
      <c r="F37" s="22">
        <v>46142</v>
      </c>
      <c r="G37" s="3" t="s">
        <v>132</v>
      </c>
      <c r="H37" s="22">
        <v>46153</v>
      </c>
      <c r="I37" s="3"/>
      <c r="J37" s="4"/>
      <c r="K37" s="20"/>
      <c r="L37" s="21"/>
      <c r="M37" s="10" t="s">
        <v>2</v>
      </c>
      <c r="N37" s="33" t="s">
        <v>133</v>
      </c>
      <c r="O37" s="1" t="s">
        <v>134</v>
      </c>
      <c r="P37" s="1"/>
      <c r="Q37"/>
    </row>
    <row r="38" spans="1:17" s="7" customFormat="1" ht="58.2" hidden="1" customHeight="1" x14ac:dyDescent="0.3">
      <c r="A38" s="6"/>
      <c r="B38" s="19" t="s">
        <v>135</v>
      </c>
      <c r="C38" s="35"/>
      <c r="D38" s="5" t="s">
        <v>136</v>
      </c>
      <c r="E38" s="5" t="s">
        <v>137</v>
      </c>
      <c r="F38" s="22">
        <v>46142</v>
      </c>
      <c r="G38" s="3"/>
      <c r="H38" s="22"/>
      <c r="I38" s="3"/>
      <c r="J38" s="4"/>
      <c r="K38" s="20"/>
      <c r="L38" s="21"/>
      <c r="M38" s="10" t="s">
        <v>2</v>
      </c>
      <c r="N38" s="33" t="s">
        <v>138</v>
      </c>
      <c r="O38" s="1"/>
      <c r="P38" s="1"/>
      <c r="Q38"/>
    </row>
    <row r="39" spans="1:17" s="7" customFormat="1" ht="58.2" hidden="1" customHeight="1" x14ac:dyDescent="0.3">
      <c r="A39" s="6"/>
      <c r="B39" s="19" t="s">
        <v>139</v>
      </c>
      <c r="C39" s="35"/>
      <c r="D39" s="5" t="s">
        <v>140</v>
      </c>
      <c r="E39" s="5" t="s">
        <v>141</v>
      </c>
      <c r="F39" s="22">
        <v>46147</v>
      </c>
      <c r="G39" s="3" t="s">
        <v>142</v>
      </c>
      <c r="H39" s="22">
        <v>46147</v>
      </c>
      <c r="I39" s="3"/>
      <c r="J39" s="4"/>
      <c r="K39" s="20"/>
      <c r="L39" s="21"/>
      <c r="M39" s="10" t="s">
        <v>2</v>
      </c>
      <c r="N39" s="33"/>
      <c r="O39" s="1"/>
      <c r="P39" s="1"/>
      <c r="Q39"/>
    </row>
    <row r="40" spans="1:17" s="7" customFormat="1" ht="58.2" hidden="1" customHeight="1" x14ac:dyDescent="0.3">
      <c r="A40" s="6"/>
      <c r="B40" s="19" t="s">
        <v>143</v>
      </c>
      <c r="C40" s="35"/>
      <c r="D40" s="5" t="s">
        <v>144</v>
      </c>
      <c r="E40" s="5" t="s">
        <v>145</v>
      </c>
      <c r="F40" s="22">
        <v>46147</v>
      </c>
      <c r="G40" s="3" t="s">
        <v>146</v>
      </c>
      <c r="H40" s="22">
        <v>46147</v>
      </c>
      <c r="I40" s="3"/>
      <c r="J40" s="4"/>
      <c r="K40" s="20"/>
      <c r="L40" s="21"/>
      <c r="M40" s="10" t="s">
        <v>2</v>
      </c>
      <c r="N40" s="33"/>
      <c r="O40" s="1"/>
      <c r="P40" s="1"/>
      <c r="Q40"/>
    </row>
    <row r="41" spans="1:17" s="7" customFormat="1" ht="58.2" hidden="1" customHeight="1" x14ac:dyDescent="0.3">
      <c r="A41" s="6"/>
      <c r="B41" s="19" t="s">
        <v>147</v>
      </c>
      <c r="C41" s="35"/>
      <c r="D41" s="5" t="s">
        <v>148</v>
      </c>
      <c r="E41" s="5" t="s">
        <v>149</v>
      </c>
      <c r="F41" s="22">
        <v>46148</v>
      </c>
      <c r="G41" s="3"/>
      <c r="H41" s="22"/>
      <c r="I41" s="3"/>
      <c r="J41" s="4"/>
      <c r="K41" s="20"/>
      <c r="L41" s="21"/>
      <c r="M41" s="10" t="s">
        <v>2</v>
      </c>
      <c r="N41" s="33"/>
      <c r="O41" s="1"/>
      <c r="P41" s="1"/>
      <c r="Q41"/>
    </row>
    <row r="42" spans="1:17" s="7" customFormat="1" ht="58.2" hidden="1" customHeight="1" x14ac:dyDescent="0.3">
      <c r="A42" s="6"/>
      <c r="B42" s="19" t="s">
        <v>150</v>
      </c>
      <c r="C42" s="35"/>
      <c r="D42" s="5" t="s">
        <v>151</v>
      </c>
      <c r="E42" s="5" t="s">
        <v>152</v>
      </c>
      <c r="F42" s="22">
        <v>46153</v>
      </c>
      <c r="G42" s="3" t="s">
        <v>153</v>
      </c>
      <c r="H42" s="22">
        <v>46155</v>
      </c>
      <c r="I42" s="3"/>
      <c r="J42" s="4"/>
      <c r="K42" s="20"/>
      <c r="L42" s="21"/>
      <c r="M42" s="10" t="s">
        <v>2</v>
      </c>
      <c r="N42" s="33"/>
      <c r="O42" s="1"/>
      <c r="P42" s="1"/>
      <c r="Q42"/>
    </row>
    <row r="43" spans="1:17" s="7" customFormat="1" ht="58.2" hidden="1" customHeight="1" x14ac:dyDescent="0.3">
      <c r="A43" s="6"/>
      <c r="B43" s="19" t="s">
        <v>154</v>
      </c>
      <c r="C43" s="35"/>
      <c r="D43" s="5" t="s">
        <v>155</v>
      </c>
      <c r="E43" s="5" t="s">
        <v>156</v>
      </c>
      <c r="F43" s="22">
        <v>46153</v>
      </c>
      <c r="G43" s="3"/>
      <c r="H43" s="22"/>
      <c r="I43" s="3"/>
      <c r="J43" s="4"/>
      <c r="K43" s="20"/>
      <c r="L43" s="21"/>
      <c r="M43" s="10" t="s">
        <v>2</v>
      </c>
      <c r="N43" s="33"/>
      <c r="O43" s="1"/>
      <c r="P43" s="1"/>
      <c r="Q43"/>
    </row>
    <row r="44" spans="1:17" s="7" customFormat="1" ht="58.2" hidden="1" customHeight="1" x14ac:dyDescent="0.3">
      <c r="A44" s="6"/>
      <c r="B44" s="19" t="s">
        <v>157</v>
      </c>
      <c r="C44" s="35"/>
      <c r="D44" s="5" t="s">
        <v>158</v>
      </c>
      <c r="E44" s="5" t="s">
        <v>159</v>
      </c>
      <c r="F44" s="22">
        <v>46154</v>
      </c>
      <c r="G44" s="3" t="s">
        <v>160</v>
      </c>
      <c r="H44" s="22">
        <v>46162</v>
      </c>
      <c r="I44" s="3"/>
      <c r="J44" s="4"/>
      <c r="K44" s="20"/>
      <c r="L44" s="21"/>
      <c r="M44" s="10" t="s">
        <v>2</v>
      </c>
      <c r="N44" s="33"/>
      <c r="O44" s="1"/>
      <c r="P44" s="1"/>
      <c r="Q44"/>
    </row>
    <row r="45" spans="1:17" s="7" customFormat="1" ht="58.2" hidden="1" customHeight="1" x14ac:dyDescent="0.3">
      <c r="A45" s="6"/>
      <c r="B45" s="19" t="s">
        <v>161</v>
      </c>
      <c r="C45" s="35"/>
      <c r="D45" s="5" t="s">
        <v>162</v>
      </c>
      <c r="E45" s="5" t="s">
        <v>163</v>
      </c>
      <c r="F45" s="22">
        <v>46156</v>
      </c>
      <c r="G45" s="3" t="s">
        <v>164</v>
      </c>
      <c r="H45" s="22">
        <v>46159</v>
      </c>
      <c r="I45" s="3"/>
      <c r="J45" s="4"/>
      <c r="K45" s="20"/>
      <c r="L45" s="21"/>
      <c r="M45" s="10" t="s">
        <v>2</v>
      </c>
      <c r="N45" s="33" t="s">
        <v>165</v>
      </c>
      <c r="O45" s="1"/>
      <c r="P45" s="1"/>
      <c r="Q45"/>
    </row>
    <row r="46" spans="1:17" s="7" customFormat="1" ht="58.2" hidden="1" customHeight="1" x14ac:dyDescent="0.3">
      <c r="A46" s="6"/>
      <c r="B46" s="19" t="s">
        <v>166</v>
      </c>
      <c r="C46" s="35"/>
      <c r="D46" s="5" t="s">
        <v>167</v>
      </c>
      <c r="E46" s="5" t="s">
        <v>168</v>
      </c>
      <c r="F46" s="22">
        <v>46159</v>
      </c>
      <c r="G46" s="3" t="s">
        <v>169</v>
      </c>
      <c r="H46" s="22">
        <v>46159</v>
      </c>
      <c r="I46" s="3"/>
      <c r="J46" s="4"/>
      <c r="K46" s="20"/>
      <c r="L46" s="21"/>
      <c r="M46" s="10" t="s">
        <v>2</v>
      </c>
      <c r="N46" s="33"/>
      <c r="O46" s="1"/>
      <c r="P46" s="1"/>
      <c r="Q46"/>
    </row>
    <row r="47" spans="1:17" s="7" customFormat="1" ht="58.2" hidden="1" customHeight="1" x14ac:dyDescent="0.3">
      <c r="A47" s="6"/>
      <c r="B47" s="19" t="s">
        <v>170</v>
      </c>
      <c r="C47" s="35"/>
      <c r="D47" s="5" t="s">
        <v>171</v>
      </c>
      <c r="E47" s="5" t="s">
        <v>172</v>
      </c>
      <c r="F47" s="22">
        <v>46159</v>
      </c>
      <c r="G47" s="3" t="s">
        <v>173</v>
      </c>
      <c r="H47" s="22">
        <v>46162</v>
      </c>
      <c r="I47" s="3"/>
      <c r="J47" s="4"/>
      <c r="K47" s="20"/>
      <c r="L47" s="21"/>
      <c r="M47" s="10" t="s">
        <v>2</v>
      </c>
      <c r="N47" s="33"/>
      <c r="O47" s="1"/>
      <c r="P47" s="1"/>
      <c r="Q47"/>
    </row>
    <row r="48" spans="1:17" s="7" customFormat="1" ht="58.2" hidden="1" customHeight="1" x14ac:dyDescent="0.3">
      <c r="A48" s="6"/>
      <c r="B48" s="19" t="s">
        <v>174</v>
      </c>
      <c r="C48" s="35" t="s">
        <v>245</v>
      </c>
      <c r="D48" s="5" t="s">
        <v>175</v>
      </c>
      <c r="E48" s="5" t="s">
        <v>176</v>
      </c>
      <c r="F48" s="22">
        <v>46160</v>
      </c>
      <c r="G48" s="3" t="s">
        <v>247</v>
      </c>
      <c r="H48" s="22">
        <v>46197</v>
      </c>
      <c r="I48" s="3"/>
      <c r="J48" s="4"/>
      <c r="K48" s="20"/>
      <c r="L48" s="21"/>
      <c r="M48" s="10" t="s">
        <v>2</v>
      </c>
      <c r="N48" s="33" t="s">
        <v>186</v>
      </c>
      <c r="O48" s="1"/>
      <c r="P48" s="1"/>
      <c r="Q48"/>
    </row>
    <row r="49" spans="1:17" s="7" customFormat="1" ht="58.2" hidden="1" customHeight="1" x14ac:dyDescent="0.3">
      <c r="A49" s="6"/>
      <c r="B49" s="19" t="s">
        <v>174</v>
      </c>
      <c r="C49" s="35" t="s">
        <v>246</v>
      </c>
      <c r="D49" s="5" t="s">
        <v>248</v>
      </c>
      <c r="E49" s="5" t="s">
        <v>249</v>
      </c>
      <c r="F49" s="22">
        <v>46198</v>
      </c>
      <c r="G49" s="3" t="s">
        <v>250</v>
      </c>
      <c r="H49" s="22">
        <v>46198</v>
      </c>
      <c r="I49" s="3"/>
      <c r="J49" s="4"/>
      <c r="K49" s="20"/>
      <c r="L49" s="21"/>
      <c r="M49" s="10" t="s">
        <v>2</v>
      </c>
      <c r="N49" s="33"/>
      <c r="O49" s="1"/>
      <c r="P49" s="1"/>
      <c r="Q49"/>
    </row>
    <row r="50" spans="1:17" s="7" customFormat="1" ht="58.2" hidden="1" customHeight="1" x14ac:dyDescent="0.3">
      <c r="A50" s="6"/>
      <c r="B50" s="19" t="s">
        <v>174</v>
      </c>
      <c r="C50" s="35" t="s">
        <v>293</v>
      </c>
      <c r="D50" s="5" t="s">
        <v>294</v>
      </c>
      <c r="E50" s="5" t="s">
        <v>295</v>
      </c>
      <c r="F50" s="22">
        <v>46207</v>
      </c>
      <c r="G50" s="3" t="s">
        <v>297</v>
      </c>
      <c r="H50" s="22">
        <v>46208</v>
      </c>
      <c r="I50" s="3"/>
      <c r="J50" s="4"/>
      <c r="K50" s="20"/>
      <c r="L50" s="21"/>
      <c r="M50" s="10" t="s">
        <v>2</v>
      </c>
      <c r="N50" s="33"/>
      <c r="O50" s="1"/>
      <c r="P50" s="1"/>
      <c r="Q50"/>
    </row>
    <row r="51" spans="1:17" s="7" customFormat="1" ht="58.2" hidden="1" customHeight="1" x14ac:dyDescent="0.3">
      <c r="A51" s="6"/>
      <c r="B51" s="19" t="s">
        <v>178</v>
      </c>
      <c r="C51" s="35"/>
      <c r="D51" s="5" t="s">
        <v>179</v>
      </c>
      <c r="E51" s="5" t="s">
        <v>180</v>
      </c>
      <c r="F51" s="22">
        <v>46163</v>
      </c>
      <c r="G51" s="3" t="s">
        <v>181</v>
      </c>
      <c r="H51" s="22">
        <v>46165</v>
      </c>
      <c r="I51" s="3"/>
      <c r="J51" s="4"/>
      <c r="K51" s="20"/>
      <c r="L51" s="21"/>
      <c r="M51" s="10" t="s">
        <v>2</v>
      </c>
      <c r="N51" s="33" t="s">
        <v>177</v>
      </c>
      <c r="O51" s="1"/>
      <c r="P51" s="1"/>
      <c r="Q51"/>
    </row>
    <row r="52" spans="1:17" s="7" customFormat="1" ht="58.2" hidden="1" customHeight="1" x14ac:dyDescent="0.3">
      <c r="A52" s="6"/>
      <c r="B52" s="19" t="s">
        <v>182</v>
      </c>
      <c r="C52" s="35"/>
      <c r="D52" s="5" t="s">
        <v>183</v>
      </c>
      <c r="E52" s="5" t="s">
        <v>184</v>
      </c>
      <c r="F52" s="22">
        <v>46165</v>
      </c>
      <c r="G52" s="3" t="s">
        <v>185</v>
      </c>
      <c r="H52" s="22">
        <v>46174</v>
      </c>
      <c r="I52" s="3"/>
      <c r="J52" s="4"/>
      <c r="K52" s="20"/>
      <c r="L52" s="21"/>
      <c r="M52" s="10" t="s">
        <v>2</v>
      </c>
      <c r="N52" s="33" t="s">
        <v>186</v>
      </c>
      <c r="O52" s="1"/>
      <c r="P52" s="1"/>
      <c r="Q52"/>
    </row>
    <row r="53" spans="1:17" s="7" customFormat="1" ht="58.2" hidden="1" customHeight="1" x14ac:dyDescent="0.3">
      <c r="A53" s="6"/>
      <c r="B53" s="19" t="s">
        <v>187</v>
      </c>
      <c r="C53" s="35"/>
      <c r="D53" s="5" t="s">
        <v>188</v>
      </c>
      <c r="E53" s="5" t="s">
        <v>189</v>
      </c>
      <c r="F53" s="22">
        <v>46165</v>
      </c>
      <c r="G53" s="3" t="s">
        <v>190</v>
      </c>
      <c r="H53" s="22">
        <v>46174</v>
      </c>
      <c r="I53" s="3"/>
      <c r="J53" s="4"/>
      <c r="K53" s="20"/>
      <c r="L53" s="21"/>
      <c r="M53" s="10" t="s">
        <v>2</v>
      </c>
      <c r="N53" s="33" t="s">
        <v>186</v>
      </c>
      <c r="O53" s="1"/>
      <c r="P53" s="1"/>
      <c r="Q53"/>
    </row>
    <row r="54" spans="1:17" s="7" customFormat="1" ht="58.2" hidden="1" customHeight="1" x14ac:dyDescent="0.3">
      <c r="A54" s="6"/>
      <c r="B54" s="19" t="s">
        <v>191</v>
      </c>
      <c r="C54" s="35"/>
      <c r="D54" s="5" t="s">
        <v>192</v>
      </c>
      <c r="E54" s="5" t="s">
        <v>193</v>
      </c>
      <c r="F54" s="22">
        <v>46165</v>
      </c>
      <c r="G54" s="3" t="s">
        <v>194</v>
      </c>
      <c r="H54" s="22">
        <v>46174</v>
      </c>
      <c r="I54" s="3"/>
      <c r="J54" s="4"/>
      <c r="K54" s="20"/>
      <c r="L54" s="21"/>
      <c r="M54" s="10" t="s">
        <v>2</v>
      </c>
      <c r="N54" s="33" t="s">
        <v>186</v>
      </c>
      <c r="O54" s="1"/>
      <c r="P54" s="1"/>
      <c r="Q54"/>
    </row>
    <row r="55" spans="1:17" s="7" customFormat="1" ht="58.2" hidden="1" customHeight="1" x14ac:dyDescent="0.3">
      <c r="A55" s="6"/>
      <c r="B55" s="19" t="s">
        <v>195</v>
      </c>
      <c r="C55" s="35"/>
      <c r="D55" s="5" t="s">
        <v>196</v>
      </c>
      <c r="E55" s="5" t="s">
        <v>197</v>
      </c>
      <c r="F55" s="22">
        <v>46177</v>
      </c>
      <c r="G55" s="3" t="s">
        <v>219</v>
      </c>
      <c r="H55" s="22">
        <v>46188</v>
      </c>
      <c r="I55" s="3"/>
      <c r="J55" s="4"/>
      <c r="K55" s="20"/>
      <c r="L55" s="21"/>
      <c r="M55" s="10" t="s">
        <v>2</v>
      </c>
      <c r="N55" s="33"/>
      <c r="O55" s="1"/>
      <c r="P55" s="1"/>
      <c r="Q55"/>
    </row>
    <row r="56" spans="1:17" s="7" customFormat="1" ht="58.2" hidden="1" customHeight="1" x14ac:dyDescent="0.3">
      <c r="A56" s="6"/>
      <c r="B56" s="19" t="s">
        <v>198</v>
      </c>
      <c r="C56" s="35"/>
      <c r="D56" s="5" t="s">
        <v>199</v>
      </c>
      <c r="E56" s="5" t="s">
        <v>200</v>
      </c>
      <c r="F56" s="22">
        <v>46180</v>
      </c>
      <c r="G56" s="3" t="s">
        <v>220</v>
      </c>
      <c r="H56" s="22">
        <v>46188</v>
      </c>
      <c r="I56" s="3"/>
      <c r="J56" s="4"/>
      <c r="K56" s="20"/>
      <c r="L56" s="21"/>
      <c r="M56" s="10" t="s">
        <v>2</v>
      </c>
      <c r="N56" s="33"/>
      <c r="O56" s="1"/>
      <c r="P56" s="1"/>
      <c r="Q56"/>
    </row>
    <row r="57" spans="1:17" s="7" customFormat="1" ht="58.2" hidden="1" customHeight="1" x14ac:dyDescent="0.3">
      <c r="A57" s="6"/>
      <c r="B57" s="19" t="s">
        <v>201</v>
      </c>
      <c r="C57" s="35"/>
      <c r="D57" s="5" t="s">
        <v>202</v>
      </c>
      <c r="E57" s="5" t="s">
        <v>203</v>
      </c>
      <c r="F57" s="22">
        <v>46181</v>
      </c>
      <c r="G57" s="3" t="s">
        <v>218</v>
      </c>
      <c r="H57" s="22">
        <v>46188</v>
      </c>
      <c r="I57" s="3"/>
      <c r="J57" s="4"/>
      <c r="K57" s="20"/>
      <c r="L57" s="21"/>
      <c r="M57" s="10" t="s">
        <v>2</v>
      </c>
      <c r="N57" s="33"/>
      <c r="O57" s="1"/>
      <c r="P57" s="1"/>
      <c r="Q57"/>
    </row>
    <row r="58" spans="1:17" s="7" customFormat="1" ht="58.2" hidden="1" customHeight="1" x14ac:dyDescent="0.3">
      <c r="A58" s="6"/>
      <c r="B58" s="19" t="s">
        <v>207</v>
      </c>
      <c r="C58" s="35"/>
      <c r="D58" s="5" t="s">
        <v>208</v>
      </c>
      <c r="E58" s="5" t="s">
        <v>209</v>
      </c>
      <c r="F58" s="22">
        <v>46184</v>
      </c>
      <c r="G58" s="3" t="s">
        <v>216</v>
      </c>
      <c r="H58" s="22">
        <v>46187</v>
      </c>
      <c r="I58" s="3"/>
      <c r="J58" s="4"/>
      <c r="K58" s="20"/>
      <c r="L58" s="21"/>
      <c r="M58" s="10" t="s">
        <v>2</v>
      </c>
      <c r="N58" s="33"/>
      <c r="O58" s="1"/>
      <c r="P58" s="1"/>
      <c r="Q58"/>
    </row>
    <row r="59" spans="1:17" s="7" customFormat="1" ht="58.2" hidden="1" customHeight="1" x14ac:dyDescent="0.3">
      <c r="A59" s="6"/>
      <c r="B59" s="19" t="s">
        <v>204</v>
      </c>
      <c r="C59" s="35"/>
      <c r="D59" s="5" t="s">
        <v>205</v>
      </c>
      <c r="E59" s="5" t="s">
        <v>206</v>
      </c>
      <c r="F59" s="22">
        <v>46185</v>
      </c>
      <c r="G59" s="3" t="s">
        <v>225</v>
      </c>
      <c r="H59" s="22">
        <v>46190</v>
      </c>
      <c r="I59" s="3"/>
      <c r="J59" s="4"/>
      <c r="K59" s="20"/>
      <c r="L59" s="21"/>
      <c r="M59" s="10" t="s">
        <v>2</v>
      </c>
      <c r="N59" s="33" t="s">
        <v>186</v>
      </c>
      <c r="O59" s="1"/>
      <c r="P59" s="1"/>
      <c r="Q59"/>
    </row>
    <row r="60" spans="1:17" s="7" customFormat="1" ht="58.2" hidden="1" customHeight="1" x14ac:dyDescent="0.3">
      <c r="A60" s="6"/>
      <c r="B60" s="19" t="s">
        <v>210</v>
      </c>
      <c r="C60" s="35"/>
      <c r="D60" s="5" t="s">
        <v>211</v>
      </c>
      <c r="E60" s="5" t="s">
        <v>212</v>
      </c>
      <c r="F60" s="22">
        <v>46186</v>
      </c>
      <c r="G60" s="3" t="s">
        <v>217</v>
      </c>
      <c r="H60" s="22">
        <v>46188</v>
      </c>
      <c r="I60" s="3"/>
      <c r="J60" s="4"/>
      <c r="K60" s="20"/>
      <c r="L60" s="21"/>
      <c r="M60" s="10" t="s">
        <v>2</v>
      </c>
      <c r="N60" s="33"/>
      <c r="O60" s="1"/>
      <c r="P60" s="1"/>
      <c r="Q60"/>
    </row>
    <row r="61" spans="1:17" s="7" customFormat="1" ht="58.2" hidden="1" customHeight="1" x14ac:dyDescent="0.3">
      <c r="A61" s="6"/>
      <c r="B61" s="19" t="s">
        <v>213</v>
      </c>
      <c r="C61" s="35"/>
      <c r="D61" s="5" t="s">
        <v>214</v>
      </c>
      <c r="E61" s="5" t="s">
        <v>215</v>
      </c>
      <c r="F61" s="22">
        <v>46187</v>
      </c>
      <c r="G61" s="3" t="s">
        <v>221</v>
      </c>
      <c r="H61" s="22">
        <v>46189</v>
      </c>
      <c r="I61" s="3"/>
      <c r="J61" s="4"/>
      <c r="K61" s="20"/>
      <c r="L61" s="21"/>
      <c r="M61" s="10" t="s">
        <v>2</v>
      </c>
      <c r="N61" s="33"/>
      <c r="O61" s="1"/>
      <c r="P61" s="1"/>
      <c r="Q61"/>
    </row>
    <row r="62" spans="1:17" s="7" customFormat="1" ht="58.2" hidden="1" customHeight="1" x14ac:dyDescent="0.3">
      <c r="A62" s="6"/>
      <c r="B62" s="19" t="s">
        <v>222</v>
      </c>
      <c r="C62" s="35" t="s">
        <v>245</v>
      </c>
      <c r="D62" s="5" t="s">
        <v>223</v>
      </c>
      <c r="E62" s="5" t="s">
        <v>224</v>
      </c>
      <c r="F62" s="22">
        <v>46189</v>
      </c>
      <c r="G62" s="3" t="s">
        <v>237</v>
      </c>
      <c r="H62" s="22">
        <v>46195</v>
      </c>
      <c r="I62" s="3"/>
      <c r="J62" s="4"/>
      <c r="K62" s="20"/>
      <c r="L62" s="21"/>
      <c r="M62" s="10" t="s">
        <v>2</v>
      </c>
      <c r="N62" s="33"/>
      <c r="O62" s="1"/>
      <c r="P62" s="1"/>
      <c r="Q62"/>
    </row>
    <row r="63" spans="1:17" s="7" customFormat="1" ht="58.2" hidden="1" customHeight="1" x14ac:dyDescent="0.3">
      <c r="A63" s="6"/>
      <c r="B63" s="19" t="s">
        <v>222</v>
      </c>
      <c r="C63" s="35" t="s">
        <v>246</v>
      </c>
      <c r="D63" s="5" t="s">
        <v>241</v>
      </c>
      <c r="E63" s="5" t="s">
        <v>224</v>
      </c>
      <c r="F63" s="22">
        <v>46196</v>
      </c>
      <c r="G63" s="3" t="s">
        <v>266</v>
      </c>
      <c r="H63" s="22">
        <v>46201</v>
      </c>
      <c r="I63" s="3"/>
      <c r="J63" s="4"/>
      <c r="K63" s="20"/>
      <c r="L63" s="21"/>
      <c r="M63" s="10" t="s">
        <v>2</v>
      </c>
      <c r="N63" s="33"/>
      <c r="O63" s="1"/>
      <c r="P63" s="1"/>
      <c r="Q63"/>
    </row>
    <row r="64" spans="1:17" s="7" customFormat="1" ht="58.2" hidden="1" customHeight="1" x14ac:dyDescent="0.3">
      <c r="A64" s="6"/>
      <c r="B64" s="19" t="s">
        <v>226</v>
      </c>
      <c r="C64" s="35" t="s">
        <v>245</v>
      </c>
      <c r="D64" s="5" t="s">
        <v>227</v>
      </c>
      <c r="E64" s="5" t="s">
        <v>228</v>
      </c>
      <c r="F64" s="22">
        <v>46190</v>
      </c>
      <c r="G64" s="3" t="s">
        <v>272</v>
      </c>
      <c r="H64" s="22">
        <v>46202</v>
      </c>
      <c r="I64" s="3"/>
      <c r="J64" s="4"/>
      <c r="K64" s="20"/>
      <c r="L64" s="21"/>
      <c r="M64" s="10" t="s">
        <v>2</v>
      </c>
      <c r="N64" s="33" t="s">
        <v>186</v>
      </c>
      <c r="O64" s="1"/>
      <c r="P64" s="1"/>
      <c r="Q64"/>
    </row>
    <row r="65" spans="1:17" s="7" customFormat="1" ht="58.2" hidden="1" customHeight="1" x14ac:dyDescent="0.3">
      <c r="A65" s="6"/>
      <c r="B65" s="19" t="s">
        <v>229</v>
      </c>
      <c r="C65" s="35" t="s">
        <v>245</v>
      </c>
      <c r="D65" s="5" t="s">
        <v>230</v>
      </c>
      <c r="E65" s="5" t="s">
        <v>231</v>
      </c>
      <c r="F65" s="22">
        <v>46190</v>
      </c>
      <c r="G65" s="3" t="s">
        <v>232</v>
      </c>
      <c r="H65" s="22">
        <v>46194</v>
      </c>
      <c r="I65" s="3"/>
      <c r="J65" s="4"/>
      <c r="K65" s="20"/>
      <c r="L65" s="21"/>
      <c r="M65" s="10" t="s">
        <v>2</v>
      </c>
      <c r="N65" s="33"/>
      <c r="O65" s="1"/>
      <c r="P65" s="1"/>
      <c r="Q65"/>
    </row>
    <row r="66" spans="1:17" s="7" customFormat="1" ht="58.2" hidden="1" customHeight="1" x14ac:dyDescent="0.3">
      <c r="A66" s="6"/>
      <c r="B66" s="19" t="s">
        <v>233</v>
      </c>
      <c r="C66" s="35" t="s">
        <v>245</v>
      </c>
      <c r="D66" s="5" t="s">
        <v>234</v>
      </c>
      <c r="E66" s="5" t="s">
        <v>235</v>
      </c>
      <c r="F66" s="22">
        <v>46195</v>
      </c>
      <c r="G66" s="3" t="s">
        <v>267</v>
      </c>
      <c r="H66" s="22">
        <v>46201</v>
      </c>
      <c r="I66" s="3"/>
      <c r="J66" s="4"/>
      <c r="K66" s="20"/>
      <c r="L66" s="21"/>
      <c r="M66" s="10" t="s">
        <v>2</v>
      </c>
      <c r="N66" s="33"/>
      <c r="O66" s="1"/>
      <c r="P66" s="1"/>
      <c r="Q66"/>
    </row>
    <row r="67" spans="1:17" s="7" customFormat="1" ht="58.2" hidden="1" customHeight="1" x14ac:dyDescent="0.3">
      <c r="A67" s="6"/>
      <c r="B67" s="19" t="s">
        <v>233</v>
      </c>
      <c r="C67" s="35" t="s">
        <v>246</v>
      </c>
      <c r="D67" s="5" t="s">
        <v>351</v>
      </c>
      <c r="E67" s="5" t="s">
        <v>352</v>
      </c>
      <c r="F67" s="22">
        <v>46223</v>
      </c>
      <c r="G67" s="3" t="s">
        <v>361</v>
      </c>
      <c r="H67" s="22">
        <v>46230</v>
      </c>
      <c r="I67" s="3"/>
      <c r="J67" s="4"/>
      <c r="K67" s="20"/>
      <c r="L67" s="21"/>
      <c r="M67" s="10" t="s">
        <v>2</v>
      </c>
      <c r="N67" s="33" t="s">
        <v>177</v>
      </c>
      <c r="O67" s="1"/>
      <c r="P67" s="1"/>
      <c r="Q67"/>
    </row>
    <row r="68" spans="1:17" s="7" customFormat="1" ht="58.2" hidden="1" customHeight="1" x14ac:dyDescent="0.3">
      <c r="A68" s="6"/>
      <c r="B68" s="19" t="s">
        <v>233</v>
      </c>
      <c r="C68" s="35" t="s">
        <v>293</v>
      </c>
      <c r="D68" s="5" t="s">
        <v>405</v>
      </c>
      <c r="E68" s="5" t="s">
        <v>406</v>
      </c>
      <c r="F68" s="22">
        <v>46239</v>
      </c>
      <c r="G68" s="3" t="s">
        <v>417</v>
      </c>
      <c r="H68" s="22">
        <v>46243</v>
      </c>
      <c r="I68" s="3"/>
      <c r="J68" s="4"/>
      <c r="K68" s="20"/>
      <c r="L68" s="21"/>
      <c r="M68" s="10" t="s">
        <v>2</v>
      </c>
      <c r="N68" s="33"/>
      <c r="O68" s="1"/>
      <c r="P68" s="1"/>
      <c r="Q68"/>
    </row>
    <row r="69" spans="1:17" s="7" customFormat="1" ht="58.2" hidden="1" customHeight="1" x14ac:dyDescent="0.3">
      <c r="A69" s="6"/>
      <c r="B69" s="19" t="s">
        <v>238</v>
      </c>
      <c r="C69" s="35" t="s">
        <v>245</v>
      </c>
      <c r="D69" s="5" t="s">
        <v>239</v>
      </c>
      <c r="E69" s="5" t="s">
        <v>240</v>
      </c>
      <c r="F69" s="22">
        <v>46195</v>
      </c>
      <c r="G69" s="3" t="s">
        <v>286</v>
      </c>
      <c r="H69" s="22">
        <v>46204</v>
      </c>
      <c r="I69" s="3"/>
      <c r="J69" s="4"/>
      <c r="K69" s="20"/>
      <c r="L69" s="21"/>
      <c r="M69" s="10" t="s">
        <v>2</v>
      </c>
      <c r="N69" s="33" t="s">
        <v>186</v>
      </c>
      <c r="O69" s="1"/>
      <c r="P69" s="1"/>
      <c r="Q69"/>
    </row>
    <row r="70" spans="1:17" s="7" customFormat="1" ht="58.2" hidden="1" customHeight="1" x14ac:dyDescent="0.3">
      <c r="A70" s="6"/>
      <c r="B70" s="19" t="s">
        <v>238</v>
      </c>
      <c r="C70" s="35" t="s">
        <v>246</v>
      </c>
      <c r="D70" s="5" t="s">
        <v>310</v>
      </c>
      <c r="E70" s="5" t="s">
        <v>240</v>
      </c>
      <c r="F70" s="22">
        <v>46209</v>
      </c>
      <c r="G70" s="3" t="s">
        <v>386</v>
      </c>
      <c r="H70" s="22">
        <v>46237</v>
      </c>
      <c r="I70" s="3"/>
      <c r="J70" s="4"/>
      <c r="K70" s="20"/>
      <c r="L70" s="21"/>
      <c r="M70" s="10" t="s">
        <v>2</v>
      </c>
      <c r="N70" s="33" t="s">
        <v>357</v>
      </c>
      <c r="O70" s="1"/>
      <c r="P70" s="1"/>
      <c r="Q70"/>
    </row>
    <row r="71" spans="1:17" s="7" customFormat="1" ht="58.2" hidden="1" customHeight="1" x14ac:dyDescent="0.3">
      <c r="A71" s="6"/>
      <c r="B71" s="19" t="s">
        <v>242</v>
      </c>
      <c r="C71" s="35" t="s">
        <v>245</v>
      </c>
      <c r="D71" s="5" t="s">
        <v>243</v>
      </c>
      <c r="E71" s="5" t="s">
        <v>244</v>
      </c>
      <c r="F71" s="22">
        <v>46196</v>
      </c>
      <c r="G71" s="3" t="s">
        <v>273</v>
      </c>
      <c r="H71" s="22">
        <v>46203</v>
      </c>
      <c r="I71" s="3"/>
      <c r="J71" s="4"/>
      <c r="K71" s="20"/>
      <c r="L71" s="21"/>
      <c r="M71" s="10" t="s">
        <v>2</v>
      </c>
      <c r="N71" s="33" t="s">
        <v>186</v>
      </c>
      <c r="O71" s="1"/>
      <c r="P71" s="1"/>
      <c r="Q71"/>
    </row>
    <row r="72" spans="1:17" s="7" customFormat="1" ht="58.2" hidden="1" customHeight="1" x14ac:dyDescent="0.3">
      <c r="A72" s="6"/>
      <c r="B72" s="19" t="s">
        <v>242</v>
      </c>
      <c r="C72" s="35" t="s">
        <v>246</v>
      </c>
      <c r="D72" s="5" t="s">
        <v>285</v>
      </c>
      <c r="E72" s="5" t="s">
        <v>244</v>
      </c>
      <c r="F72" s="22">
        <v>46204</v>
      </c>
      <c r="G72" s="3" t="s">
        <v>330</v>
      </c>
      <c r="H72" s="22">
        <v>46217</v>
      </c>
      <c r="I72" s="3"/>
      <c r="J72" s="4"/>
      <c r="K72" s="20"/>
      <c r="L72" s="21"/>
      <c r="M72" s="10" t="s">
        <v>2</v>
      </c>
      <c r="N72" s="33"/>
      <c r="O72" s="1"/>
      <c r="P72" s="1"/>
      <c r="Q72"/>
    </row>
    <row r="73" spans="1:17" s="7" customFormat="1" ht="58.2" hidden="1" customHeight="1" x14ac:dyDescent="0.3">
      <c r="A73" s="6"/>
      <c r="B73" s="19" t="s">
        <v>252</v>
      </c>
      <c r="C73" s="35" t="s">
        <v>245</v>
      </c>
      <c r="D73" s="5" t="s">
        <v>251</v>
      </c>
      <c r="E73" s="5" t="s">
        <v>253</v>
      </c>
      <c r="F73" s="22">
        <v>46198</v>
      </c>
      <c r="G73" s="3" t="s">
        <v>311</v>
      </c>
      <c r="H73" s="22">
        <v>46209</v>
      </c>
      <c r="I73" s="3"/>
      <c r="J73" s="4"/>
      <c r="K73" s="20"/>
      <c r="L73" s="21"/>
      <c r="M73" s="10" t="s">
        <v>2</v>
      </c>
      <c r="N73" s="33" t="s">
        <v>186</v>
      </c>
      <c r="O73" s="1"/>
      <c r="P73" s="1"/>
      <c r="Q73"/>
    </row>
    <row r="74" spans="1:17" s="7" customFormat="1" ht="58.2" hidden="1" customHeight="1" x14ac:dyDescent="0.3">
      <c r="A74" s="6"/>
      <c r="B74" s="19" t="s">
        <v>252</v>
      </c>
      <c r="C74" s="35" t="s">
        <v>246</v>
      </c>
      <c r="D74" s="5" t="s">
        <v>322</v>
      </c>
      <c r="E74" s="5" t="s">
        <v>253</v>
      </c>
      <c r="F74" s="22">
        <v>46212</v>
      </c>
      <c r="G74" s="3" t="s">
        <v>340</v>
      </c>
      <c r="H74" s="22">
        <v>46219</v>
      </c>
      <c r="I74" s="3"/>
      <c r="J74" s="4"/>
      <c r="K74" s="20"/>
      <c r="L74" s="21"/>
      <c r="M74" s="10" t="s">
        <v>2</v>
      </c>
      <c r="N74" s="33"/>
      <c r="O74" s="1"/>
      <c r="P74" s="1"/>
      <c r="Q74"/>
    </row>
    <row r="75" spans="1:17" s="7" customFormat="1" ht="58.2" hidden="1" customHeight="1" x14ac:dyDescent="0.3">
      <c r="A75" s="6"/>
      <c r="B75" s="19" t="s">
        <v>254</v>
      </c>
      <c r="C75" s="35" t="s">
        <v>245</v>
      </c>
      <c r="D75" s="5" t="s">
        <v>255</v>
      </c>
      <c r="E75" s="5" t="s">
        <v>256</v>
      </c>
      <c r="F75" s="22">
        <v>46198</v>
      </c>
      <c r="G75" s="3" t="s">
        <v>339</v>
      </c>
      <c r="H75" s="22">
        <v>46219</v>
      </c>
      <c r="I75" s="3"/>
      <c r="J75" s="4"/>
      <c r="K75" s="20"/>
      <c r="L75" s="21"/>
      <c r="M75" s="10" t="s">
        <v>2</v>
      </c>
      <c r="N75" s="33" t="s">
        <v>186</v>
      </c>
      <c r="O75" s="1"/>
      <c r="P75" s="1"/>
      <c r="Q75"/>
    </row>
    <row r="76" spans="1:17" s="7" customFormat="1" ht="58.2" hidden="1" customHeight="1" x14ac:dyDescent="0.3">
      <c r="A76" s="6"/>
      <c r="B76" s="19" t="s">
        <v>257</v>
      </c>
      <c r="C76" s="35" t="s">
        <v>245</v>
      </c>
      <c r="D76" s="5" t="s">
        <v>258</v>
      </c>
      <c r="E76" s="5" t="s">
        <v>259</v>
      </c>
      <c r="F76" s="22">
        <v>46198</v>
      </c>
      <c r="G76" s="3" t="s">
        <v>268</v>
      </c>
      <c r="H76" s="22">
        <v>46201</v>
      </c>
      <c r="I76" s="3"/>
      <c r="J76" s="4"/>
      <c r="K76" s="20"/>
      <c r="L76" s="21"/>
      <c r="M76" s="10" t="s">
        <v>2</v>
      </c>
      <c r="N76" s="33"/>
      <c r="O76" s="1"/>
      <c r="P76" s="1"/>
      <c r="Q76"/>
    </row>
    <row r="77" spans="1:17" s="7" customFormat="1" ht="58.2" hidden="1" customHeight="1" x14ac:dyDescent="0.3">
      <c r="A77" s="6"/>
      <c r="B77" s="19" t="s">
        <v>260</v>
      </c>
      <c r="C77" s="35" t="s">
        <v>245</v>
      </c>
      <c r="D77" s="5" t="s">
        <v>261</v>
      </c>
      <c r="E77" s="5" t="s">
        <v>262</v>
      </c>
      <c r="F77" s="22">
        <v>46198</v>
      </c>
      <c r="G77" s="3" t="s">
        <v>288</v>
      </c>
      <c r="H77" s="22">
        <v>46204</v>
      </c>
      <c r="I77" s="3"/>
      <c r="J77" s="4"/>
      <c r="K77" s="20"/>
      <c r="L77" s="21"/>
      <c r="M77" s="10" t="s">
        <v>2</v>
      </c>
      <c r="N77" s="33" t="s">
        <v>186</v>
      </c>
      <c r="O77" s="1"/>
      <c r="P77" s="1"/>
      <c r="Q77"/>
    </row>
    <row r="78" spans="1:17" s="7" customFormat="1" ht="58.2" hidden="1" customHeight="1" x14ac:dyDescent="0.3">
      <c r="A78" s="6"/>
      <c r="B78" s="19" t="s">
        <v>263</v>
      </c>
      <c r="C78" s="35" t="s">
        <v>245</v>
      </c>
      <c r="D78" s="5" t="s">
        <v>264</v>
      </c>
      <c r="E78" s="5" t="s">
        <v>265</v>
      </c>
      <c r="F78" s="22">
        <v>46198</v>
      </c>
      <c r="G78" s="3" t="s">
        <v>287</v>
      </c>
      <c r="H78" s="22">
        <v>46204</v>
      </c>
      <c r="I78" s="3"/>
      <c r="J78" s="4"/>
      <c r="K78" s="20"/>
      <c r="L78" s="21"/>
      <c r="M78" s="10" t="s">
        <v>2</v>
      </c>
      <c r="N78" s="33" t="s">
        <v>186</v>
      </c>
      <c r="O78" s="1"/>
      <c r="P78" s="1"/>
      <c r="Q78"/>
    </row>
    <row r="79" spans="1:17" s="7" customFormat="1" ht="58.2" hidden="1" customHeight="1" x14ac:dyDescent="0.3">
      <c r="A79" s="6"/>
      <c r="B79" s="19" t="s">
        <v>269</v>
      </c>
      <c r="C79" s="35" t="s">
        <v>245</v>
      </c>
      <c r="D79" s="5" t="s">
        <v>271</v>
      </c>
      <c r="E79" s="5" t="s">
        <v>270</v>
      </c>
      <c r="F79" s="22">
        <v>46202</v>
      </c>
      <c r="G79" s="3" t="s">
        <v>341</v>
      </c>
      <c r="H79" s="22">
        <v>46219</v>
      </c>
      <c r="I79" s="3"/>
      <c r="J79" s="4"/>
      <c r="K79" s="20"/>
      <c r="L79" s="21"/>
      <c r="M79" s="10" t="s">
        <v>2</v>
      </c>
      <c r="N79" s="33"/>
      <c r="O79" s="1"/>
      <c r="P79" s="1"/>
      <c r="Q79"/>
    </row>
    <row r="80" spans="1:17" s="7" customFormat="1" ht="58.2" hidden="1" customHeight="1" x14ac:dyDescent="0.3">
      <c r="A80" s="6"/>
      <c r="B80" s="19" t="s">
        <v>274</v>
      </c>
      <c r="C80" s="35" t="s">
        <v>245</v>
      </c>
      <c r="D80" s="5" t="s">
        <v>275</v>
      </c>
      <c r="E80" s="5" t="s">
        <v>276</v>
      </c>
      <c r="F80" s="22">
        <v>46203</v>
      </c>
      <c r="G80" s="3" t="s">
        <v>283</v>
      </c>
      <c r="H80" s="22">
        <v>46203</v>
      </c>
      <c r="I80" s="3"/>
      <c r="J80" s="4"/>
      <c r="K80" s="20"/>
      <c r="L80" s="21"/>
      <c r="M80" s="10" t="s">
        <v>2</v>
      </c>
      <c r="N80" s="33"/>
      <c r="O80" s="1"/>
      <c r="P80" s="1"/>
      <c r="Q80"/>
    </row>
    <row r="81" spans="1:17" s="7" customFormat="1" ht="58.2" hidden="1" customHeight="1" x14ac:dyDescent="0.3">
      <c r="A81" s="6"/>
      <c r="B81" s="19" t="s">
        <v>274</v>
      </c>
      <c r="C81" s="35" t="s">
        <v>246</v>
      </c>
      <c r="D81" s="5" t="s">
        <v>284</v>
      </c>
      <c r="E81" s="5" t="s">
        <v>276</v>
      </c>
      <c r="F81" s="22">
        <v>46204</v>
      </c>
      <c r="G81" s="3" t="s">
        <v>296</v>
      </c>
      <c r="H81" s="22">
        <v>46208</v>
      </c>
      <c r="I81" s="3"/>
      <c r="J81" s="4"/>
      <c r="K81" s="20"/>
      <c r="L81" s="21"/>
      <c r="M81" s="10" t="s">
        <v>2</v>
      </c>
      <c r="N81" s="33"/>
      <c r="O81" s="1"/>
      <c r="P81" s="1"/>
      <c r="Q81"/>
    </row>
    <row r="82" spans="1:17" s="7" customFormat="1" ht="58.2" hidden="1" customHeight="1" x14ac:dyDescent="0.3">
      <c r="A82" s="6"/>
      <c r="B82" s="19" t="s">
        <v>277</v>
      </c>
      <c r="C82" s="35" t="s">
        <v>245</v>
      </c>
      <c r="D82" s="5" t="s">
        <v>278</v>
      </c>
      <c r="E82" s="5" t="s">
        <v>279</v>
      </c>
      <c r="F82" s="22">
        <v>46203</v>
      </c>
      <c r="G82" s="3" t="s">
        <v>354</v>
      </c>
      <c r="H82" s="22">
        <v>46222</v>
      </c>
      <c r="I82" s="3"/>
      <c r="J82" s="4"/>
      <c r="K82" s="20"/>
      <c r="L82" s="21"/>
      <c r="M82" s="10" t="s">
        <v>2</v>
      </c>
      <c r="N82" s="33"/>
      <c r="O82" s="1"/>
      <c r="P82" s="1"/>
      <c r="Q82"/>
    </row>
    <row r="83" spans="1:17" s="7" customFormat="1" ht="58.2" hidden="1" customHeight="1" x14ac:dyDescent="0.3">
      <c r="A83" s="6"/>
      <c r="B83" s="19" t="s">
        <v>280</v>
      </c>
      <c r="C83" s="35" t="s">
        <v>245</v>
      </c>
      <c r="D83" s="5" t="s">
        <v>281</v>
      </c>
      <c r="E83" s="5" t="s">
        <v>282</v>
      </c>
      <c r="F83" s="22">
        <v>46203</v>
      </c>
      <c r="G83" s="3" t="s">
        <v>289</v>
      </c>
      <c r="H83" s="22">
        <v>46204</v>
      </c>
      <c r="I83" s="3"/>
      <c r="J83" s="4"/>
      <c r="K83" s="20"/>
      <c r="L83" s="21"/>
      <c r="M83" s="10" t="s">
        <v>2</v>
      </c>
      <c r="N83" s="33"/>
      <c r="O83" s="1"/>
      <c r="P83" s="1"/>
      <c r="Q83"/>
    </row>
    <row r="84" spans="1:17" s="7" customFormat="1" ht="58.2" hidden="1" customHeight="1" x14ac:dyDescent="0.3">
      <c r="A84" s="6"/>
      <c r="B84" s="19" t="s">
        <v>280</v>
      </c>
      <c r="C84" s="35" t="s">
        <v>246</v>
      </c>
      <c r="D84" s="5" t="s">
        <v>312</v>
      </c>
      <c r="E84" s="5" t="s">
        <v>282</v>
      </c>
      <c r="F84" s="22">
        <v>46210</v>
      </c>
      <c r="G84" s="3" t="s">
        <v>327</v>
      </c>
      <c r="H84" s="22">
        <v>46216</v>
      </c>
      <c r="I84" s="3"/>
      <c r="J84" s="4"/>
      <c r="K84" s="20"/>
      <c r="L84" s="21"/>
      <c r="M84" s="10" t="s">
        <v>2</v>
      </c>
      <c r="N84" s="33"/>
      <c r="O84" s="1"/>
      <c r="P84" s="1"/>
      <c r="Q84"/>
    </row>
    <row r="85" spans="1:17" s="7" customFormat="1" ht="58.2" hidden="1" customHeight="1" x14ac:dyDescent="0.3">
      <c r="A85" s="6"/>
      <c r="B85" s="19" t="s">
        <v>290</v>
      </c>
      <c r="C85" s="35" t="s">
        <v>245</v>
      </c>
      <c r="D85" s="5" t="s">
        <v>291</v>
      </c>
      <c r="E85" s="5" t="s">
        <v>292</v>
      </c>
      <c r="F85" s="22">
        <v>46207</v>
      </c>
      <c r="G85" s="3" t="s">
        <v>337</v>
      </c>
      <c r="H85" s="22">
        <v>46218</v>
      </c>
      <c r="I85" s="3"/>
      <c r="J85" s="4"/>
      <c r="K85" s="20"/>
      <c r="L85" s="21"/>
      <c r="M85" s="10" t="s">
        <v>2</v>
      </c>
      <c r="N85" s="33"/>
      <c r="O85" s="1"/>
      <c r="P85" s="1"/>
      <c r="Q85"/>
    </row>
    <row r="86" spans="1:17" s="7" customFormat="1" ht="58.2" hidden="1" customHeight="1" x14ac:dyDescent="0.3">
      <c r="A86" s="6"/>
      <c r="B86" s="19" t="s">
        <v>290</v>
      </c>
      <c r="C86" s="35" t="s">
        <v>246</v>
      </c>
      <c r="D86" s="5" t="s">
        <v>353</v>
      </c>
      <c r="E86" s="5" t="s">
        <v>292</v>
      </c>
      <c r="F86" s="22">
        <v>46223</v>
      </c>
      <c r="G86" s="3" t="s">
        <v>359</v>
      </c>
      <c r="H86" s="22">
        <v>46229</v>
      </c>
      <c r="I86" s="3"/>
      <c r="J86" s="4"/>
      <c r="K86" s="20"/>
      <c r="L86" s="21"/>
      <c r="M86" s="10" t="s">
        <v>2</v>
      </c>
      <c r="N86" s="33" t="s">
        <v>177</v>
      </c>
      <c r="O86" s="1"/>
      <c r="P86" s="1"/>
      <c r="Q86"/>
    </row>
    <row r="87" spans="1:17" s="7" customFormat="1" ht="58.2" hidden="1" customHeight="1" x14ac:dyDescent="0.3">
      <c r="A87" s="6"/>
      <c r="B87" s="19" t="s">
        <v>290</v>
      </c>
      <c r="C87" s="35" t="s">
        <v>246</v>
      </c>
      <c r="D87" s="5" t="s">
        <v>366</v>
      </c>
      <c r="E87" s="5" t="s">
        <v>292</v>
      </c>
      <c r="F87" s="22">
        <v>46231</v>
      </c>
      <c r="G87" s="3" t="s">
        <v>391</v>
      </c>
      <c r="H87" s="22">
        <v>46237</v>
      </c>
      <c r="I87" s="3"/>
      <c r="J87" s="4"/>
      <c r="K87" s="20"/>
      <c r="L87" s="21"/>
      <c r="M87" s="10" t="s">
        <v>2</v>
      </c>
      <c r="N87" s="33"/>
      <c r="O87" s="1"/>
      <c r="P87" s="1"/>
      <c r="Q87"/>
    </row>
    <row r="88" spans="1:17" s="7" customFormat="1" ht="58.2" hidden="1" customHeight="1" x14ac:dyDescent="0.3">
      <c r="A88" s="6"/>
      <c r="B88" s="19" t="s">
        <v>298</v>
      </c>
      <c r="C88" s="35" t="s">
        <v>245</v>
      </c>
      <c r="D88" s="5" t="s">
        <v>299</v>
      </c>
      <c r="E88" s="5" t="s">
        <v>300</v>
      </c>
      <c r="F88" s="22">
        <v>46208</v>
      </c>
      <c r="G88" s="3" t="s">
        <v>323</v>
      </c>
      <c r="H88" s="22">
        <v>46212</v>
      </c>
      <c r="I88" s="3"/>
      <c r="J88" s="4"/>
      <c r="K88" s="20"/>
      <c r="L88" s="21"/>
      <c r="M88" s="10" t="s">
        <v>2</v>
      </c>
      <c r="N88" s="33"/>
      <c r="O88" s="1"/>
      <c r="P88" s="1"/>
      <c r="Q88"/>
    </row>
    <row r="89" spans="1:17" s="7" customFormat="1" ht="58.2" hidden="1" customHeight="1" x14ac:dyDescent="0.3">
      <c r="A89" s="6"/>
      <c r="B89" s="19" t="s">
        <v>301</v>
      </c>
      <c r="C89" s="35" t="s">
        <v>245</v>
      </c>
      <c r="D89" s="5" t="s">
        <v>302</v>
      </c>
      <c r="E89" s="5" t="s">
        <v>303</v>
      </c>
      <c r="F89" s="22">
        <v>46208</v>
      </c>
      <c r="G89" s="3" t="s">
        <v>329</v>
      </c>
      <c r="H89" s="22">
        <v>46216</v>
      </c>
      <c r="I89" s="3"/>
      <c r="J89" s="4"/>
      <c r="K89" s="20"/>
      <c r="L89" s="21"/>
      <c r="M89" s="10" t="s">
        <v>2</v>
      </c>
      <c r="N89" s="33"/>
      <c r="O89" s="1"/>
      <c r="P89" s="1"/>
      <c r="Q89"/>
    </row>
    <row r="90" spans="1:17" s="7" customFormat="1" ht="58.2" hidden="1" customHeight="1" x14ac:dyDescent="0.3">
      <c r="A90" s="6"/>
      <c r="B90" s="19" t="s">
        <v>304</v>
      </c>
      <c r="C90" s="35" t="s">
        <v>245</v>
      </c>
      <c r="D90" s="5" t="s">
        <v>305</v>
      </c>
      <c r="E90" s="5" t="s">
        <v>306</v>
      </c>
      <c r="F90" s="22">
        <v>46209</v>
      </c>
      <c r="G90" s="3" t="s">
        <v>321</v>
      </c>
      <c r="H90" s="22">
        <v>46212</v>
      </c>
      <c r="I90" s="3"/>
      <c r="J90" s="4"/>
      <c r="K90" s="20"/>
      <c r="L90" s="21"/>
      <c r="M90" s="10" t="s">
        <v>2</v>
      </c>
      <c r="N90" s="33" t="s">
        <v>186</v>
      </c>
      <c r="O90" s="1"/>
      <c r="P90" s="1"/>
      <c r="Q90"/>
    </row>
    <row r="91" spans="1:17" s="7" customFormat="1" ht="58.2" hidden="1" customHeight="1" x14ac:dyDescent="0.3">
      <c r="A91" s="6"/>
      <c r="B91" s="19" t="s">
        <v>307</v>
      </c>
      <c r="C91" s="35" t="s">
        <v>245</v>
      </c>
      <c r="D91" s="5" t="s">
        <v>308</v>
      </c>
      <c r="E91" s="5" t="s">
        <v>309</v>
      </c>
      <c r="F91" s="22">
        <v>46209</v>
      </c>
      <c r="G91" s="3" t="s">
        <v>320</v>
      </c>
      <c r="H91" s="22">
        <v>46212</v>
      </c>
      <c r="I91" s="3"/>
      <c r="J91" s="4"/>
      <c r="K91" s="20"/>
      <c r="L91" s="21"/>
      <c r="M91" s="10" t="s">
        <v>2</v>
      </c>
      <c r="N91" s="33"/>
      <c r="O91" s="1"/>
      <c r="P91" s="1"/>
      <c r="Q91"/>
    </row>
    <row r="92" spans="1:17" s="7" customFormat="1" ht="58.2" hidden="1" customHeight="1" x14ac:dyDescent="0.3">
      <c r="A92" s="6"/>
      <c r="B92" s="19" t="s">
        <v>313</v>
      </c>
      <c r="C92" s="35" t="s">
        <v>245</v>
      </c>
      <c r="D92" s="5" t="s">
        <v>314</v>
      </c>
      <c r="E92" s="5" t="s">
        <v>315</v>
      </c>
      <c r="F92" s="22">
        <v>46210</v>
      </c>
      <c r="G92" s="3" t="s">
        <v>316</v>
      </c>
      <c r="H92" s="22">
        <v>46210</v>
      </c>
      <c r="I92" s="3"/>
      <c r="J92" s="4"/>
      <c r="K92" s="20"/>
      <c r="L92" s="21"/>
      <c r="M92" s="10" t="s">
        <v>2</v>
      </c>
      <c r="N92" s="33"/>
      <c r="O92" s="1"/>
      <c r="P92" s="1"/>
      <c r="Q92"/>
    </row>
    <row r="93" spans="1:17" s="7" customFormat="1" ht="58.2" hidden="1" customHeight="1" x14ac:dyDescent="0.3">
      <c r="A93" s="6"/>
      <c r="B93" s="19" t="s">
        <v>317</v>
      </c>
      <c r="C93" s="35" t="s">
        <v>245</v>
      </c>
      <c r="D93" s="5" t="s">
        <v>318</v>
      </c>
      <c r="E93" s="5" t="s">
        <v>319</v>
      </c>
      <c r="F93" s="22">
        <v>46211</v>
      </c>
      <c r="G93" s="3" t="s">
        <v>328</v>
      </c>
      <c r="H93" s="22">
        <v>46216</v>
      </c>
      <c r="I93" s="3"/>
      <c r="J93" s="4"/>
      <c r="K93" s="20"/>
      <c r="L93" s="21"/>
      <c r="M93" s="10" t="s">
        <v>2</v>
      </c>
      <c r="N93" s="33"/>
      <c r="O93" s="1"/>
      <c r="P93" s="1"/>
      <c r="Q93"/>
    </row>
    <row r="94" spans="1:17" s="7" customFormat="1" ht="58.2" hidden="1" customHeight="1" x14ac:dyDescent="0.3">
      <c r="A94" s="6"/>
      <c r="B94" s="19" t="s">
        <v>324</v>
      </c>
      <c r="C94" s="35" t="s">
        <v>245</v>
      </c>
      <c r="D94" s="5" t="s">
        <v>325</v>
      </c>
      <c r="E94" s="5" t="s">
        <v>326</v>
      </c>
      <c r="F94" s="22">
        <v>46216</v>
      </c>
      <c r="G94" s="3" t="s">
        <v>355</v>
      </c>
      <c r="H94" s="22">
        <v>46222</v>
      </c>
      <c r="I94" s="3"/>
      <c r="J94" s="4"/>
      <c r="K94" s="20"/>
      <c r="L94" s="21"/>
      <c r="M94" s="10" t="s">
        <v>2</v>
      </c>
      <c r="N94" s="33"/>
      <c r="O94" s="1"/>
      <c r="P94" s="1"/>
      <c r="Q94"/>
    </row>
    <row r="95" spans="1:17" s="7" customFormat="1" ht="58.2" hidden="1" customHeight="1" x14ac:dyDescent="0.3">
      <c r="A95" s="6"/>
      <c r="B95" s="19" t="s">
        <v>331</v>
      </c>
      <c r="C95" s="35" t="s">
        <v>245</v>
      </c>
      <c r="D95" s="5" t="s">
        <v>332</v>
      </c>
      <c r="E95" s="5" t="s">
        <v>333</v>
      </c>
      <c r="F95" s="22">
        <v>46217</v>
      </c>
      <c r="G95" s="3" t="s">
        <v>360</v>
      </c>
      <c r="H95" s="22">
        <v>46229</v>
      </c>
      <c r="I95" s="3"/>
      <c r="J95" s="4"/>
      <c r="K95" s="20"/>
      <c r="L95" s="21"/>
      <c r="M95" s="10" t="s">
        <v>2</v>
      </c>
      <c r="N95" s="33" t="s">
        <v>177</v>
      </c>
      <c r="O95" s="1"/>
      <c r="P95" s="1"/>
      <c r="Q95"/>
    </row>
    <row r="96" spans="1:17" s="7" customFormat="1" ht="58.2" hidden="1" customHeight="1" x14ac:dyDescent="0.3">
      <c r="A96" s="6"/>
      <c r="B96" s="19" t="s">
        <v>334</v>
      </c>
      <c r="C96" s="35" t="s">
        <v>245</v>
      </c>
      <c r="D96" s="5" t="s">
        <v>335</v>
      </c>
      <c r="E96" s="5" t="s">
        <v>336</v>
      </c>
      <c r="F96" s="22">
        <v>46217</v>
      </c>
      <c r="G96" s="3" t="s">
        <v>338</v>
      </c>
      <c r="H96" s="22">
        <v>46218</v>
      </c>
      <c r="I96" s="3"/>
      <c r="J96" s="4"/>
      <c r="K96" s="20"/>
      <c r="L96" s="21"/>
      <c r="M96" s="10" t="s">
        <v>2</v>
      </c>
      <c r="N96" s="33" t="s">
        <v>186</v>
      </c>
      <c r="O96" s="1"/>
      <c r="P96" s="1"/>
      <c r="Q96"/>
    </row>
    <row r="97" spans="1:17" s="7" customFormat="1" ht="58.2" hidden="1" customHeight="1" x14ac:dyDescent="0.3">
      <c r="A97" s="6"/>
      <c r="B97" s="19" t="s">
        <v>342</v>
      </c>
      <c r="C97" s="35" t="s">
        <v>245</v>
      </c>
      <c r="D97" s="5" t="s">
        <v>343</v>
      </c>
      <c r="E97" s="5" t="s">
        <v>344</v>
      </c>
      <c r="F97" s="22">
        <v>46219</v>
      </c>
      <c r="G97" s="3" t="s">
        <v>362</v>
      </c>
      <c r="H97" s="22">
        <v>46230</v>
      </c>
      <c r="I97" s="3"/>
      <c r="J97" s="4"/>
      <c r="K97" s="20"/>
      <c r="L97" s="21"/>
      <c r="M97" s="10" t="s">
        <v>2</v>
      </c>
      <c r="N97" s="33" t="s">
        <v>177</v>
      </c>
      <c r="O97" s="1"/>
      <c r="P97" s="1"/>
      <c r="Q97"/>
    </row>
    <row r="98" spans="1:17" s="7" customFormat="1" ht="58.2" hidden="1" customHeight="1" x14ac:dyDescent="0.3">
      <c r="A98" s="6"/>
      <c r="B98" s="19" t="s">
        <v>345</v>
      </c>
      <c r="C98" s="35" t="s">
        <v>245</v>
      </c>
      <c r="D98" s="5" t="s">
        <v>346</v>
      </c>
      <c r="E98" s="5" t="s">
        <v>347</v>
      </c>
      <c r="F98" s="22">
        <v>46221</v>
      </c>
      <c r="G98" s="3" t="s">
        <v>356</v>
      </c>
      <c r="H98" s="22">
        <v>46223</v>
      </c>
      <c r="I98" s="3"/>
      <c r="J98" s="4"/>
      <c r="K98" s="20"/>
      <c r="L98" s="21"/>
      <c r="M98" s="10" t="s">
        <v>2</v>
      </c>
      <c r="N98" s="33" t="s">
        <v>177</v>
      </c>
      <c r="O98" s="1"/>
      <c r="P98" s="1"/>
      <c r="Q98"/>
    </row>
    <row r="99" spans="1:17" s="7" customFormat="1" ht="58.2" hidden="1" customHeight="1" x14ac:dyDescent="0.3">
      <c r="A99" s="6"/>
      <c r="B99" s="19" t="s">
        <v>348</v>
      </c>
      <c r="C99" s="35" t="s">
        <v>245</v>
      </c>
      <c r="D99" s="5" t="s">
        <v>349</v>
      </c>
      <c r="E99" s="5" t="s">
        <v>350</v>
      </c>
      <c r="F99" s="22">
        <v>46221</v>
      </c>
      <c r="G99" s="3" t="s">
        <v>358</v>
      </c>
      <c r="H99" s="22">
        <v>46223</v>
      </c>
      <c r="I99" s="3"/>
      <c r="J99" s="4"/>
      <c r="K99" s="20"/>
      <c r="L99" s="21"/>
      <c r="M99" s="10" t="s">
        <v>2</v>
      </c>
      <c r="N99" s="33" t="s">
        <v>177</v>
      </c>
      <c r="O99" s="1"/>
      <c r="P99" s="1"/>
      <c r="Q99"/>
    </row>
    <row r="100" spans="1:17" s="7" customFormat="1" ht="58.2" hidden="1" customHeight="1" x14ac:dyDescent="0.3">
      <c r="A100" s="6"/>
      <c r="B100" s="19" t="s">
        <v>363</v>
      </c>
      <c r="C100" s="35" t="s">
        <v>245</v>
      </c>
      <c r="D100" s="5" t="s">
        <v>364</v>
      </c>
      <c r="E100" s="5" t="s">
        <v>365</v>
      </c>
      <c r="F100" s="22">
        <v>46230</v>
      </c>
      <c r="G100" s="3" t="s">
        <v>367</v>
      </c>
      <c r="H100" s="22">
        <v>46232</v>
      </c>
      <c r="I100" s="3"/>
      <c r="J100" s="4"/>
      <c r="K100" s="20"/>
      <c r="L100" s="21"/>
      <c r="M100" s="10" t="s">
        <v>2</v>
      </c>
      <c r="N100" s="33"/>
      <c r="O100" s="1"/>
      <c r="P100" s="1"/>
      <c r="Q100"/>
    </row>
    <row r="101" spans="1:17" s="7" customFormat="1" ht="58.2" hidden="1" customHeight="1" x14ac:dyDescent="0.3">
      <c r="A101" s="6"/>
      <c r="B101" s="19" t="s">
        <v>368</v>
      </c>
      <c r="C101" s="35" t="s">
        <v>245</v>
      </c>
      <c r="D101" s="5" t="s">
        <v>369</v>
      </c>
      <c r="E101" s="5" t="s">
        <v>370</v>
      </c>
      <c r="F101" s="22">
        <v>46232</v>
      </c>
      <c r="G101" s="3" t="s">
        <v>443</v>
      </c>
      <c r="H101" s="22">
        <v>46246</v>
      </c>
      <c r="I101" s="3"/>
      <c r="J101" s="4"/>
      <c r="K101" s="20"/>
      <c r="L101" s="21"/>
      <c r="M101" s="10" t="s">
        <v>2</v>
      </c>
      <c r="N101" s="33" t="s">
        <v>357</v>
      </c>
      <c r="O101" s="1"/>
      <c r="P101" s="1"/>
      <c r="Q101"/>
    </row>
    <row r="102" spans="1:17" s="7" customFormat="1" ht="58.2" hidden="1" customHeight="1" x14ac:dyDescent="0.3">
      <c r="A102" s="6"/>
      <c r="B102" s="19" t="s">
        <v>371</v>
      </c>
      <c r="C102" s="35" t="s">
        <v>245</v>
      </c>
      <c r="D102" s="5" t="s">
        <v>372</v>
      </c>
      <c r="E102" s="5" t="s">
        <v>373</v>
      </c>
      <c r="F102" s="22">
        <v>46232</v>
      </c>
      <c r="G102" s="3" t="s">
        <v>414</v>
      </c>
      <c r="H102" s="22">
        <v>46240</v>
      </c>
      <c r="I102" s="3"/>
      <c r="J102" s="4"/>
      <c r="K102" s="20"/>
      <c r="L102" s="21"/>
      <c r="M102" s="10" t="s">
        <v>2</v>
      </c>
      <c r="N102" s="33" t="s">
        <v>177</v>
      </c>
      <c r="O102" s="1"/>
      <c r="P102" s="1"/>
      <c r="Q102"/>
    </row>
    <row r="103" spans="1:17" s="7" customFormat="1" ht="58.2" hidden="1" customHeight="1" x14ac:dyDescent="0.3">
      <c r="A103" s="6"/>
      <c r="B103" s="19" t="s">
        <v>378</v>
      </c>
      <c r="C103" s="35" t="s">
        <v>245</v>
      </c>
      <c r="D103" s="5" t="s">
        <v>377</v>
      </c>
      <c r="E103" s="5" t="s">
        <v>379</v>
      </c>
      <c r="F103" s="22">
        <v>46233</v>
      </c>
      <c r="G103" s="3" t="s">
        <v>418</v>
      </c>
      <c r="H103" s="22">
        <v>46243</v>
      </c>
      <c r="I103" s="3"/>
      <c r="J103" s="4"/>
      <c r="K103" s="20"/>
      <c r="L103" s="21"/>
      <c r="M103" s="10" t="s">
        <v>2</v>
      </c>
      <c r="N103" s="33"/>
      <c r="O103" s="1"/>
      <c r="P103" s="1"/>
      <c r="Q103"/>
    </row>
    <row r="104" spans="1:17" s="7" customFormat="1" ht="58.2" hidden="1" customHeight="1" x14ac:dyDescent="0.3">
      <c r="A104" s="6"/>
      <c r="B104" s="19" t="s">
        <v>380</v>
      </c>
      <c r="C104" s="35" t="s">
        <v>245</v>
      </c>
      <c r="D104" s="5" t="s">
        <v>381</v>
      </c>
      <c r="E104" s="5" t="s">
        <v>382</v>
      </c>
      <c r="F104" s="22">
        <v>46233</v>
      </c>
      <c r="G104" s="3" t="s">
        <v>488</v>
      </c>
      <c r="H104" s="22">
        <v>46265</v>
      </c>
      <c r="I104" s="3"/>
      <c r="J104" s="4"/>
      <c r="K104" s="20"/>
      <c r="L104" s="21"/>
      <c r="M104" s="10" t="s">
        <v>2</v>
      </c>
      <c r="N104" s="33" t="s">
        <v>471</v>
      </c>
      <c r="O104" s="1"/>
      <c r="P104" s="1"/>
      <c r="Q104"/>
    </row>
    <row r="105" spans="1:17" s="7" customFormat="1" ht="58.2" hidden="1" customHeight="1" x14ac:dyDescent="0.3">
      <c r="A105" s="6"/>
      <c r="B105" s="19" t="s">
        <v>384</v>
      </c>
      <c r="C105" s="35" t="s">
        <v>245</v>
      </c>
      <c r="D105" s="5" t="s">
        <v>383</v>
      </c>
      <c r="E105" s="5" t="s">
        <v>385</v>
      </c>
      <c r="F105" s="22">
        <v>46233</v>
      </c>
      <c r="G105" s="3" t="s">
        <v>404</v>
      </c>
      <c r="H105" s="22">
        <v>46239</v>
      </c>
      <c r="I105" s="3"/>
      <c r="J105" s="4"/>
      <c r="K105" s="20"/>
      <c r="L105" s="21"/>
      <c r="M105" s="10" t="s">
        <v>2</v>
      </c>
      <c r="N105" s="33"/>
      <c r="O105" s="1"/>
      <c r="P105" s="1"/>
      <c r="Q105"/>
    </row>
    <row r="106" spans="1:17" s="7" customFormat="1" ht="58.2" hidden="1" customHeight="1" x14ac:dyDescent="0.3">
      <c r="A106" s="6"/>
      <c r="B106" s="19" t="s">
        <v>387</v>
      </c>
      <c r="C106" s="35" t="s">
        <v>245</v>
      </c>
      <c r="D106" s="5" t="s">
        <v>388</v>
      </c>
      <c r="E106" s="5" t="s">
        <v>389</v>
      </c>
      <c r="F106" s="22">
        <v>46237</v>
      </c>
      <c r="G106" s="3" t="s">
        <v>415</v>
      </c>
      <c r="H106" s="22">
        <v>46243</v>
      </c>
      <c r="I106" s="3"/>
      <c r="J106" s="4"/>
      <c r="K106" s="20"/>
      <c r="L106" s="21"/>
      <c r="M106" s="10" t="s">
        <v>2</v>
      </c>
      <c r="N106" s="33"/>
      <c r="O106" s="1"/>
      <c r="P106" s="1"/>
      <c r="Q106"/>
    </row>
    <row r="107" spans="1:17" s="7" customFormat="1" ht="58.2" hidden="1" customHeight="1" x14ac:dyDescent="0.3">
      <c r="A107" s="6"/>
      <c r="B107" s="19" t="s">
        <v>387</v>
      </c>
      <c r="C107" s="35" t="s">
        <v>246</v>
      </c>
      <c r="D107" s="5" t="s">
        <v>470</v>
      </c>
      <c r="E107" s="5" t="s">
        <v>389</v>
      </c>
      <c r="F107" s="22">
        <v>46253</v>
      </c>
      <c r="G107" s="3" t="s">
        <v>498</v>
      </c>
      <c r="H107" s="22">
        <v>46267</v>
      </c>
      <c r="I107" s="3"/>
      <c r="J107" s="4"/>
      <c r="K107" s="20"/>
      <c r="L107" s="21"/>
      <c r="M107" s="10" t="s">
        <v>2</v>
      </c>
      <c r="N107" s="33" t="s">
        <v>471</v>
      </c>
      <c r="O107" s="1"/>
      <c r="P107" s="1"/>
      <c r="Q107"/>
    </row>
    <row r="108" spans="1:17" s="7" customFormat="1" ht="58.2" hidden="1" customHeight="1" x14ac:dyDescent="0.3">
      <c r="A108" s="6"/>
      <c r="B108" s="19" t="s">
        <v>392</v>
      </c>
      <c r="C108" s="35" t="s">
        <v>245</v>
      </c>
      <c r="D108" s="5" t="s">
        <v>393</v>
      </c>
      <c r="E108" s="5" t="s">
        <v>394</v>
      </c>
      <c r="F108" s="22">
        <v>46237</v>
      </c>
      <c r="G108" s="3" t="s">
        <v>463</v>
      </c>
      <c r="H108" s="22">
        <v>46253</v>
      </c>
      <c r="I108" s="3"/>
      <c r="J108" s="4"/>
      <c r="K108" s="20"/>
      <c r="L108" s="21"/>
      <c r="M108" s="10" t="s">
        <v>2</v>
      </c>
      <c r="N108" s="33"/>
      <c r="O108" s="1"/>
      <c r="P108" s="1"/>
      <c r="Q108"/>
    </row>
    <row r="109" spans="1:17" s="7" customFormat="1" ht="58.2" hidden="1" customHeight="1" x14ac:dyDescent="0.3">
      <c r="A109" s="6"/>
      <c r="B109" s="19" t="s">
        <v>395</v>
      </c>
      <c r="C109" s="35" t="s">
        <v>245</v>
      </c>
      <c r="D109" s="5" t="s">
        <v>396</v>
      </c>
      <c r="E109" s="5" t="s">
        <v>397</v>
      </c>
      <c r="F109" s="22">
        <v>46237</v>
      </c>
      <c r="G109" s="3" t="s">
        <v>456</v>
      </c>
      <c r="H109" s="22">
        <v>46251</v>
      </c>
      <c r="I109" s="3"/>
      <c r="J109" s="4"/>
      <c r="K109" s="20"/>
      <c r="L109" s="21"/>
      <c r="M109" s="10" t="s">
        <v>2</v>
      </c>
      <c r="N109" s="33"/>
      <c r="O109" s="1"/>
      <c r="P109" s="1"/>
      <c r="Q109"/>
    </row>
    <row r="110" spans="1:17" s="7" customFormat="1" ht="58.2" hidden="1" customHeight="1" x14ac:dyDescent="0.3">
      <c r="A110" s="6"/>
      <c r="B110" s="19" t="s">
        <v>395</v>
      </c>
      <c r="C110" s="35" t="s">
        <v>246</v>
      </c>
      <c r="D110" s="5" t="s">
        <v>469</v>
      </c>
      <c r="E110" s="5" t="s">
        <v>397</v>
      </c>
      <c r="F110" s="22">
        <v>46254</v>
      </c>
      <c r="G110" s="3" t="s">
        <v>496</v>
      </c>
      <c r="H110" s="22">
        <v>46266</v>
      </c>
      <c r="I110" s="3"/>
      <c r="J110" s="4"/>
      <c r="K110" s="20"/>
      <c r="L110" s="21"/>
      <c r="M110" s="10" t="s">
        <v>2</v>
      </c>
      <c r="N110" s="33"/>
      <c r="O110" s="1"/>
      <c r="P110" s="1"/>
      <c r="Q110"/>
    </row>
    <row r="111" spans="1:17" s="7" customFormat="1" ht="58.2" hidden="1" customHeight="1" x14ac:dyDescent="0.3">
      <c r="A111" s="6"/>
      <c r="B111" s="19" t="s">
        <v>399</v>
      </c>
      <c r="C111" s="35" t="s">
        <v>245</v>
      </c>
      <c r="D111" s="5" t="s">
        <v>398</v>
      </c>
      <c r="E111" s="5" t="s">
        <v>400</v>
      </c>
      <c r="F111" s="22">
        <v>46238</v>
      </c>
      <c r="G111" s="3" t="s">
        <v>413</v>
      </c>
      <c r="H111" s="22">
        <v>46240</v>
      </c>
      <c r="I111" s="3"/>
      <c r="J111" s="4"/>
      <c r="K111" s="20"/>
      <c r="L111" s="21"/>
      <c r="M111" s="10" t="s">
        <v>2</v>
      </c>
      <c r="N111" s="33"/>
      <c r="O111" s="1"/>
      <c r="P111" s="1"/>
      <c r="Q111"/>
    </row>
    <row r="112" spans="1:17" s="7" customFormat="1" ht="58.2" hidden="1" customHeight="1" x14ac:dyDescent="0.3">
      <c r="A112" s="6"/>
      <c r="B112" s="19" t="s">
        <v>402</v>
      </c>
      <c r="C112" s="35" t="s">
        <v>245</v>
      </c>
      <c r="D112" s="5" t="s">
        <v>401</v>
      </c>
      <c r="E112" s="5" t="s">
        <v>403</v>
      </c>
      <c r="F112" s="22">
        <v>46238</v>
      </c>
      <c r="G112" s="3" t="s">
        <v>416</v>
      </c>
      <c r="H112" s="22">
        <v>46243</v>
      </c>
      <c r="I112" s="3"/>
      <c r="J112" s="4"/>
      <c r="K112" s="20"/>
      <c r="L112" s="21"/>
      <c r="M112" s="10" t="s">
        <v>2</v>
      </c>
      <c r="N112" s="33"/>
      <c r="O112" s="1"/>
      <c r="P112" s="1"/>
      <c r="Q112"/>
    </row>
    <row r="113" spans="1:17" s="7" customFormat="1" ht="58.2" hidden="1" customHeight="1" x14ac:dyDescent="0.3">
      <c r="A113" s="6"/>
      <c r="B113" s="19" t="s">
        <v>407</v>
      </c>
      <c r="C113" s="35" t="s">
        <v>245</v>
      </c>
      <c r="D113" s="5" t="s">
        <v>408</v>
      </c>
      <c r="E113" s="5" t="s">
        <v>409</v>
      </c>
      <c r="F113" s="22">
        <v>46239</v>
      </c>
      <c r="G113" s="3" t="s">
        <v>445</v>
      </c>
      <c r="H113" s="22">
        <v>46246</v>
      </c>
      <c r="I113" s="3"/>
      <c r="J113" s="4"/>
      <c r="K113" s="20"/>
      <c r="L113" s="21"/>
      <c r="M113" s="10" t="s">
        <v>2</v>
      </c>
      <c r="N113" s="33" t="s">
        <v>357</v>
      </c>
      <c r="O113" s="1"/>
      <c r="P113" s="1"/>
      <c r="Q113"/>
    </row>
    <row r="114" spans="1:17" s="7" customFormat="1" ht="58.2" hidden="1" customHeight="1" x14ac:dyDescent="0.3">
      <c r="A114" s="6"/>
      <c r="B114" s="19" t="s">
        <v>411</v>
      </c>
      <c r="C114" s="35" t="s">
        <v>245</v>
      </c>
      <c r="D114" s="5" t="s">
        <v>410</v>
      </c>
      <c r="E114" s="5" t="s">
        <v>412</v>
      </c>
      <c r="F114" s="22">
        <v>46239</v>
      </c>
      <c r="G114" s="3" t="s">
        <v>444</v>
      </c>
      <c r="H114" s="22">
        <v>46246</v>
      </c>
      <c r="I114" s="3"/>
      <c r="J114" s="4"/>
      <c r="K114" s="20"/>
      <c r="L114" s="21"/>
      <c r="M114" s="10" t="s">
        <v>2</v>
      </c>
      <c r="N114" s="33" t="s">
        <v>357</v>
      </c>
      <c r="O114" s="1"/>
      <c r="P114" s="1"/>
      <c r="Q114"/>
    </row>
    <row r="115" spans="1:17" s="7" customFormat="1" ht="58.2" hidden="1" customHeight="1" x14ac:dyDescent="0.3">
      <c r="A115" s="6"/>
      <c r="B115" s="19" t="s">
        <v>419</v>
      </c>
      <c r="C115" s="35" t="s">
        <v>245</v>
      </c>
      <c r="D115" s="5" t="s">
        <v>420</v>
      </c>
      <c r="E115" s="5" t="s">
        <v>421</v>
      </c>
      <c r="F115" s="22">
        <v>46244</v>
      </c>
      <c r="G115" s="3" t="s">
        <v>448</v>
      </c>
      <c r="H115" s="22">
        <v>46250</v>
      </c>
      <c r="I115" s="3"/>
      <c r="J115" s="4"/>
      <c r="K115" s="20"/>
      <c r="L115" s="21"/>
      <c r="M115" s="10" t="s">
        <v>2</v>
      </c>
      <c r="N115" s="33"/>
      <c r="O115" s="1"/>
      <c r="P115" s="1"/>
      <c r="Q115"/>
    </row>
    <row r="116" spans="1:17" s="7" customFormat="1" ht="58.2" hidden="1" customHeight="1" x14ac:dyDescent="0.3">
      <c r="A116" s="6"/>
      <c r="B116" s="19" t="s">
        <v>422</v>
      </c>
      <c r="C116" s="35" t="s">
        <v>245</v>
      </c>
      <c r="D116" s="5" t="s">
        <v>423</v>
      </c>
      <c r="E116" s="5" t="s">
        <v>424</v>
      </c>
      <c r="F116" s="22">
        <v>46244</v>
      </c>
      <c r="G116" s="3" t="s">
        <v>449</v>
      </c>
      <c r="H116" s="22">
        <v>46250</v>
      </c>
      <c r="I116" s="3"/>
      <c r="J116" s="4"/>
      <c r="K116" s="20"/>
      <c r="L116" s="21"/>
      <c r="M116" s="10" t="s">
        <v>2</v>
      </c>
      <c r="N116" s="33"/>
      <c r="O116" s="1"/>
      <c r="P116" s="1"/>
      <c r="Q116"/>
    </row>
    <row r="117" spans="1:17" s="7" customFormat="1" ht="58.2" hidden="1" customHeight="1" x14ac:dyDescent="0.3">
      <c r="A117" s="6"/>
      <c r="B117" s="19" t="s">
        <v>425</v>
      </c>
      <c r="C117" s="35" t="s">
        <v>245</v>
      </c>
      <c r="D117" s="5" t="s">
        <v>426</v>
      </c>
      <c r="E117" s="5" t="s">
        <v>427</v>
      </c>
      <c r="F117" s="22">
        <v>46244</v>
      </c>
      <c r="G117" s="3" t="s">
        <v>452</v>
      </c>
      <c r="H117" s="22">
        <v>46250</v>
      </c>
      <c r="I117" s="3"/>
      <c r="J117" s="4"/>
      <c r="K117" s="20"/>
      <c r="L117" s="21"/>
      <c r="M117" s="10" t="s">
        <v>2</v>
      </c>
      <c r="N117" s="33"/>
      <c r="O117" s="1"/>
      <c r="P117" s="1"/>
      <c r="Q117"/>
    </row>
    <row r="118" spans="1:17" s="7" customFormat="1" ht="58.2" hidden="1" customHeight="1" x14ac:dyDescent="0.3">
      <c r="A118" s="6"/>
      <c r="B118" s="19" t="s">
        <v>428</v>
      </c>
      <c r="C118" s="35" t="s">
        <v>245</v>
      </c>
      <c r="D118" s="5" t="s">
        <v>429</v>
      </c>
      <c r="E118" s="5" t="s">
        <v>430</v>
      </c>
      <c r="F118" s="22">
        <v>46244</v>
      </c>
      <c r="G118" s="3" t="s">
        <v>467</v>
      </c>
      <c r="H118" s="22">
        <v>46254</v>
      </c>
      <c r="I118" s="3"/>
      <c r="J118" s="4"/>
      <c r="K118" s="20"/>
      <c r="L118" s="21"/>
      <c r="M118" s="10" t="s">
        <v>2</v>
      </c>
      <c r="N118" s="33"/>
      <c r="O118" s="1"/>
      <c r="P118" s="1"/>
      <c r="Q118"/>
    </row>
    <row r="119" spans="1:17" s="7" customFormat="1" ht="58.2" hidden="1" customHeight="1" x14ac:dyDescent="0.3">
      <c r="A119" s="6"/>
      <c r="B119" s="19" t="s">
        <v>431</v>
      </c>
      <c r="C119" s="35" t="s">
        <v>245</v>
      </c>
      <c r="D119" s="5" t="s">
        <v>432</v>
      </c>
      <c r="E119" s="5" t="s">
        <v>433</v>
      </c>
      <c r="F119" s="22">
        <v>46245</v>
      </c>
      <c r="G119" s="3" t="s">
        <v>451</v>
      </c>
      <c r="H119" s="22">
        <v>46250</v>
      </c>
      <c r="I119" s="3"/>
      <c r="J119" s="4"/>
      <c r="K119" s="20"/>
      <c r="L119" s="21"/>
      <c r="M119" s="10" t="s">
        <v>2</v>
      </c>
      <c r="N119" s="33"/>
      <c r="O119" s="1"/>
      <c r="P119" s="1"/>
      <c r="Q119"/>
    </row>
    <row r="120" spans="1:17" s="7" customFormat="1" ht="58.2" hidden="1" customHeight="1" x14ac:dyDescent="0.3">
      <c r="A120" s="6"/>
      <c r="B120" s="19" t="s">
        <v>434</v>
      </c>
      <c r="C120" s="35" t="s">
        <v>245</v>
      </c>
      <c r="D120" s="5" t="s">
        <v>435</v>
      </c>
      <c r="E120" s="5" t="s">
        <v>436</v>
      </c>
      <c r="F120" s="22">
        <v>46245</v>
      </c>
      <c r="G120" s="3" t="s">
        <v>450</v>
      </c>
      <c r="H120" s="22">
        <v>46250</v>
      </c>
      <c r="I120" s="3"/>
      <c r="J120" s="4"/>
      <c r="K120" s="20"/>
      <c r="L120" s="21"/>
      <c r="M120" s="10" t="s">
        <v>2</v>
      </c>
      <c r="N120" s="33"/>
      <c r="O120" s="1"/>
      <c r="P120" s="1"/>
      <c r="Q120"/>
    </row>
    <row r="121" spans="1:17" s="7" customFormat="1" ht="58.2" hidden="1" customHeight="1" x14ac:dyDescent="0.3">
      <c r="A121" s="6"/>
      <c r="B121" s="19" t="s">
        <v>437</v>
      </c>
      <c r="C121" s="35" t="s">
        <v>245</v>
      </c>
      <c r="D121" s="5" t="s">
        <v>438</v>
      </c>
      <c r="E121" s="5" t="s">
        <v>439</v>
      </c>
      <c r="F121" s="22">
        <v>46245</v>
      </c>
      <c r="G121" s="3" t="s">
        <v>446</v>
      </c>
      <c r="H121" s="22">
        <v>46247</v>
      </c>
      <c r="I121" s="3"/>
      <c r="J121" s="4"/>
      <c r="K121" s="20"/>
      <c r="L121" s="21"/>
      <c r="M121" s="10" t="s">
        <v>2</v>
      </c>
      <c r="N121" s="33"/>
      <c r="O121" s="1"/>
      <c r="P121" s="1"/>
      <c r="Q121"/>
    </row>
    <row r="122" spans="1:17" s="7" customFormat="1" ht="58.2" hidden="1" customHeight="1" x14ac:dyDescent="0.3">
      <c r="A122" s="6"/>
      <c r="B122" s="19" t="s">
        <v>440</v>
      </c>
      <c r="C122" s="35" t="s">
        <v>245</v>
      </c>
      <c r="D122" s="5" t="s">
        <v>441</v>
      </c>
      <c r="E122" s="5" t="s">
        <v>442</v>
      </c>
      <c r="F122" s="22">
        <v>46246</v>
      </c>
      <c r="G122" s="3" t="s">
        <v>447</v>
      </c>
      <c r="H122" s="22">
        <v>46250</v>
      </c>
      <c r="I122" s="3"/>
      <c r="J122" s="4"/>
      <c r="K122" s="20"/>
      <c r="L122" s="21"/>
      <c r="M122" s="10" t="s">
        <v>2</v>
      </c>
      <c r="N122" s="33"/>
      <c r="O122" s="1"/>
      <c r="P122" s="1"/>
      <c r="Q122"/>
    </row>
    <row r="123" spans="1:17" s="7" customFormat="1" ht="58.2" hidden="1" customHeight="1" x14ac:dyDescent="0.3">
      <c r="A123" s="6"/>
      <c r="B123" s="19" t="s">
        <v>455</v>
      </c>
      <c r="C123" s="35" t="s">
        <v>245</v>
      </c>
      <c r="D123" s="5" t="s">
        <v>453</v>
      </c>
      <c r="E123" s="5" t="s">
        <v>454</v>
      </c>
      <c r="F123" s="22">
        <v>46250</v>
      </c>
      <c r="G123" s="3" t="s">
        <v>489</v>
      </c>
      <c r="H123" s="22">
        <v>46265</v>
      </c>
      <c r="I123" s="3"/>
      <c r="J123" s="4"/>
      <c r="K123" s="20"/>
      <c r="L123" s="21"/>
      <c r="M123" s="10" t="s">
        <v>2</v>
      </c>
      <c r="N123" s="33" t="s">
        <v>471</v>
      </c>
      <c r="O123" s="1"/>
      <c r="P123" s="1"/>
      <c r="Q123"/>
    </row>
    <row r="124" spans="1:17" s="7" customFormat="1" ht="58.2" customHeight="1" x14ac:dyDescent="0.3">
      <c r="A124" s="6"/>
      <c r="B124" s="19" t="s">
        <v>455</v>
      </c>
      <c r="C124" s="35" t="s">
        <v>246</v>
      </c>
      <c r="D124" s="5" t="s">
        <v>541</v>
      </c>
      <c r="E124" s="5" t="s">
        <v>454</v>
      </c>
      <c r="F124" s="22">
        <v>46286</v>
      </c>
      <c r="G124" s="3"/>
      <c r="H124" s="22"/>
      <c r="I124" s="3"/>
      <c r="J124" s="4"/>
      <c r="K124" s="20"/>
      <c r="L124" s="21"/>
      <c r="M124" s="10" t="s">
        <v>7</v>
      </c>
      <c r="N124" s="33"/>
      <c r="O124" s="1"/>
      <c r="P124" s="1"/>
      <c r="Q124"/>
    </row>
    <row r="125" spans="1:17" s="7" customFormat="1" ht="58.2" hidden="1" customHeight="1" x14ac:dyDescent="0.3">
      <c r="A125" s="6"/>
      <c r="B125" s="19" t="s">
        <v>458</v>
      </c>
      <c r="C125" s="35" t="s">
        <v>245</v>
      </c>
      <c r="D125" s="5" t="s">
        <v>457</v>
      </c>
      <c r="E125" s="5" t="s">
        <v>459</v>
      </c>
      <c r="F125" s="22">
        <v>46252</v>
      </c>
      <c r="G125" s="3" t="s">
        <v>487</v>
      </c>
      <c r="H125" s="22">
        <v>46265</v>
      </c>
      <c r="I125" s="3"/>
      <c r="J125" s="4"/>
      <c r="K125" s="20"/>
      <c r="L125" s="21"/>
      <c r="M125" s="10" t="s">
        <v>2</v>
      </c>
      <c r="N125" s="33"/>
      <c r="O125" s="1"/>
      <c r="P125" s="1"/>
      <c r="Q125"/>
    </row>
    <row r="126" spans="1:17" s="7" customFormat="1" ht="58.2" hidden="1" customHeight="1" x14ac:dyDescent="0.3">
      <c r="A126" s="6"/>
      <c r="B126" s="19" t="s">
        <v>462</v>
      </c>
      <c r="C126" s="35" t="s">
        <v>245</v>
      </c>
      <c r="D126" s="5" t="s">
        <v>460</v>
      </c>
      <c r="E126" s="5" t="s">
        <v>461</v>
      </c>
      <c r="F126" s="22">
        <v>46252</v>
      </c>
      <c r="G126" s="3" t="s">
        <v>522</v>
      </c>
      <c r="H126" s="22">
        <v>46273</v>
      </c>
      <c r="I126" s="3"/>
      <c r="J126" s="4"/>
      <c r="K126" s="20"/>
      <c r="L126" s="21"/>
      <c r="M126" s="10" t="s">
        <v>2</v>
      </c>
      <c r="N126" s="33" t="s">
        <v>471</v>
      </c>
      <c r="O126" s="1"/>
      <c r="P126" s="1"/>
      <c r="Q126"/>
    </row>
    <row r="127" spans="1:17" s="7" customFormat="1" ht="57" hidden="1" customHeight="1" x14ac:dyDescent="0.3">
      <c r="A127" s="6"/>
      <c r="B127" s="19" t="s">
        <v>465</v>
      </c>
      <c r="C127" s="35" t="s">
        <v>245</v>
      </c>
      <c r="D127" s="5" t="s">
        <v>464</v>
      </c>
      <c r="E127" s="5" t="s">
        <v>466</v>
      </c>
      <c r="F127" s="22">
        <v>46253</v>
      </c>
      <c r="G127" s="3" t="s">
        <v>468</v>
      </c>
      <c r="H127" s="22">
        <v>46254</v>
      </c>
      <c r="I127" s="3"/>
      <c r="J127" s="4"/>
      <c r="K127" s="20"/>
      <c r="L127" s="21"/>
      <c r="M127" s="10" t="s">
        <v>2</v>
      </c>
      <c r="N127" s="33"/>
      <c r="O127" s="1"/>
      <c r="P127" s="1"/>
      <c r="Q127"/>
    </row>
    <row r="128" spans="1:17" s="7" customFormat="1" ht="58.2" hidden="1" customHeight="1" x14ac:dyDescent="0.3">
      <c r="A128" s="6"/>
      <c r="B128" s="19" t="s">
        <v>472</v>
      </c>
      <c r="C128" s="35" t="s">
        <v>245</v>
      </c>
      <c r="D128" s="5" t="s">
        <v>473</v>
      </c>
      <c r="E128" s="5" t="s">
        <v>474</v>
      </c>
      <c r="F128" s="22">
        <v>46258</v>
      </c>
      <c r="G128" s="3" t="s">
        <v>497</v>
      </c>
      <c r="H128" s="22">
        <v>46266</v>
      </c>
      <c r="I128" s="3"/>
      <c r="J128" s="4"/>
      <c r="K128" s="20"/>
      <c r="L128" s="21"/>
      <c r="M128" s="10" t="s">
        <v>2</v>
      </c>
      <c r="N128" s="33"/>
      <c r="O128" s="1"/>
      <c r="P128" s="1"/>
      <c r="Q128"/>
    </row>
    <row r="129" spans="1:17" s="7" customFormat="1" ht="57" hidden="1" customHeight="1" x14ac:dyDescent="0.3">
      <c r="A129" s="6"/>
      <c r="B129" s="19" t="s">
        <v>475</v>
      </c>
      <c r="C129" s="35" t="s">
        <v>245</v>
      </c>
      <c r="D129" s="5" t="s">
        <v>476</v>
      </c>
      <c r="E129" s="5" t="s">
        <v>477</v>
      </c>
      <c r="F129" s="22">
        <v>46264</v>
      </c>
      <c r="G129" s="3" t="s">
        <v>499</v>
      </c>
      <c r="H129" s="22">
        <v>46267</v>
      </c>
      <c r="I129" s="3"/>
      <c r="J129" s="4"/>
      <c r="K129" s="20"/>
      <c r="L129" s="21"/>
      <c r="M129" s="10" t="s">
        <v>2</v>
      </c>
      <c r="N129" s="33" t="s">
        <v>471</v>
      </c>
      <c r="O129" s="1"/>
      <c r="P129" s="1"/>
      <c r="Q129"/>
    </row>
    <row r="130" spans="1:17" s="7" customFormat="1" ht="57" hidden="1" customHeight="1" x14ac:dyDescent="0.3">
      <c r="A130" s="6"/>
      <c r="B130" s="19" t="s">
        <v>478</v>
      </c>
      <c r="C130" s="35" t="s">
        <v>245</v>
      </c>
      <c r="D130" s="5" t="s">
        <v>480</v>
      </c>
      <c r="E130" s="5" t="s">
        <v>479</v>
      </c>
      <c r="F130" s="22">
        <v>46264</v>
      </c>
      <c r="G130" s="3" t="s">
        <v>513</v>
      </c>
      <c r="H130" s="22">
        <v>46272</v>
      </c>
      <c r="I130" s="3"/>
      <c r="J130" s="4"/>
      <c r="K130" s="20"/>
      <c r="L130" s="21"/>
      <c r="M130" s="10" t="s">
        <v>2</v>
      </c>
      <c r="N130" s="33" t="s">
        <v>471</v>
      </c>
      <c r="O130" s="1"/>
      <c r="P130" s="1"/>
      <c r="Q130"/>
    </row>
    <row r="131" spans="1:17" s="7" customFormat="1" ht="57" hidden="1" customHeight="1" x14ac:dyDescent="0.3">
      <c r="A131" s="6"/>
      <c r="B131" s="19" t="s">
        <v>478</v>
      </c>
      <c r="C131" s="35" t="s">
        <v>246</v>
      </c>
      <c r="D131" s="5" t="s">
        <v>521</v>
      </c>
      <c r="E131" s="5" t="s">
        <v>479</v>
      </c>
      <c r="F131" s="22">
        <v>46275</v>
      </c>
      <c r="G131" s="3" t="s">
        <v>537</v>
      </c>
      <c r="H131" s="22">
        <v>46286</v>
      </c>
      <c r="I131" s="3"/>
      <c r="J131" s="4"/>
      <c r="K131" s="20"/>
      <c r="L131" s="21"/>
      <c r="M131" s="10" t="s">
        <v>2</v>
      </c>
      <c r="N131" s="33" t="s">
        <v>471</v>
      </c>
      <c r="O131" s="1"/>
      <c r="P131" s="1"/>
      <c r="Q131"/>
    </row>
    <row r="132" spans="1:17" s="7" customFormat="1" ht="57" hidden="1" customHeight="1" x14ac:dyDescent="0.3">
      <c r="A132" s="6"/>
      <c r="B132" s="19" t="s">
        <v>482</v>
      </c>
      <c r="C132" s="35" t="s">
        <v>245</v>
      </c>
      <c r="D132" s="5" t="s">
        <v>481</v>
      </c>
      <c r="E132" s="5" t="s">
        <v>483</v>
      </c>
      <c r="F132" s="22">
        <v>46264</v>
      </c>
      <c r="G132" s="3" t="s">
        <v>512</v>
      </c>
      <c r="H132" s="22">
        <v>46268</v>
      </c>
      <c r="I132" s="3"/>
      <c r="J132" s="4"/>
      <c r="K132" s="20"/>
      <c r="L132" s="21"/>
      <c r="M132" s="10" t="s">
        <v>2</v>
      </c>
      <c r="N132" s="33" t="s">
        <v>471</v>
      </c>
      <c r="O132" s="1"/>
      <c r="P132" s="1"/>
      <c r="Q132"/>
    </row>
    <row r="133" spans="1:17" s="7" customFormat="1" ht="57" hidden="1" customHeight="1" x14ac:dyDescent="0.3">
      <c r="A133" s="6"/>
      <c r="B133" s="19" t="s">
        <v>484</v>
      </c>
      <c r="C133" s="35" t="s">
        <v>245</v>
      </c>
      <c r="D133" s="5" t="s">
        <v>485</v>
      </c>
      <c r="E133" s="5" t="s">
        <v>486</v>
      </c>
      <c r="F133" s="22">
        <v>46264</v>
      </c>
      <c r="G133" s="3" t="s">
        <v>515</v>
      </c>
      <c r="H133" s="22">
        <v>46274</v>
      </c>
      <c r="I133" s="3"/>
      <c r="J133" s="4"/>
      <c r="K133" s="20"/>
      <c r="L133" s="21"/>
      <c r="M133" s="10" t="s">
        <v>2</v>
      </c>
      <c r="N133" s="33" t="s">
        <v>471</v>
      </c>
      <c r="O133" s="1"/>
      <c r="P133" s="1"/>
      <c r="Q133"/>
    </row>
    <row r="134" spans="1:17" s="7" customFormat="1" ht="57" customHeight="1" x14ac:dyDescent="0.3">
      <c r="A134" s="6"/>
      <c r="B134" s="19" t="s">
        <v>490</v>
      </c>
      <c r="C134" s="35" t="s">
        <v>245</v>
      </c>
      <c r="D134" s="5" t="s">
        <v>491</v>
      </c>
      <c r="E134" s="5" t="s">
        <v>492</v>
      </c>
      <c r="F134" s="22">
        <v>46266</v>
      </c>
      <c r="G134" s="3"/>
      <c r="H134" s="22"/>
      <c r="I134" s="3"/>
      <c r="J134" s="4"/>
      <c r="K134" s="20"/>
      <c r="L134" s="21"/>
      <c r="M134" s="10" t="s">
        <v>7</v>
      </c>
      <c r="N134" s="33" t="s">
        <v>471</v>
      </c>
      <c r="O134" s="1"/>
      <c r="P134" s="1"/>
      <c r="Q134"/>
    </row>
    <row r="135" spans="1:17" s="7" customFormat="1" ht="57" hidden="1" customHeight="1" x14ac:dyDescent="0.3">
      <c r="A135" s="6"/>
      <c r="B135" s="19" t="s">
        <v>493</v>
      </c>
      <c r="C135" s="35" t="s">
        <v>245</v>
      </c>
      <c r="D135" s="5" t="s">
        <v>494</v>
      </c>
      <c r="E135" s="5" t="s">
        <v>495</v>
      </c>
      <c r="F135" s="22">
        <v>46266</v>
      </c>
      <c r="G135" s="3" t="s">
        <v>520</v>
      </c>
      <c r="H135" s="22">
        <v>46275</v>
      </c>
      <c r="I135" s="3"/>
      <c r="J135" s="4"/>
      <c r="K135" s="20"/>
      <c r="L135" s="21"/>
      <c r="M135" s="10" t="s">
        <v>2</v>
      </c>
      <c r="N135" s="33"/>
      <c r="O135" s="1"/>
      <c r="P135" s="1"/>
      <c r="Q135"/>
    </row>
    <row r="136" spans="1:17" s="7" customFormat="1" ht="57" customHeight="1" x14ac:dyDescent="0.3">
      <c r="A136" s="6"/>
      <c r="B136" s="19" t="s">
        <v>502</v>
      </c>
      <c r="C136" s="35" t="s">
        <v>245</v>
      </c>
      <c r="D136" s="5" t="s">
        <v>500</v>
      </c>
      <c r="E136" s="5" t="s">
        <v>501</v>
      </c>
      <c r="F136" s="22">
        <v>46267</v>
      </c>
      <c r="G136" s="3"/>
      <c r="H136" s="22"/>
      <c r="I136" s="3"/>
      <c r="J136" s="4"/>
      <c r="K136" s="20"/>
      <c r="L136" s="21"/>
      <c r="M136" s="10" t="s">
        <v>7</v>
      </c>
      <c r="N136" s="33" t="s">
        <v>471</v>
      </c>
      <c r="O136" s="1"/>
      <c r="P136" s="1"/>
      <c r="Q136"/>
    </row>
    <row r="137" spans="1:17" s="7" customFormat="1" ht="57" hidden="1" customHeight="1" x14ac:dyDescent="0.3">
      <c r="A137" s="6"/>
      <c r="B137" s="19" t="s">
        <v>503</v>
      </c>
      <c r="C137" s="35" t="s">
        <v>245</v>
      </c>
      <c r="D137" s="5" t="s">
        <v>504</v>
      </c>
      <c r="E137" s="5" t="s">
        <v>505</v>
      </c>
      <c r="F137" s="22">
        <v>46267</v>
      </c>
      <c r="G137" s="3" t="s">
        <v>563</v>
      </c>
      <c r="H137" s="22">
        <v>46295</v>
      </c>
      <c r="I137" s="3"/>
      <c r="J137" s="4"/>
      <c r="K137" s="20"/>
      <c r="L137" s="21"/>
      <c r="M137" s="10" t="s">
        <v>2</v>
      </c>
      <c r="N137" s="33" t="s">
        <v>471</v>
      </c>
      <c r="O137" s="1"/>
      <c r="P137" s="1"/>
      <c r="Q137"/>
    </row>
    <row r="138" spans="1:17" s="7" customFormat="1" ht="57" hidden="1" customHeight="1" x14ac:dyDescent="0.3">
      <c r="A138" s="6"/>
      <c r="B138" s="19" t="s">
        <v>507</v>
      </c>
      <c r="C138" s="35" t="s">
        <v>245</v>
      </c>
      <c r="D138" s="5" t="s">
        <v>506</v>
      </c>
      <c r="E138" s="5" t="s">
        <v>508</v>
      </c>
      <c r="F138" s="22">
        <v>46267</v>
      </c>
      <c r="G138" s="3" t="s">
        <v>514</v>
      </c>
      <c r="H138" s="22">
        <v>46272</v>
      </c>
      <c r="I138" s="3"/>
      <c r="J138" s="4"/>
      <c r="K138" s="20"/>
      <c r="L138" s="21"/>
      <c r="M138" s="10" t="s">
        <v>2</v>
      </c>
      <c r="N138" s="33"/>
      <c r="O138" s="1"/>
      <c r="P138" s="1"/>
      <c r="Q138"/>
    </row>
    <row r="139" spans="1:17" s="7" customFormat="1" ht="57" hidden="1" customHeight="1" x14ac:dyDescent="0.3">
      <c r="A139" s="6"/>
      <c r="B139" s="19" t="s">
        <v>507</v>
      </c>
      <c r="C139" s="35" t="s">
        <v>246</v>
      </c>
      <c r="D139" s="5" t="s">
        <v>523</v>
      </c>
      <c r="E139" s="5" t="s">
        <v>508</v>
      </c>
      <c r="F139" s="22">
        <v>46278</v>
      </c>
      <c r="G139" s="3" t="s">
        <v>552</v>
      </c>
      <c r="H139" s="22">
        <v>46293</v>
      </c>
      <c r="I139" s="3"/>
      <c r="J139" s="4"/>
      <c r="K139" s="20"/>
      <c r="L139" s="21"/>
      <c r="M139" s="10" t="s">
        <v>2</v>
      </c>
      <c r="N139" s="33"/>
      <c r="O139" s="1"/>
      <c r="P139" s="1"/>
      <c r="Q139"/>
    </row>
    <row r="140" spans="1:17" s="7" customFormat="1" ht="57" hidden="1" customHeight="1" x14ac:dyDescent="0.3">
      <c r="A140" s="6"/>
      <c r="B140" s="19" t="s">
        <v>507</v>
      </c>
      <c r="C140" s="35" t="s">
        <v>293</v>
      </c>
      <c r="D140" s="5" t="s">
        <v>583</v>
      </c>
      <c r="E140" s="5" t="s">
        <v>508</v>
      </c>
      <c r="F140" s="22">
        <v>46300</v>
      </c>
      <c r="G140" s="3" t="s">
        <v>593</v>
      </c>
      <c r="H140" s="22">
        <v>46306</v>
      </c>
      <c r="I140" s="3"/>
      <c r="J140" s="4"/>
      <c r="K140" s="20"/>
      <c r="L140" s="21"/>
      <c r="M140" s="10" t="s">
        <v>2</v>
      </c>
      <c r="N140" s="33"/>
      <c r="O140" s="1"/>
      <c r="P140" s="1"/>
      <c r="Q140"/>
    </row>
    <row r="141" spans="1:17" s="7" customFormat="1" ht="57" hidden="1" customHeight="1" x14ac:dyDescent="0.3">
      <c r="A141" s="6"/>
      <c r="B141" s="19" t="s">
        <v>509</v>
      </c>
      <c r="C141" s="35" t="s">
        <v>245</v>
      </c>
      <c r="D141" s="5" t="s">
        <v>510</v>
      </c>
      <c r="E141" s="5" t="s">
        <v>511</v>
      </c>
      <c r="F141" s="22">
        <v>46267</v>
      </c>
      <c r="G141" s="3" t="s">
        <v>519</v>
      </c>
      <c r="H141" s="22">
        <v>46275</v>
      </c>
      <c r="I141" s="3"/>
      <c r="J141" s="4"/>
      <c r="K141" s="20"/>
      <c r="L141" s="21"/>
      <c r="M141" s="10" t="s">
        <v>2</v>
      </c>
      <c r="N141" s="33"/>
      <c r="O141" s="1"/>
      <c r="P141" s="1"/>
      <c r="Q141"/>
    </row>
    <row r="142" spans="1:17" s="7" customFormat="1" ht="57" hidden="1" customHeight="1" x14ac:dyDescent="0.3">
      <c r="A142" s="6"/>
      <c r="B142" s="19" t="s">
        <v>516</v>
      </c>
      <c r="C142" s="35" t="s">
        <v>245</v>
      </c>
      <c r="D142" s="5" t="s">
        <v>517</v>
      </c>
      <c r="E142" s="5" t="s">
        <v>518</v>
      </c>
      <c r="F142" s="22">
        <v>46274</v>
      </c>
      <c r="G142" s="3" t="s">
        <v>527</v>
      </c>
      <c r="H142" s="22">
        <v>46279</v>
      </c>
      <c r="I142" s="3"/>
      <c r="J142" s="4"/>
      <c r="K142" s="20"/>
      <c r="L142" s="21"/>
      <c r="M142" s="10" t="s">
        <v>2</v>
      </c>
      <c r="N142" s="33"/>
      <c r="O142" s="1"/>
      <c r="P142" s="1"/>
      <c r="Q142"/>
    </row>
    <row r="143" spans="1:17" s="7" customFormat="1" ht="57" hidden="1" customHeight="1" x14ac:dyDescent="0.3">
      <c r="A143" s="6"/>
      <c r="B143" s="19" t="s">
        <v>524</v>
      </c>
      <c r="C143" s="35" t="s">
        <v>245</v>
      </c>
      <c r="D143" s="5" t="s">
        <v>525</v>
      </c>
      <c r="E143" s="5" t="s">
        <v>526</v>
      </c>
      <c r="F143" s="22">
        <v>46279</v>
      </c>
      <c r="G143" s="3" t="s">
        <v>562</v>
      </c>
      <c r="H143" s="22">
        <v>46294</v>
      </c>
      <c r="I143" s="3"/>
      <c r="J143" s="4"/>
      <c r="K143" s="20"/>
      <c r="L143" s="21"/>
      <c r="M143" s="10" t="s">
        <v>2</v>
      </c>
      <c r="N143" s="33" t="s">
        <v>471</v>
      </c>
      <c r="O143" s="1"/>
      <c r="P143" s="1"/>
      <c r="Q143"/>
    </row>
    <row r="144" spans="1:17" s="7" customFormat="1" ht="57.6" hidden="1" customHeight="1" x14ac:dyDescent="0.3">
      <c r="A144" s="6"/>
      <c r="B144" s="19" t="s">
        <v>530</v>
      </c>
      <c r="C144" s="35" t="s">
        <v>245</v>
      </c>
      <c r="D144" s="5" t="s">
        <v>528</v>
      </c>
      <c r="E144" s="5" t="s">
        <v>529</v>
      </c>
      <c r="F144" s="22">
        <v>46280</v>
      </c>
      <c r="G144" s="3" t="s">
        <v>550</v>
      </c>
      <c r="H144" s="22">
        <v>46292</v>
      </c>
      <c r="I144" s="3"/>
      <c r="J144" s="4"/>
      <c r="K144" s="20"/>
      <c r="L144" s="21"/>
      <c r="M144" s="10" t="s">
        <v>2</v>
      </c>
      <c r="N144" s="33"/>
      <c r="O144" s="1"/>
      <c r="P144" s="1"/>
      <c r="Q144"/>
    </row>
    <row r="145" spans="1:17" s="7" customFormat="1" ht="57" hidden="1" customHeight="1" x14ac:dyDescent="0.3">
      <c r="A145" s="6"/>
      <c r="B145" s="19" t="s">
        <v>531</v>
      </c>
      <c r="C145" s="35" t="s">
        <v>245</v>
      </c>
      <c r="D145" s="5" t="s">
        <v>532</v>
      </c>
      <c r="E145" s="5" t="s">
        <v>533</v>
      </c>
      <c r="F145" s="22">
        <v>46282</v>
      </c>
      <c r="G145" s="3" t="s">
        <v>542</v>
      </c>
      <c r="H145" s="22">
        <v>46288</v>
      </c>
      <c r="I145" s="3"/>
      <c r="J145" s="4"/>
      <c r="K145" s="20"/>
      <c r="L145" s="21"/>
      <c r="M145" s="10" t="s">
        <v>2</v>
      </c>
      <c r="N145" s="33"/>
      <c r="O145" s="1"/>
      <c r="P145" s="1"/>
      <c r="Q145"/>
    </row>
    <row r="146" spans="1:17" s="7" customFormat="1" ht="57" hidden="1" customHeight="1" x14ac:dyDescent="0.3">
      <c r="A146" s="6"/>
      <c r="B146" s="19" t="s">
        <v>534</v>
      </c>
      <c r="C146" s="35" t="s">
        <v>245</v>
      </c>
      <c r="D146" s="5" t="s">
        <v>536</v>
      </c>
      <c r="E146" s="5" t="s">
        <v>535</v>
      </c>
      <c r="F146" s="22">
        <v>46282</v>
      </c>
      <c r="G146" s="3" t="s">
        <v>551</v>
      </c>
      <c r="H146" s="22">
        <v>46293</v>
      </c>
      <c r="I146" s="3"/>
      <c r="J146" s="4"/>
      <c r="K146" s="20"/>
      <c r="L146" s="21"/>
      <c r="M146" s="10" t="s">
        <v>2</v>
      </c>
      <c r="N146" s="33"/>
      <c r="O146" s="1"/>
      <c r="P146" s="1"/>
      <c r="Q146"/>
    </row>
    <row r="147" spans="1:17" s="7" customFormat="1" ht="57" hidden="1" customHeight="1" x14ac:dyDescent="0.3">
      <c r="A147" s="6"/>
      <c r="B147" s="19" t="s">
        <v>538</v>
      </c>
      <c r="C147" s="35" t="s">
        <v>245</v>
      </c>
      <c r="D147" s="5" t="s">
        <v>539</v>
      </c>
      <c r="E147" s="5" t="s">
        <v>540</v>
      </c>
      <c r="F147" s="22">
        <v>46286</v>
      </c>
      <c r="G147" s="3" t="s">
        <v>549</v>
      </c>
      <c r="H147" s="22">
        <v>46289</v>
      </c>
      <c r="I147" s="3"/>
      <c r="J147" s="4"/>
      <c r="K147" s="20"/>
      <c r="L147" s="21"/>
      <c r="M147" s="10" t="s">
        <v>2</v>
      </c>
      <c r="N147" s="33"/>
      <c r="O147" s="1"/>
      <c r="P147" s="1"/>
      <c r="Q147"/>
    </row>
    <row r="148" spans="1:17" s="7" customFormat="1" ht="57" hidden="1" customHeight="1" x14ac:dyDescent="0.3">
      <c r="A148" s="6"/>
      <c r="B148" s="19" t="s">
        <v>544</v>
      </c>
      <c r="C148" s="35" t="s">
        <v>245</v>
      </c>
      <c r="D148" s="5" t="s">
        <v>543</v>
      </c>
      <c r="E148" s="5" t="s">
        <v>545</v>
      </c>
      <c r="F148" s="22">
        <v>46288</v>
      </c>
      <c r="G148" s="3" t="s">
        <v>564</v>
      </c>
      <c r="H148" s="22">
        <v>46295</v>
      </c>
      <c r="I148" s="3"/>
      <c r="J148" s="4"/>
      <c r="K148" s="20"/>
      <c r="L148" s="21"/>
      <c r="M148" s="10" t="s">
        <v>2</v>
      </c>
      <c r="N148" s="33"/>
      <c r="O148" s="1"/>
      <c r="P148" s="1"/>
      <c r="Q148"/>
    </row>
    <row r="149" spans="1:17" s="7" customFormat="1" ht="57" hidden="1" customHeight="1" x14ac:dyDescent="0.3">
      <c r="A149" s="6"/>
      <c r="B149" s="19" t="s">
        <v>547</v>
      </c>
      <c r="C149" s="35" t="s">
        <v>245</v>
      </c>
      <c r="D149" s="5" t="s">
        <v>546</v>
      </c>
      <c r="E149" s="5" t="s">
        <v>548</v>
      </c>
      <c r="F149" s="22">
        <v>46289</v>
      </c>
      <c r="G149" s="3" t="s">
        <v>567</v>
      </c>
      <c r="H149" s="22">
        <v>46299</v>
      </c>
      <c r="I149" s="3"/>
      <c r="J149" s="4"/>
      <c r="K149" s="20"/>
      <c r="L149" s="21"/>
      <c r="M149" s="10" t="s">
        <v>2</v>
      </c>
      <c r="N149" s="33"/>
      <c r="O149" s="1"/>
      <c r="P149" s="1"/>
      <c r="Q149"/>
    </row>
    <row r="150" spans="1:17" s="7" customFormat="1" ht="57" customHeight="1" x14ac:dyDescent="0.3">
      <c r="A150" s="6"/>
      <c r="B150" s="19" t="s">
        <v>555</v>
      </c>
      <c r="C150" s="35" t="s">
        <v>245</v>
      </c>
      <c r="D150" s="5" t="s">
        <v>554</v>
      </c>
      <c r="E150" s="5" t="s">
        <v>553</v>
      </c>
      <c r="F150" s="22">
        <v>46293</v>
      </c>
      <c r="G150" s="3"/>
      <c r="H150" s="22"/>
      <c r="I150" s="3"/>
      <c r="J150" s="4"/>
      <c r="K150" s="20"/>
      <c r="L150" s="21"/>
      <c r="M150" s="10" t="s">
        <v>7</v>
      </c>
      <c r="N150" s="33"/>
      <c r="O150" s="1"/>
      <c r="P150" s="1"/>
      <c r="Q150"/>
    </row>
    <row r="151" spans="1:17" s="7" customFormat="1" ht="57" hidden="1" customHeight="1" x14ac:dyDescent="0.3">
      <c r="A151" s="6"/>
      <c r="B151" s="19" t="s">
        <v>558</v>
      </c>
      <c r="C151" s="35" t="s">
        <v>245</v>
      </c>
      <c r="D151" s="5" t="s">
        <v>556</v>
      </c>
      <c r="E151" s="5" t="s">
        <v>557</v>
      </c>
      <c r="F151" s="22">
        <v>46293</v>
      </c>
      <c r="G151" s="3" t="s">
        <v>566</v>
      </c>
      <c r="H151" s="22">
        <v>46299</v>
      </c>
      <c r="I151" s="3"/>
      <c r="J151" s="4"/>
      <c r="K151" s="20"/>
      <c r="L151" s="21"/>
      <c r="M151" s="10" t="s">
        <v>2</v>
      </c>
      <c r="N151" s="33"/>
      <c r="O151" s="1"/>
      <c r="P151" s="1"/>
      <c r="Q151"/>
    </row>
    <row r="152" spans="1:17" s="7" customFormat="1" ht="57" hidden="1" customHeight="1" x14ac:dyDescent="0.3">
      <c r="A152" s="6"/>
      <c r="B152" s="19" t="s">
        <v>560</v>
      </c>
      <c r="C152" s="35" t="s">
        <v>245</v>
      </c>
      <c r="D152" s="5" t="s">
        <v>559</v>
      </c>
      <c r="E152" s="5" t="s">
        <v>561</v>
      </c>
      <c r="F152" s="22">
        <v>46294</v>
      </c>
      <c r="G152" s="3" t="s">
        <v>565</v>
      </c>
      <c r="H152" s="22">
        <v>46299</v>
      </c>
      <c r="I152" s="3"/>
      <c r="J152" s="4"/>
      <c r="K152" s="20"/>
      <c r="L152" s="21"/>
      <c r="M152" s="10" t="s">
        <v>2</v>
      </c>
      <c r="N152" s="33"/>
      <c r="O152" s="1"/>
      <c r="P152" s="1"/>
      <c r="Q152"/>
    </row>
    <row r="153" spans="1:17" s="7" customFormat="1" ht="57" hidden="1" customHeight="1" x14ac:dyDescent="0.3">
      <c r="A153" s="6"/>
      <c r="B153" s="19" t="s">
        <v>568</v>
      </c>
      <c r="C153" s="35" t="s">
        <v>245</v>
      </c>
      <c r="D153" s="5" t="s">
        <v>569</v>
      </c>
      <c r="E153" s="5" t="s">
        <v>570</v>
      </c>
      <c r="F153" s="22">
        <v>46299</v>
      </c>
      <c r="G153" s="3" t="s">
        <v>598</v>
      </c>
      <c r="H153" s="22">
        <v>46306</v>
      </c>
      <c r="I153" s="3"/>
      <c r="J153" s="4"/>
      <c r="K153" s="20"/>
      <c r="L153" s="21"/>
      <c r="M153" s="10" t="s">
        <v>2</v>
      </c>
      <c r="N153" s="33"/>
      <c r="O153" s="1"/>
      <c r="P153" s="1"/>
      <c r="Q153"/>
    </row>
    <row r="154" spans="1:17" s="7" customFormat="1" ht="57" customHeight="1" x14ac:dyDescent="0.3">
      <c r="A154" s="6"/>
      <c r="B154" s="19" t="s">
        <v>572</v>
      </c>
      <c r="C154" s="35" t="s">
        <v>245</v>
      </c>
      <c r="D154" s="5" t="s">
        <v>571</v>
      </c>
      <c r="E154" s="5" t="s">
        <v>573</v>
      </c>
      <c r="F154" s="22">
        <v>46299</v>
      </c>
      <c r="G154" s="3"/>
      <c r="H154" s="22"/>
      <c r="I154" s="3"/>
      <c r="J154" s="4"/>
      <c r="K154" s="20"/>
      <c r="L154" s="21"/>
      <c r="M154" s="10" t="s">
        <v>7</v>
      </c>
      <c r="N154" s="33" t="s">
        <v>471</v>
      </c>
      <c r="O154" s="1"/>
      <c r="P154" s="1"/>
      <c r="Q154"/>
    </row>
    <row r="155" spans="1:17" s="7" customFormat="1" ht="57" hidden="1" customHeight="1" x14ac:dyDescent="0.3">
      <c r="A155" s="6"/>
      <c r="B155" s="19" t="s">
        <v>575</v>
      </c>
      <c r="C155" s="35" t="s">
        <v>245</v>
      </c>
      <c r="D155" s="5" t="s">
        <v>574</v>
      </c>
      <c r="E155" s="5" t="s">
        <v>576</v>
      </c>
      <c r="F155" s="22">
        <v>46300</v>
      </c>
      <c r="G155" s="3" t="s">
        <v>597</v>
      </c>
      <c r="H155" s="22">
        <v>46306</v>
      </c>
      <c r="I155" s="3"/>
      <c r="J155" s="4"/>
      <c r="K155" s="20"/>
      <c r="L155" s="21"/>
      <c r="M155" s="10" t="s">
        <v>2</v>
      </c>
      <c r="N155" s="33"/>
      <c r="O155" s="1"/>
      <c r="P155" s="1"/>
      <c r="Q155"/>
    </row>
    <row r="156" spans="1:17" s="7" customFormat="1" ht="57" hidden="1" customHeight="1" x14ac:dyDescent="0.3">
      <c r="A156" s="6"/>
      <c r="B156" s="19" t="s">
        <v>578</v>
      </c>
      <c r="C156" s="35" t="s">
        <v>245</v>
      </c>
      <c r="D156" s="5" t="s">
        <v>577</v>
      </c>
      <c r="E156" s="5" t="s">
        <v>579</v>
      </c>
      <c r="F156" s="22">
        <v>46300</v>
      </c>
      <c r="G156" s="3" t="s">
        <v>596</v>
      </c>
      <c r="H156" s="22">
        <v>46306</v>
      </c>
      <c r="I156" s="3"/>
      <c r="J156" s="4"/>
      <c r="K156" s="20"/>
      <c r="L156" s="21"/>
      <c r="M156" s="10" t="s">
        <v>2</v>
      </c>
      <c r="N156" s="33"/>
      <c r="O156" s="1"/>
      <c r="P156" s="1"/>
      <c r="Q156"/>
    </row>
    <row r="157" spans="1:17" s="7" customFormat="1" ht="57" hidden="1" customHeight="1" x14ac:dyDescent="0.3">
      <c r="A157" s="6"/>
      <c r="B157" s="19" t="s">
        <v>581</v>
      </c>
      <c r="C157" s="35" t="s">
        <v>245</v>
      </c>
      <c r="D157" s="5" t="s">
        <v>580</v>
      </c>
      <c r="E157" s="5" t="s">
        <v>582</v>
      </c>
      <c r="F157" s="22">
        <v>46300</v>
      </c>
      <c r="G157" s="3" t="s">
        <v>595</v>
      </c>
      <c r="H157" s="22">
        <v>46306</v>
      </c>
      <c r="I157" s="3"/>
      <c r="J157" s="4"/>
      <c r="K157" s="20"/>
      <c r="L157" s="21"/>
      <c r="M157" s="10" t="s">
        <v>2</v>
      </c>
      <c r="N157" s="33"/>
      <c r="O157" s="1"/>
      <c r="P157" s="1"/>
      <c r="Q157"/>
    </row>
    <row r="158" spans="1:17" s="7" customFormat="1" ht="57" customHeight="1" x14ac:dyDescent="0.3">
      <c r="A158" s="6"/>
      <c r="B158" s="19" t="s">
        <v>585</v>
      </c>
      <c r="C158" s="35" t="s">
        <v>245</v>
      </c>
      <c r="D158" s="5" t="s">
        <v>584</v>
      </c>
      <c r="E158" s="5" t="s">
        <v>586</v>
      </c>
      <c r="F158" s="22">
        <v>46301</v>
      </c>
      <c r="G158" s="3"/>
      <c r="H158" s="22"/>
      <c r="I158" s="3"/>
      <c r="J158" s="4"/>
      <c r="K158" s="20"/>
      <c r="L158" s="21"/>
      <c r="M158" s="10" t="s">
        <v>7</v>
      </c>
      <c r="N158" s="33"/>
      <c r="O158" s="1"/>
      <c r="P158" s="1"/>
      <c r="Q158"/>
    </row>
    <row r="159" spans="1:17" s="7" customFormat="1" ht="57" customHeight="1" x14ac:dyDescent="0.3">
      <c r="A159" s="6"/>
      <c r="B159" s="19" t="s">
        <v>587</v>
      </c>
      <c r="C159" s="35" t="s">
        <v>245</v>
      </c>
      <c r="D159" s="5" t="s">
        <v>588</v>
      </c>
      <c r="E159" s="5" t="s">
        <v>589</v>
      </c>
      <c r="F159" s="22">
        <v>46301</v>
      </c>
      <c r="G159" s="3"/>
      <c r="H159" s="22"/>
      <c r="I159" s="3"/>
      <c r="J159" s="4"/>
      <c r="K159" s="20"/>
      <c r="L159" s="21"/>
      <c r="M159" s="10" t="s">
        <v>7</v>
      </c>
      <c r="N159" s="33" t="s">
        <v>471</v>
      </c>
      <c r="O159" s="1"/>
      <c r="P159" s="1"/>
      <c r="Q159"/>
    </row>
    <row r="160" spans="1:17" s="7" customFormat="1" ht="57" hidden="1" customHeight="1" x14ac:dyDescent="0.3">
      <c r="A160" s="6"/>
      <c r="B160" s="19" t="s">
        <v>591</v>
      </c>
      <c r="C160" s="35" t="s">
        <v>245</v>
      </c>
      <c r="D160" s="5" t="s">
        <v>590</v>
      </c>
      <c r="E160" s="5" t="s">
        <v>592</v>
      </c>
      <c r="F160" s="22">
        <v>46301</v>
      </c>
      <c r="G160" s="3" t="s">
        <v>594</v>
      </c>
      <c r="H160" s="22">
        <v>46306</v>
      </c>
      <c r="I160" s="3"/>
      <c r="J160" s="4"/>
      <c r="K160" s="20"/>
      <c r="L160" s="21"/>
      <c r="M160" s="10" t="s">
        <v>2</v>
      </c>
      <c r="N160" s="33"/>
      <c r="O160" s="1"/>
      <c r="P160" s="1"/>
      <c r="Q160"/>
    </row>
  </sheetData>
  <autoFilter ref="B4:O160" xr:uid="{00000000-0001-0000-0000-000000000000}">
    <filterColumn colId="11">
      <filters>
        <filter val="open"/>
      </filters>
    </filterColumn>
  </autoFilter>
  <mergeCells count="14">
    <mergeCell ref="N14:N15"/>
    <mergeCell ref="B13:B16"/>
    <mergeCell ref="E13:E16"/>
    <mergeCell ref="B10:B11"/>
    <mergeCell ref="E25:E26"/>
    <mergeCell ref="G25:G26"/>
    <mergeCell ref="H25:H26"/>
    <mergeCell ref="M25:M26"/>
    <mergeCell ref="M14:M15"/>
    <mergeCell ref="A1:L2"/>
    <mergeCell ref="A3:F3"/>
    <mergeCell ref="G3:H3"/>
    <mergeCell ref="I3:J3"/>
    <mergeCell ref="K3:L3"/>
  </mergeCells>
  <phoneticPr fontId="6" type="noConversion"/>
  <conditionalFormatting sqref="E1:E1048576">
    <cfRule type="duplicateValues" dxfId="2" priority="1"/>
  </conditionalFormatting>
  <conditionalFormatting sqref="M1:M25 M27:M160">
    <cfRule type="containsText" dxfId="1" priority="2" operator="containsText" text="Response ">
      <formula>NOT(ISERROR(SEARCH("Response ",M1)))</formula>
    </cfRule>
    <cfRule type="containsText" dxfId="0" priority="3" operator="containsText" text="open">
      <formula>NOT(ISERROR(SEARCH("open",M1)))</formula>
    </cfRule>
  </conditionalFormatting>
  <printOptions horizontalCentered="1" verticalCentered="1"/>
  <pageMargins left="0.25" right="0.25" top="0.75" bottom="0.75" header="0.3" footer="0.3"/>
  <pageSetup paperSize="8" scale="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d7a996-4dca-498d-b2f5-99e3050e6495">
      <Terms xmlns="http://schemas.microsoft.com/office/infopath/2007/PartnerControls"/>
    </lcf76f155ced4ddcb4097134ff3c332f>
    <TaxCatchAll xmlns="5e47dd1e-c75c-4647-a38b-2c348db83d8f" xsi:nil="true"/>
    <_Flow_SignoffStatus xmlns="85d7a996-4dca-498d-b2f5-99e3050e6495" xsi:nil="true"/>
    <_dlc_DocId xmlns="5e47dd1e-c75c-4647-a38b-2c348db83d8f">D2EH7U7SCT2D-354287951-38793</_dlc_DocId>
    <_dlc_DocIdUrl xmlns="5e47dd1e-c75c-4647-a38b-2c348db83d8f">
      <Url>https://hillintl.sharepoint.com/sites/Extranet2/RasAlHekmaProject/_layouts/15/DocIdRedir.aspx?ID=D2EH7U7SCT2D-354287951-38793</Url>
      <Description>D2EH7U7SCT2D-354287951-38793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3AFB609D59E43A64C56C7F6E0C41E" ma:contentTypeVersion="13" ma:contentTypeDescription="Create a new document." ma:contentTypeScope="" ma:versionID="81e025f90cd434c0211e1a1515787bf4">
  <xsd:schema xmlns:xsd="http://www.w3.org/2001/XMLSchema" xmlns:xs="http://www.w3.org/2001/XMLSchema" xmlns:p="http://schemas.microsoft.com/office/2006/metadata/properties" xmlns:ns2="5e47dd1e-c75c-4647-a38b-2c348db83d8f" xmlns:ns3="85d7a996-4dca-498d-b2f5-99e3050e6495" targetNamespace="http://schemas.microsoft.com/office/2006/metadata/properties" ma:root="true" ma:fieldsID="20ee018d5b1fe350feec45d17926addc" ns2:_="" ns3:_="">
    <xsd:import namespace="5e47dd1e-c75c-4647-a38b-2c348db83d8f"/>
    <xsd:import namespace="85d7a996-4dca-498d-b2f5-99e3050e64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7dd1e-c75c-4647-a38b-2c348db83d8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4a191d51-83f6-44e5-9a00-f37510eee67f}" ma:internalName="TaxCatchAll" ma:showField="CatchAllData" ma:web="5e47dd1e-c75c-4647-a38b-2c348db83d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7a996-4dca-498d-b2f5-99e3050e6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736617d-e744-49dc-8c2a-216fc45cca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947CB34-F8E3-4702-80D1-3BD752C457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2C36A9-CF1B-4242-91ED-A79FDBFBAD2F}">
  <ds:schemaRefs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85d7a996-4dca-498d-b2f5-99e3050e6495"/>
    <ds:schemaRef ds:uri="http://schemas.microsoft.com/office/2006/documentManagement/types"/>
    <ds:schemaRef ds:uri="http://schemas.microsoft.com/office/infopath/2007/PartnerControls"/>
    <ds:schemaRef ds:uri="5e47dd1e-c75c-4647-a38b-2c348db83d8f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F004892-1FA7-4EC6-9D77-BEB123EA41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47dd1e-c75c-4647-a38b-2c348db83d8f"/>
    <ds:schemaRef ds:uri="85d7a996-4dca-498d-b2f5-99e3050e64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65D992C-85DB-4B7F-99F5-84A79269900D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b344bd43-a15c-46f1-a818-f847f921129b}" enabled="0" method="" siteId="{b344bd43-a15c-46f1-a818-f847f92112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INFRA</vt:lpstr>
      <vt:lpstr>INFRA!Print_Area</vt:lpstr>
      <vt:lpstr>INFRA!Print_Titles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Elakabawy, Wael</dc:creator>
  <cp:keywords/>
  <dc:description/>
  <cp:lastModifiedBy>Elkhouly, Mohamed</cp:lastModifiedBy>
  <cp:revision/>
  <cp:lastPrinted>2026-06-17T09:21:12Z</cp:lastPrinted>
  <dcterms:created xsi:type="dcterms:W3CDTF">2015-06-05T18:17:20Z</dcterms:created>
  <dcterms:modified xsi:type="dcterms:W3CDTF">2026-10-11T10:07:04Z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0x01010013F3AFB609D59E43A64C56C7F6E0C41E</vt:lpwstr>
  </property>
  <property fmtid="{D5CDD505-2E9C-101B-9397-08002B2CF9AE}" pid="3" name="_dlc_DocIdItemGuid">
    <vt:lpwstr>54241a65-c0dc-4685-8773-af52d8deaa6e</vt:lpwstr>
  </property>
  <property fmtid="{D5CDD505-2E9C-101B-9397-08002B2CF9AE}" pid="4" name="MediaServiceImageTags">
    <vt:lpwstr/>
  </property>
</Properties>
</file>