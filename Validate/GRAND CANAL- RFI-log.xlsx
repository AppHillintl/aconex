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hillintl.sharepoint.com/sites/Extranet2/RasAlHekmaProject/Shared Documents/Departments/Document Control/000 REH-Construction Document/(3200) Grand Canal/00.03 RFI/"/>
    </mc:Choice>
  </mc:AlternateContent>
  <xr:revisionPtr revIDLastSave="223" documentId="14_{C2A94D82-9059-49BC-9AED-78E5B4090783}" xr6:coauthVersionLast="47" xr6:coauthVersionMax="47" xr10:uidLastSave="{5E8B2883-A393-4DC7-9933-A6D3F9D4CD67}"/>
  <bookViews>
    <workbookView xWindow="-108" yWindow="-108" windowWidth="23256" windowHeight="12456" xr2:uid="{00000000-000D-0000-FFFF-FFFF00000000}"/>
  </bookViews>
  <sheets>
    <sheet name="GRAND CANAL" sheetId="1" r:id="rId1"/>
  </sheets>
  <definedNames>
    <definedName name="_xlnm._FilterDatabase" localSheetId="0" hidden="1">'GRAND CANAL'!$A$4:$M$7</definedName>
    <definedName name="_xlnm.Print_Area" localSheetId="0">'GRAND CANAL'!$B$1:$N$12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N3" i="1"/>
  <c r="N2" i="1"/>
</calcChain>
</file>

<file path=xl/sharedStrings.xml><?xml version="1.0" encoding="utf-8"?>
<sst xmlns="http://schemas.openxmlformats.org/spreadsheetml/2006/main" count="63" uniqueCount="47">
  <si>
    <t>Mail No</t>
  </si>
  <si>
    <t>Subject</t>
  </si>
  <si>
    <t>Date</t>
  </si>
  <si>
    <t>CCCEGY-RFI-000001</t>
  </si>
  <si>
    <t>CCCEGY-RFI-000002</t>
  </si>
  <si>
    <t>CCCEGY-RFI-000003</t>
  </si>
  <si>
    <t>RFI No</t>
  </si>
  <si>
    <t>Dewan to  hill</t>
  </si>
  <si>
    <t>hill TO CCC</t>
  </si>
  <si>
    <t>Response </t>
  </si>
  <si>
    <t>open</t>
  </si>
  <si>
    <t>ALL</t>
  </si>
  <si>
    <t>REV</t>
  </si>
  <si>
    <t>HAC-RFI-000013</t>
  </si>
  <si>
    <t>HAC-RFI-000010</t>
  </si>
  <si>
    <t>HAC-RFI-000008</t>
  </si>
  <si>
    <t>P0801-K03200-HA-HI-GE-RFI-000003 for Hoarding purposed location Sign Board Locations at entrance of Dry Bulk Project.</t>
  </si>
  <si>
    <t>P0801-K03200-HA-HI-ST-RFI-000002 for Submission of Alternative Route Proposal with DWG &amp; KMZ Drawings for Dry Bulk Excavation.</t>
  </si>
  <si>
    <t>P0801-K03200-HA-HI-SU-RFI-000001 - Clarification of  the Grand Canal Excavation Limits</t>
  </si>
  <si>
    <t>P0801-K03200-HA-HI-GE-RFI-000003</t>
  </si>
  <si>
    <t>P0801-K03200-HA-HI-ST-RFI-000002</t>
  </si>
  <si>
    <t>P0801-K03200-HA-HI-SU-RFI-000001</t>
  </si>
  <si>
    <t>Hassan Allam TO HILL</t>
  </si>
  <si>
    <t>Hill to Hassan Allam</t>
  </si>
  <si>
    <t>HillInt-RTRFI-000230</t>
  </si>
  <si>
    <t>HillInt-RTRFI-000130</t>
  </si>
  <si>
    <t xml:space="preserve"> 21 April 2026</t>
  </si>
  <si>
    <t>Request For Information Log  For Grand Canal Project</t>
  </si>
  <si>
    <t>HillInt-RTRFI-000224</t>
  </si>
  <si>
    <t xml:space="preserve">P0801-K03200-HA-HI-GE-RFI-000004 </t>
  </si>
  <si>
    <t>HAC-RFI-000021</t>
  </si>
  <si>
    <t>P0801-K03200-HA-HI-GE-RFI-000004 For Dry Bulk Project Signage Layout &amp; Formatting At Entrance of Dry bulk Project.</t>
  </si>
  <si>
    <t>P0801-K03200-HA-HI-GE-RFI-000005</t>
  </si>
  <si>
    <t>HAC-RFI-000023</t>
  </si>
  <si>
    <t>P0801-K03200-HA-HI-GE-RFI-000005 for Dry Bulk Project Excavation Levels at Proposed Bridges Areas</t>
  </si>
  <si>
    <t>HillInt-RTRFI-000351</t>
  </si>
  <si>
    <t>HillInt-RTRFI-000360</t>
  </si>
  <si>
    <t>HAC-RFI-000031</t>
  </si>
  <si>
    <t>P0801-K03200-HA-HI-GE-RFI-000005-1 for Submission of Existing Average Levels for Bridge Locations (Right, Left &amp; Middle Directions) Rev 01</t>
  </si>
  <si>
    <t>HillInt-RTRFI-000534</t>
  </si>
  <si>
    <t>P0801-K03200-HA-HI-GE-RFI-000006</t>
  </si>
  <si>
    <t>HAC-RFI-000095</t>
  </si>
  <si>
    <t>Clarification Regarding Rock Classification (Rippable / Non-Rippable).</t>
  </si>
  <si>
    <t>HillInt-RTRFI-000838</t>
  </si>
  <si>
    <t>P0801-K03200-HA-HI-ST-RFI-000007</t>
  </si>
  <si>
    <t>HAC-RFI-000163</t>
  </si>
  <si>
    <t>Clarification of Rough Grading Level and Access Road Requirements VVIP PLOT (OD01 EAST BEACH).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</si>
</sst>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4"/>
      <color indexed="12"/>
      <name val="Calibri"/>
      <family val="2"/>
    </font>
    <font>
      <b/>
      <sz val="14"/>
      <color rgb="FF00B0F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5" fontId="0" fillId="0" borderId="6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0" xfId="0" applyFill="1"/>
    <xf numFmtId="0" fontId="0" fillId="5" borderId="7" xfId="0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5" fontId="0" fillId="0" borderId="1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view="pageBreakPreview" topLeftCell="B1" zoomScale="85" zoomScaleNormal="100" zoomScaleSheetLayoutView="85" workbookViewId="0">
      <pane ySplit="4" topLeftCell="A9" activePane="bottomLeft" state="frozen"/>
      <selection pane="bottomLeft" activeCell="H12" sqref="H12"/>
    </sheetView>
  </sheetViews>
  <sheetFormatPr defaultRowHeight="14.4" x14ac:dyDescent="0.3"/>
  <cols>
    <col min="1" max="1" width="25.109375" style="2" hidden="1" customWidth="1"/>
    <col min="2" max="2" width="37.77734375" style="2" customWidth="1"/>
    <col min="3" max="3" width="10.77734375" style="2" customWidth="1"/>
    <col min="4" max="4" width="20.21875" style="2" customWidth="1"/>
    <col min="5" max="5" width="65" style="2" customWidth="1"/>
    <col min="6" max="6" width="17.77734375" style="2" customWidth="1"/>
    <col min="7" max="7" width="22.109375" style="2" customWidth="1"/>
    <col min="8" max="8" width="17.77734375" style="2" customWidth="1"/>
    <col min="9" max="10" width="17.77734375" style="2" hidden="1" customWidth="1"/>
    <col min="11" max="11" width="19.33203125" style="2" hidden="1" customWidth="1"/>
    <col min="12" max="12" width="17.77734375" style="2" hidden="1" customWidth="1"/>
    <col min="13" max="13" width="17.5546875" style="2" customWidth="1"/>
    <col min="14" max="14" width="27" style="29" customWidth="1"/>
  </cols>
  <sheetData>
    <row r="1" spans="1:14" ht="37.200000000000003" customHeight="1" x14ac:dyDescent="0.3">
      <c r="A1" s="31" t="s">
        <v>27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14" t="s">
        <v>11</v>
      </c>
      <c r="N1" s="3">
        <f>COUNTA(M$5:M$1048576)</f>
        <v>8</v>
      </c>
    </row>
    <row r="2" spans="1:14" ht="37.200000000000003" customHeight="1" x14ac:dyDescent="0.3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15" t="s">
        <v>9</v>
      </c>
      <c r="N2" s="17">
        <f>COUNTIF(M$5:M$1048576,"Response ")</f>
        <v>7</v>
      </c>
    </row>
    <row r="3" spans="1:14" ht="37.200000000000003" customHeight="1" x14ac:dyDescent="0.3">
      <c r="A3" s="33" t="s">
        <v>22</v>
      </c>
      <c r="B3" s="33"/>
      <c r="C3" s="33"/>
      <c r="D3" s="33"/>
      <c r="E3" s="33"/>
      <c r="F3" s="33"/>
      <c r="G3" s="34" t="s">
        <v>23</v>
      </c>
      <c r="H3" s="35"/>
      <c r="I3" s="36" t="s">
        <v>7</v>
      </c>
      <c r="J3" s="37"/>
      <c r="K3" s="36" t="s">
        <v>8</v>
      </c>
      <c r="L3" s="37"/>
      <c r="M3" s="15" t="s">
        <v>10</v>
      </c>
      <c r="N3" s="17">
        <f>COUNTIF(M$5:M$1048576,"OPEN")</f>
        <v>1</v>
      </c>
    </row>
    <row r="4" spans="1:14" ht="59.4" customHeight="1" x14ac:dyDescent="0.3">
      <c r="A4" s="18" t="s">
        <v>0</v>
      </c>
      <c r="B4" s="18" t="s">
        <v>0</v>
      </c>
      <c r="C4" s="18" t="s">
        <v>12</v>
      </c>
      <c r="D4" s="19" t="s">
        <v>6</v>
      </c>
      <c r="E4" s="19" t="s">
        <v>1</v>
      </c>
      <c r="F4" s="20" t="s">
        <v>2</v>
      </c>
      <c r="G4" s="21" t="s">
        <v>0</v>
      </c>
      <c r="H4" s="22" t="s">
        <v>2</v>
      </c>
      <c r="I4" s="21" t="s">
        <v>0</v>
      </c>
      <c r="J4" s="22" t="s">
        <v>2</v>
      </c>
      <c r="K4" s="21" t="s">
        <v>0</v>
      </c>
      <c r="L4" s="22" t="s">
        <v>2</v>
      </c>
      <c r="M4" s="23"/>
      <c r="N4" s="24"/>
    </row>
    <row r="5" spans="1:14" s="12" customFormat="1" ht="46.2" customHeight="1" x14ac:dyDescent="0.3">
      <c r="A5" s="11" t="s">
        <v>5</v>
      </c>
      <c r="B5" s="25" t="s">
        <v>21</v>
      </c>
      <c r="C5" s="25">
        <v>0</v>
      </c>
      <c r="D5" s="10" t="s">
        <v>15</v>
      </c>
      <c r="E5" s="10" t="s">
        <v>18</v>
      </c>
      <c r="F5" s="9">
        <v>46115</v>
      </c>
      <c r="G5" s="7" t="s">
        <v>28</v>
      </c>
      <c r="H5" s="8" t="s">
        <v>26</v>
      </c>
      <c r="I5" s="7"/>
      <c r="J5" s="8"/>
      <c r="K5" s="26"/>
      <c r="L5" s="27"/>
      <c r="M5" s="16" t="s">
        <v>9</v>
      </c>
      <c r="N5" s="17"/>
    </row>
    <row r="6" spans="1:14" s="12" customFormat="1" ht="51.6" customHeight="1" x14ac:dyDescent="0.3">
      <c r="A6" s="13" t="s">
        <v>4</v>
      </c>
      <c r="B6" s="5" t="s">
        <v>20</v>
      </c>
      <c r="C6" s="5">
        <v>0</v>
      </c>
      <c r="D6" s="1" t="s">
        <v>14</v>
      </c>
      <c r="E6" s="1" t="s">
        <v>17</v>
      </c>
      <c r="F6" s="9">
        <v>46124</v>
      </c>
      <c r="G6" s="6" t="s">
        <v>25</v>
      </c>
      <c r="H6" s="9">
        <v>46125</v>
      </c>
      <c r="I6" s="6"/>
      <c r="J6" s="4"/>
      <c r="K6" s="28"/>
      <c r="L6" s="27"/>
      <c r="M6" s="16" t="s">
        <v>9</v>
      </c>
      <c r="N6" s="17"/>
    </row>
    <row r="7" spans="1:14" s="12" customFormat="1" ht="51.6" customHeight="1" x14ac:dyDescent="0.3">
      <c r="A7" s="13" t="s">
        <v>3</v>
      </c>
      <c r="B7" s="30" t="s">
        <v>19</v>
      </c>
      <c r="C7" s="5">
        <v>0</v>
      </c>
      <c r="D7" s="1" t="s">
        <v>13</v>
      </c>
      <c r="E7" s="1" t="s">
        <v>16</v>
      </c>
      <c r="F7" s="9">
        <v>46127</v>
      </c>
      <c r="G7" s="6" t="s">
        <v>24</v>
      </c>
      <c r="H7" s="9">
        <v>46134</v>
      </c>
      <c r="I7" s="6"/>
      <c r="J7" s="4"/>
      <c r="K7" s="28"/>
      <c r="L7" s="27"/>
      <c r="M7" s="16" t="s">
        <v>9</v>
      </c>
      <c r="N7" s="17"/>
    </row>
    <row r="8" spans="1:14" s="12" customFormat="1" ht="51.6" customHeight="1" x14ac:dyDescent="0.3">
      <c r="A8" s="13"/>
      <c r="B8" s="30" t="s">
        <v>29</v>
      </c>
      <c r="C8" s="5">
        <v>0</v>
      </c>
      <c r="D8" s="1" t="s">
        <v>30</v>
      </c>
      <c r="E8" s="1" t="s">
        <v>31</v>
      </c>
      <c r="F8" s="9">
        <v>46142</v>
      </c>
      <c r="G8" s="6" t="s">
        <v>35</v>
      </c>
      <c r="H8" s="9">
        <v>46147</v>
      </c>
      <c r="I8" s="6"/>
      <c r="J8" s="4"/>
      <c r="K8" s="28"/>
      <c r="L8" s="27"/>
      <c r="M8" s="16" t="s">
        <v>9</v>
      </c>
      <c r="N8" s="17"/>
    </row>
    <row r="9" spans="1:14" s="12" customFormat="1" ht="51.6" customHeight="1" x14ac:dyDescent="0.3">
      <c r="A9" s="13"/>
      <c r="B9" s="30" t="s">
        <v>32</v>
      </c>
      <c r="C9" s="5">
        <v>0</v>
      </c>
      <c r="D9" s="1" t="s">
        <v>33</v>
      </c>
      <c r="E9" s="1" t="s">
        <v>34</v>
      </c>
      <c r="F9" s="9">
        <v>46146</v>
      </c>
      <c r="G9" s="6" t="s">
        <v>36</v>
      </c>
      <c r="H9" s="9">
        <v>46148</v>
      </c>
      <c r="I9" s="6"/>
      <c r="J9" s="4"/>
      <c r="K9" s="28"/>
      <c r="L9" s="27"/>
      <c r="M9" s="16" t="s">
        <v>9</v>
      </c>
      <c r="N9" s="17"/>
    </row>
    <row r="10" spans="1:14" s="12" customFormat="1" ht="51.6" customHeight="1" x14ac:dyDescent="0.3">
      <c r="A10" s="13"/>
      <c r="B10" s="30" t="s">
        <v>32</v>
      </c>
      <c r="C10" s="5">
        <v>1</v>
      </c>
      <c r="D10" s="1" t="s">
        <v>37</v>
      </c>
      <c r="E10" s="1" t="s">
        <v>38</v>
      </c>
      <c r="F10" s="9">
        <v>46156</v>
      </c>
      <c r="G10" s="6" t="s">
        <v>39</v>
      </c>
      <c r="H10" s="9">
        <v>46184</v>
      </c>
      <c r="I10" s="6"/>
      <c r="J10" s="4"/>
      <c r="K10" s="28"/>
      <c r="L10" s="27"/>
      <c r="M10" s="16" t="s">
        <v>9</v>
      </c>
      <c r="N10" s="17"/>
    </row>
    <row r="11" spans="1:14" s="12" customFormat="1" ht="51.6" customHeight="1" x14ac:dyDescent="0.3">
      <c r="A11" s="13"/>
      <c r="B11" s="30" t="s">
        <v>40</v>
      </c>
      <c r="C11" s="5">
        <v>0</v>
      </c>
      <c r="D11" s="1" t="s">
        <v>41</v>
      </c>
      <c r="E11" s="1" t="s">
        <v>42</v>
      </c>
      <c r="F11" s="9">
        <v>46212</v>
      </c>
      <c r="G11" s="6" t="s">
        <v>43</v>
      </c>
      <c r="H11" s="9">
        <v>46224</v>
      </c>
      <c r="I11" s="6"/>
      <c r="J11" s="4"/>
      <c r="K11" s="28"/>
      <c r="L11" s="27"/>
      <c r="M11" s="16" t="s">
        <v>9</v>
      </c>
      <c r="N11" s="17"/>
    </row>
    <row r="12" spans="1:14" s="12" customFormat="1" ht="51.6" customHeight="1" x14ac:dyDescent="0.3">
      <c r="A12" s="13"/>
      <c r="B12" s="30" t="s">
        <v>44</v>
      </c>
      <c r="C12" s="5">
        <v>0</v>
      </c>
      <c r="D12" s="1" t="s">
        <v>45</v>
      </c>
      <c r="E12" s="1" t="s">
        <v>46</v>
      </c>
      <c r="F12" s="9">
        <v>46251</v>
      </c>
      <c r="G12" s="6"/>
      <c r="H12" s="9"/>
      <c r="I12" s="6"/>
      <c r="J12" s="4"/>
      <c r="K12" s="28"/>
      <c r="L12" s="27"/>
      <c r="M12" s="16" t="s">
        <v>10</v>
      </c>
      <c r="N12" s="17"/>
    </row>
  </sheetData>
  <autoFilter ref="A4:M7" xr:uid="{00000000-0001-0000-0000-000000000000}"/>
  <mergeCells count="5">
    <mergeCell ref="A1:L2"/>
    <mergeCell ref="A3:F3"/>
    <mergeCell ref="G3:H3"/>
    <mergeCell ref="I3:J3"/>
    <mergeCell ref="K3:L3"/>
  </mergeCells>
  <phoneticPr fontId="6" type="noConversion"/>
  <conditionalFormatting sqref="M1:M12">
    <cfRule type="containsText" dxfId="1" priority="1" operator="containsText" text="Response ">
      <formula>NOT(ISERROR(SEARCH("Response ",M1)))</formula>
    </cfRule>
    <cfRule type="containsText" dxfId="0" priority="2" operator="containsText" text="open">
      <formula>NOT(ISERROR(SEARCH("open",M1)))</formula>
    </cfRule>
  </conditionalFormatting>
  <pageMargins left="0.7" right="0.7" top="0.75" bottom="0.75" header="0.3" footer="0.3"/>
  <pageSetup paperSize="9" scale="33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3AFB609D59E43A64C56C7F6E0C41E" ma:contentTypeVersion="12" ma:contentTypeDescription="Create a new document." ma:contentTypeScope="" ma:versionID="fed63824a6a989033a5048df53479d9b">
  <xsd:schema xmlns:xsd="http://www.w3.org/2001/XMLSchema" xmlns:xs="http://www.w3.org/2001/XMLSchema" xmlns:p="http://schemas.microsoft.com/office/2006/metadata/properties" xmlns:ns2="5e47dd1e-c75c-4647-a38b-2c348db83d8f" xmlns:ns3="85d7a996-4dca-498d-b2f5-99e3050e6495" targetNamespace="http://schemas.microsoft.com/office/2006/metadata/properties" ma:root="true" ma:fieldsID="595cd295e644bda45468008525918e56" ns2:_="" ns3:_="">
    <xsd:import namespace="5e47dd1e-c75c-4647-a38b-2c348db83d8f"/>
    <xsd:import namespace="85d7a996-4dca-498d-b2f5-99e3050e649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7dd1e-c75c-4647-a38b-2c348db83d8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4a191d51-83f6-44e5-9a00-f37510eee67f}" ma:internalName="TaxCatchAll" ma:showField="CatchAllData" ma:web="5e47dd1e-c75c-4647-a38b-2c348db83d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7a996-4dca-498d-b2f5-99e3050e6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736617d-e744-49dc-8c2a-216fc45cca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e47dd1e-c75c-4647-a38b-2c348db83d8f">D2EH7U7SCT2D-354287951-39504</_dlc_DocId>
    <_Flow_SignoffStatus xmlns="85d7a996-4dca-498d-b2f5-99e3050e6495" xsi:nil="true"/>
    <_dlc_DocIdUrl xmlns="5e47dd1e-c75c-4647-a38b-2c348db83d8f">
      <Url>https://hillintl.sharepoint.com/sites/Extranet2/RasAlHekmaProject/_layouts/15/DocIdRedir.aspx?ID=D2EH7U7SCT2D-354287951-39504</Url>
      <Description>D2EH7U7SCT2D-354287951-39504</Description>
    </_dlc_DocIdUrl>
    <lcf76f155ced4ddcb4097134ff3c332f xmlns="85d7a996-4dca-498d-b2f5-99e3050e6495">
      <Terms xmlns="http://schemas.microsoft.com/office/infopath/2007/PartnerControls"/>
    </lcf76f155ced4ddcb4097134ff3c332f>
    <TaxCatchAll xmlns="5e47dd1e-c75c-4647-a38b-2c348db83d8f" xsi:nil="true"/>
  </documentManagement>
</p:properties>
</file>

<file path=customXml/itemProps1.xml><?xml version="1.0" encoding="utf-8"?>
<ds:datastoreItem xmlns:ds="http://schemas.openxmlformats.org/officeDocument/2006/customXml" ds:itemID="{7F6B9A92-21E8-4F94-9C2D-81ACAE1410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47dd1e-c75c-4647-a38b-2c348db83d8f"/>
    <ds:schemaRef ds:uri="85d7a996-4dca-498d-b2f5-99e3050e64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FD821F-BD95-4AA9-BACA-3293E468E5C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AB98C88-F794-4D4F-AA6A-B466826FA1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8B73A18-ABA8-4440-A391-374373BB83DF}">
  <ds:schemaRefs>
    <ds:schemaRef ds:uri="http://schemas.microsoft.com/office/2006/metadata/properties"/>
    <ds:schemaRef ds:uri="http://schemas.microsoft.com/office/infopath/2007/PartnerControls"/>
    <ds:schemaRef ds:uri="5e47dd1e-c75c-4647-a38b-2c348db83d8f"/>
    <ds:schemaRef ds:uri="85d7a996-4dca-498d-b2f5-99e3050e6495"/>
  </ds:schemaRefs>
</ds:datastoreItem>
</file>

<file path=docMetadata/LabelInfo.xml><?xml version="1.0" encoding="utf-8"?>
<clbl:labelList xmlns:clbl="http://schemas.microsoft.com/office/2020/mipLabelMetadata">
  <clbl:label id="{b344bd43-a15c-46f1-a818-f847f921129b}" enabled="0" method="" siteId="{b344bd43-a15c-46f1-a818-f847f92112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GRAND CANAL</vt:lpstr>
      <vt:lpstr>'GRAND CANAL'!Print_Area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Elakabawy, Wael</dc:creator>
  <cp:lastModifiedBy>Elkhouly, Mohamed</cp:lastModifiedBy>
  <dcterms:created xsi:type="dcterms:W3CDTF">2015-06-05T18:17:20Z</dcterms:created>
  <dcterms:modified xsi:type="dcterms:W3CDTF">2026-08-17T10:10:08Z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0x01010013F3AFB609D59E43A64C56C7F6E0C41E</vt:lpwstr>
  </property>
  <property fmtid="{D5CDD505-2E9C-101B-9397-08002B2CF9AE}" pid="3" name="_dlc_DocIdItemGuid">
    <vt:lpwstr>cbcd039f-8e4e-4d0b-95bf-7cbecb233a19</vt:lpwstr>
  </property>
  <property fmtid="{D5CDD505-2E9C-101B-9397-08002B2CF9AE}" pid="4" name="MediaServiceImageTags">
    <vt:lpwstr/>
  </property>
</Properties>
</file>