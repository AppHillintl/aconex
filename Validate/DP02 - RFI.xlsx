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K3149) DP02/00.03 RFI/"/>
    </mc:Choice>
  </mc:AlternateContent>
  <xr:revisionPtr revIDLastSave="7298" documentId="13_ncr:1_{37F76129-E286-4B48-93F3-EE9541E68720}" xr6:coauthVersionLast="47" xr6:coauthVersionMax="47" xr10:uidLastSave="{5664D5AE-2299-4D3C-9CCD-57C4BACF3E97}"/>
  <bookViews>
    <workbookView xWindow="-108" yWindow="-108" windowWidth="23256" windowHeight="12456" xr2:uid="{00000000-000D-0000-FFFF-FFFF00000000}"/>
  </bookViews>
  <sheets>
    <sheet name="DP02" sheetId="1" r:id="rId1"/>
  </sheets>
  <definedNames>
    <definedName name="_xlnm._FilterDatabase" localSheetId="0" hidden="1">'DP02'!$B$4:$P$614</definedName>
    <definedName name="_xlnm.Print_Area" localSheetId="0">'DP02'!$A$1:$P$614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6" i="1" l="1"/>
  <c r="N616" i="1"/>
  <c r="I615" i="1"/>
  <c r="N615" i="1"/>
  <c r="I417" i="1"/>
  <c r="I614" i="1"/>
  <c r="N614" i="1"/>
  <c r="N613" i="1"/>
  <c r="I613" i="1"/>
  <c r="N612" i="1"/>
  <c r="I612" i="1"/>
  <c r="I611" i="1"/>
  <c r="N611" i="1"/>
  <c r="I610" i="1"/>
  <c r="N610" i="1"/>
  <c r="I609" i="1"/>
  <c r="N609" i="1"/>
  <c r="I608" i="1"/>
  <c r="N608" i="1"/>
  <c r="I607" i="1"/>
  <c r="N607" i="1"/>
  <c r="I606" i="1"/>
  <c r="N606" i="1"/>
  <c r="I605" i="1"/>
  <c r="N605" i="1"/>
  <c r="I604" i="1"/>
  <c r="N604" i="1"/>
  <c r="I603" i="1" l="1"/>
  <c r="N603" i="1"/>
  <c r="N602" i="1"/>
  <c r="I602" i="1"/>
  <c r="N601" i="1"/>
  <c r="I601" i="1"/>
  <c r="I600" i="1"/>
  <c r="N600" i="1"/>
  <c r="I445" i="1"/>
  <c r="N398" i="1"/>
  <c r="I599" i="1"/>
  <c r="N599" i="1"/>
  <c r="I598" i="1"/>
  <c r="N598" i="1"/>
  <c r="I597" i="1"/>
  <c r="N597" i="1"/>
  <c r="I596" i="1"/>
  <c r="N596" i="1"/>
  <c r="I595" i="1"/>
  <c r="N595" i="1"/>
  <c r="I594" i="1"/>
  <c r="N594" i="1"/>
  <c r="I593" i="1"/>
  <c r="N593" i="1"/>
  <c r="I592" i="1"/>
  <c r="N592" i="1"/>
  <c r="I591" i="1"/>
  <c r="N591" i="1"/>
  <c r="I590" i="1"/>
  <c r="N590" i="1"/>
  <c r="I398" i="1"/>
  <c r="N390" i="1"/>
  <c r="I390" i="1"/>
  <c r="I589" i="1"/>
  <c r="N589" i="1"/>
  <c r="I588" i="1"/>
  <c r="N588" i="1"/>
  <c r="I587" i="1"/>
  <c r="N587" i="1"/>
  <c r="I586" i="1"/>
  <c r="N586" i="1"/>
  <c r="I585" i="1"/>
  <c r="N585" i="1"/>
  <c r="I584" i="1"/>
  <c r="N584" i="1"/>
  <c r="I583" i="1"/>
  <c r="N583" i="1"/>
  <c r="I582" i="1"/>
  <c r="N582" i="1"/>
  <c r="I581" i="1"/>
  <c r="N581" i="1"/>
  <c r="I580" i="1"/>
  <c r="N580" i="1"/>
  <c r="N579" i="1"/>
  <c r="I579" i="1"/>
  <c r="I578" i="1"/>
  <c r="N578" i="1"/>
  <c r="I577" i="1"/>
  <c r="N577" i="1"/>
  <c r="I576" i="1"/>
  <c r="N576" i="1"/>
  <c r="I575" i="1"/>
  <c r="N575" i="1"/>
  <c r="I574" i="1"/>
  <c r="N574" i="1"/>
  <c r="I573" i="1"/>
  <c r="N573" i="1"/>
  <c r="I572" i="1"/>
  <c r="N572" i="1"/>
  <c r="I571" i="1"/>
  <c r="N571" i="1"/>
  <c r="I570" i="1"/>
  <c r="N570" i="1"/>
  <c r="I569" i="1"/>
  <c r="N569" i="1"/>
  <c r="N564" i="1"/>
  <c r="N565" i="1"/>
  <c r="N566" i="1"/>
  <c r="N567" i="1"/>
  <c r="N568" i="1"/>
  <c r="I568" i="1"/>
  <c r="I567" i="1"/>
  <c r="I566" i="1"/>
  <c r="I565" i="1"/>
  <c r="I564" i="1"/>
  <c r="I563" i="1"/>
  <c r="N276" i="1"/>
  <c r="N437" i="1"/>
  <c r="N405" i="1"/>
  <c r="N385" i="1"/>
  <c r="I531" i="1"/>
  <c r="I276" i="1" l="1"/>
  <c r="I437" i="1"/>
  <c r="I562" i="1"/>
  <c r="I561" i="1"/>
  <c r="I560" i="1"/>
  <c r="I559" i="1"/>
  <c r="N563" i="1"/>
  <c r="N562" i="1"/>
  <c r="N561" i="1"/>
  <c r="N560" i="1"/>
  <c r="N559" i="1"/>
  <c r="N558" i="1"/>
  <c r="N557" i="1"/>
  <c r="I558" i="1"/>
  <c r="I557" i="1"/>
  <c r="I405" i="1" l="1"/>
  <c r="I385" i="1"/>
  <c r="N347" i="1"/>
  <c r="I556" i="1"/>
  <c r="N554" i="1"/>
  <c r="N555" i="1"/>
  <c r="N556" i="1"/>
  <c r="I347" i="1"/>
  <c r="I555" i="1"/>
  <c r="I554" i="1"/>
  <c r="N509" i="1"/>
  <c r="I553" i="1"/>
  <c r="N553" i="1"/>
  <c r="I552" i="1"/>
  <c r="N552" i="1"/>
  <c r="I551" i="1"/>
  <c r="N551" i="1"/>
  <c r="I550" i="1"/>
  <c r="N550" i="1"/>
  <c r="I549" i="1"/>
  <c r="N549" i="1"/>
  <c r="I548" i="1"/>
  <c r="N548" i="1"/>
  <c r="I547" i="1"/>
  <c r="N547" i="1"/>
  <c r="I546" i="1"/>
  <c r="N546" i="1"/>
  <c r="I545" i="1"/>
  <c r="I544" i="1"/>
  <c r="I509" i="1"/>
  <c r="I543" i="1"/>
  <c r="I542" i="1"/>
  <c r="I541" i="1"/>
  <c r="N545" i="1"/>
  <c r="N544" i="1"/>
  <c r="N543" i="1"/>
  <c r="N542" i="1"/>
  <c r="N541" i="1"/>
  <c r="I540" i="1"/>
  <c r="N540" i="1"/>
  <c r="N535" i="1"/>
  <c r="N536" i="1"/>
  <c r="N537" i="1"/>
  <c r="N538" i="1"/>
  <c r="N539" i="1"/>
  <c r="I539" i="1"/>
  <c r="I538" i="1"/>
  <c r="I537" i="1"/>
  <c r="I536" i="1"/>
  <c r="I535" i="1"/>
  <c r="I534" i="1"/>
  <c r="I533" i="1"/>
  <c r="I532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274" i="1"/>
  <c r="N436" i="1"/>
  <c r="I274" i="1"/>
  <c r="I530" i="1"/>
  <c r="I529" i="1"/>
  <c r="I528" i="1"/>
  <c r="I527" i="1"/>
  <c r="I526" i="1"/>
  <c r="N463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N514" i="1"/>
  <c r="I483" i="1"/>
  <c r="I482" i="1"/>
  <c r="I513" i="1"/>
  <c r="N511" i="1"/>
  <c r="N512" i="1"/>
  <c r="N513" i="1"/>
  <c r="N510" i="1"/>
  <c r="N508" i="1"/>
  <c r="N507" i="1"/>
  <c r="N506" i="1"/>
  <c r="N505" i="1"/>
  <c r="N504" i="1"/>
  <c r="N503" i="1"/>
  <c r="N502" i="1"/>
  <c r="N501" i="1"/>
  <c r="N500" i="1"/>
  <c r="N499" i="1"/>
  <c r="N498" i="1"/>
  <c r="N493" i="1"/>
  <c r="N492" i="1"/>
  <c r="I512" i="1"/>
  <c r="I511" i="1"/>
  <c r="I510" i="1"/>
  <c r="I508" i="1"/>
  <c r="I507" i="1"/>
  <c r="I436" i="1"/>
  <c r="I506" i="1"/>
  <c r="I505" i="1"/>
  <c r="I463" i="1"/>
  <c r="I504" i="1"/>
  <c r="I502" i="1"/>
  <c r="I501" i="1"/>
  <c r="I500" i="1"/>
  <c r="I503" i="1"/>
  <c r="I499" i="1"/>
  <c r="I498" i="1"/>
  <c r="I497" i="1"/>
  <c r="N497" i="1"/>
  <c r="N496" i="1"/>
  <c r="I496" i="1"/>
  <c r="N495" i="1"/>
  <c r="I495" i="1"/>
  <c r="N494" i="1"/>
  <c r="I494" i="1"/>
  <c r="I493" i="1"/>
  <c r="N489" i="1"/>
  <c r="N490" i="1"/>
  <c r="N491" i="1"/>
  <c r="I489" i="1"/>
  <c r="I490" i="1"/>
  <c r="I491" i="1"/>
  <c r="I492" i="1"/>
  <c r="I484" i="1" l="1"/>
  <c r="I485" i="1"/>
  <c r="I486" i="1"/>
  <c r="I487" i="1"/>
  <c r="I488" i="1"/>
  <c r="N482" i="1"/>
  <c r="N483" i="1"/>
  <c r="N484" i="1"/>
  <c r="N485" i="1"/>
  <c r="N486" i="1"/>
  <c r="N487" i="1"/>
  <c r="N488" i="1"/>
  <c r="N481" i="1"/>
  <c r="I481" i="1"/>
  <c r="N480" i="1"/>
  <c r="I480" i="1"/>
  <c r="N479" i="1"/>
  <c r="I479" i="1"/>
  <c r="N442" i="1"/>
  <c r="I442" i="1"/>
  <c r="I478" i="1"/>
  <c r="N478" i="1"/>
  <c r="N477" i="1" l="1"/>
  <c r="I477" i="1"/>
  <c r="N472" i="1"/>
  <c r="N473" i="1"/>
  <c r="N474" i="1"/>
  <c r="N475" i="1"/>
  <c r="N476" i="1"/>
  <c r="I472" i="1"/>
  <c r="I473" i="1"/>
  <c r="I474" i="1"/>
  <c r="I475" i="1"/>
  <c r="I476" i="1"/>
  <c r="N470" i="1"/>
  <c r="N471" i="1"/>
  <c r="I470" i="1"/>
  <c r="I471" i="1"/>
  <c r="N443" i="1"/>
  <c r="N444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4" i="1"/>
  <c r="N465" i="1"/>
  <c r="N466" i="1"/>
  <c r="N467" i="1"/>
  <c r="N468" i="1"/>
  <c r="N469" i="1"/>
  <c r="I441" i="1"/>
  <c r="I443" i="1"/>
  <c r="I444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4" i="1"/>
  <c r="I465" i="1"/>
  <c r="I466" i="1"/>
  <c r="I467" i="1"/>
  <c r="I468" i="1"/>
  <c r="I469" i="1"/>
  <c r="N355" i="1"/>
  <c r="I355" i="1"/>
  <c r="I440" i="1"/>
  <c r="I439" i="1"/>
  <c r="I438" i="1"/>
  <c r="I435" i="1"/>
  <c r="I433" i="1"/>
  <c r="I431" i="1"/>
  <c r="I430" i="1"/>
  <c r="I429" i="1"/>
  <c r="I428" i="1"/>
  <c r="I427" i="1"/>
  <c r="I426" i="1"/>
  <c r="I423" i="1"/>
  <c r="I422" i="1"/>
  <c r="I421" i="1"/>
  <c r="I420" i="1"/>
  <c r="I419" i="1"/>
  <c r="I418" i="1"/>
  <c r="I416" i="1"/>
  <c r="I415" i="1"/>
  <c r="I414" i="1"/>
  <c r="I413" i="1"/>
  <c r="I412" i="1"/>
  <c r="I411" i="1"/>
  <c r="I410" i="1"/>
  <c r="I409" i="1"/>
  <c r="I406" i="1"/>
  <c r="I404" i="1"/>
  <c r="I401" i="1"/>
  <c r="I400" i="1"/>
  <c r="I399" i="1"/>
  <c r="I392" i="1"/>
  <c r="I389" i="1"/>
  <c r="I388" i="1"/>
  <c r="I387" i="1"/>
  <c r="I386" i="1"/>
  <c r="I384" i="1"/>
  <c r="I374" i="1"/>
  <c r="I350" i="1"/>
  <c r="I348" i="1"/>
  <c r="I342" i="1"/>
  <c r="I339" i="1"/>
  <c r="I288" i="1"/>
  <c r="I286" i="1"/>
  <c r="I281" i="1"/>
  <c r="I279" i="1"/>
  <c r="N441" i="1"/>
  <c r="N440" i="1"/>
  <c r="N439" i="1"/>
  <c r="N438" i="1"/>
  <c r="N435" i="1"/>
  <c r="N433" i="1"/>
  <c r="N431" i="1"/>
  <c r="N429" i="1"/>
  <c r="N428" i="1"/>
  <c r="N427" i="1"/>
  <c r="N426" i="1"/>
  <c r="N423" i="1"/>
  <c r="N422" i="1"/>
  <c r="N421" i="1"/>
  <c r="N420" i="1"/>
  <c r="N419" i="1"/>
  <c r="N418" i="1"/>
  <c r="N416" i="1"/>
  <c r="N415" i="1"/>
  <c r="N414" i="1"/>
  <c r="N413" i="1"/>
  <c r="N412" i="1"/>
  <c r="N411" i="1"/>
  <c r="N410" i="1"/>
  <c r="N409" i="1"/>
  <c r="N406" i="1"/>
  <c r="N404" i="1"/>
  <c r="N401" i="1"/>
  <c r="N400" i="1"/>
  <c r="N399" i="1"/>
  <c r="N392" i="1"/>
  <c r="N389" i="1"/>
  <c r="N388" i="1"/>
  <c r="N387" i="1"/>
  <c r="N386" i="1"/>
  <c r="N384" i="1"/>
  <c r="N374" i="1"/>
  <c r="N350" i="1"/>
  <c r="N348" i="1"/>
  <c r="N342" i="1"/>
  <c r="N339" i="1"/>
  <c r="N288" i="1"/>
  <c r="N286" i="1"/>
  <c r="N281" i="1"/>
  <c r="N279" i="1"/>
  <c r="N278" i="1"/>
  <c r="N275" i="1"/>
  <c r="N18" i="1"/>
  <c r="N273" i="1"/>
  <c r="N277" i="1"/>
  <c r="N280" i="1"/>
  <c r="I273" i="1"/>
  <c r="I275" i="1"/>
  <c r="I277" i="1"/>
  <c r="I278" i="1"/>
  <c r="I280" i="1"/>
  <c r="N432" i="1" l="1"/>
  <c r="N434" i="1"/>
  <c r="I432" i="1"/>
  <c r="I434" i="1"/>
  <c r="I424" i="1"/>
  <c r="I425" i="1"/>
  <c r="N424" i="1"/>
  <c r="N425" i="1"/>
  <c r="I391" i="1"/>
  <c r="I393" i="1"/>
  <c r="I394" i="1"/>
  <c r="I395" i="1"/>
  <c r="I396" i="1"/>
  <c r="I397" i="1"/>
  <c r="I402" i="1"/>
  <c r="I375" i="1"/>
  <c r="I403" i="1"/>
  <c r="I407" i="1"/>
  <c r="I408" i="1"/>
  <c r="N373" i="1"/>
  <c r="I373" i="1"/>
  <c r="N408" i="1"/>
  <c r="N407" i="1"/>
  <c r="N372" i="1"/>
  <c r="I372" i="1"/>
  <c r="N344" i="1"/>
  <c r="I344" i="1"/>
  <c r="N343" i="1"/>
  <c r="I343" i="1"/>
  <c r="N375" i="1"/>
  <c r="N358" i="1"/>
  <c r="I358" i="1"/>
  <c r="I357" i="1"/>
  <c r="N357" i="1"/>
  <c r="I356" i="1"/>
  <c r="N356" i="1"/>
  <c r="I354" i="1"/>
  <c r="N354" i="1"/>
  <c r="I353" i="1"/>
  <c r="N353" i="1"/>
  <c r="N352" i="1"/>
  <c r="I352" i="1"/>
  <c r="N346" i="1"/>
  <c r="I346" i="1"/>
  <c r="N341" i="1"/>
  <c r="I341" i="1"/>
  <c r="N403" i="1"/>
  <c r="N402" i="1"/>
  <c r="N271" i="1"/>
  <c r="I271" i="1"/>
  <c r="N396" i="1"/>
  <c r="N395" i="1"/>
  <c r="N397" i="1"/>
  <c r="N391" i="1"/>
  <c r="N394" i="1"/>
  <c r="N393" i="1"/>
  <c r="N382" i="1"/>
  <c r="N383" i="1"/>
  <c r="I382" i="1"/>
  <c r="I383" i="1"/>
  <c r="I378" i="1"/>
  <c r="N378" i="1"/>
  <c r="I381" i="1"/>
  <c r="N381" i="1"/>
  <c r="N377" i="1"/>
  <c r="N379" i="1"/>
  <c r="N380" i="1"/>
  <c r="I380" i="1"/>
  <c r="I379" i="1"/>
  <c r="I377" i="1"/>
  <c r="I376" i="1"/>
  <c r="N376" i="1"/>
  <c r="I371" i="1"/>
  <c r="N371" i="1"/>
  <c r="N333" i="1"/>
  <c r="I333" i="1"/>
  <c r="N332" i="1"/>
  <c r="I332" i="1"/>
  <c r="I331" i="1"/>
  <c r="N331" i="1"/>
  <c r="N330" i="1"/>
  <c r="I330" i="1"/>
  <c r="I329" i="1"/>
  <c r="N329" i="1"/>
  <c r="I328" i="1"/>
  <c r="N328" i="1"/>
  <c r="N327" i="1"/>
  <c r="I327" i="1"/>
  <c r="N326" i="1"/>
  <c r="I326" i="1"/>
  <c r="N370" i="1"/>
  <c r="I370" i="1"/>
  <c r="N369" i="1"/>
  <c r="I369" i="1"/>
  <c r="N368" i="1"/>
  <c r="I368" i="1"/>
  <c r="N367" i="1"/>
  <c r="I367" i="1"/>
  <c r="N366" i="1"/>
  <c r="I366" i="1"/>
  <c r="N365" i="1"/>
  <c r="I365" i="1"/>
  <c r="N364" i="1"/>
  <c r="I364" i="1"/>
  <c r="N363" i="1"/>
  <c r="I363" i="1"/>
  <c r="N362" i="1"/>
  <c r="I362" i="1"/>
  <c r="N361" i="1"/>
  <c r="I361" i="1"/>
  <c r="N360" i="1"/>
  <c r="I360" i="1"/>
  <c r="N345" i="1"/>
  <c r="N349" i="1"/>
  <c r="N351" i="1"/>
  <c r="N359" i="1"/>
  <c r="I359" i="1"/>
  <c r="I351" i="1"/>
  <c r="N340" i="1"/>
  <c r="N56" i="1"/>
  <c r="I55" i="1"/>
  <c r="I336" i="1"/>
  <c r="N336" i="1"/>
  <c r="N338" i="1"/>
  <c r="I338" i="1"/>
  <c r="I345" i="1"/>
  <c r="I349" i="1"/>
  <c r="I340" i="1"/>
  <c r="I335" i="1"/>
  <c r="I337" i="1"/>
  <c r="N337" i="1"/>
  <c r="N335" i="1"/>
  <c r="I334" i="1"/>
  <c r="I324" i="1"/>
  <c r="I325" i="1"/>
  <c r="N293" i="1"/>
  <c r="I294" i="1"/>
  <c r="N294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2" i="1"/>
  <c r="N282" i="1"/>
  <c r="N283" i="1"/>
  <c r="N284" i="1"/>
  <c r="N285" i="1"/>
  <c r="N287" i="1"/>
  <c r="N289" i="1"/>
  <c r="N290" i="1"/>
  <c r="N291" i="1"/>
  <c r="N292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34" i="1"/>
  <c r="N19" i="1"/>
  <c r="N6" i="1"/>
  <c r="N7" i="1"/>
  <c r="N8" i="1"/>
  <c r="N9" i="1"/>
  <c r="N10" i="1"/>
  <c r="N11" i="1"/>
  <c r="N12" i="1"/>
  <c r="N13" i="1"/>
  <c r="N14" i="1"/>
  <c r="N15" i="1"/>
  <c r="N16" i="1"/>
  <c r="N17" i="1"/>
  <c r="N5" i="1"/>
  <c r="I323" i="1"/>
  <c r="I322" i="1"/>
  <c r="I321" i="1"/>
  <c r="I320" i="1"/>
  <c r="I319" i="1"/>
  <c r="I318" i="1"/>
  <c r="I317" i="1"/>
  <c r="I316" i="1"/>
  <c r="I251" i="1"/>
  <c r="I315" i="1"/>
  <c r="I313" i="1"/>
  <c r="I312" i="1"/>
  <c r="I311" i="1"/>
  <c r="I310" i="1"/>
  <c r="I309" i="1"/>
  <c r="I308" i="1"/>
  <c r="I307" i="1"/>
  <c r="I87" i="1"/>
  <c r="I289" i="1"/>
  <c r="I302" i="1"/>
  <c r="I303" i="1"/>
  <c r="I304" i="1"/>
  <c r="I305" i="1"/>
  <c r="I306" i="1"/>
  <c r="I314" i="1"/>
  <c r="I301" i="1"/>
  <c r="I300" i="1"/>
  <c r="I299" i="1"/>
  <c r="I293" i="1"/>
  <c r="I292" i="1"/>
  <c r="I282" i="1"/>
  <c r="I284" i="1"/>
  <c r="I285" i="1"/>
  <c r="I287" i="1"/>
  <c r="I290" i="1"/>
  <c r="I263" i="1"/>
  <c r="I283" i="1"/>
  <c r="I297" i="1"/>
  <c r="I298" i="1"/>
  <c r="I296" i="1"/>
  <c r="I295" i="1"/>
  <c r="I291" i="1"/>
  <c r="I262" i="1" l="1"/>
  <c r="I261" i="1"/>
  <c r="I270" i="1"/>
  <c r="I272" i="1"/>
  <c r="I266" i="1"/>
  <c r="I265" i="1"/>
  <c r="I264" i="1"/>
  <c r="I259" i="1"/>
  <c r="I260" i="1"/>
  <c r="I228" i="1"/>
  <c r="I245" i="1"/>
  <c r="I269" i="1"/>
  <c r="I268" i="1"/>
  <c r="I267" i="1"/>
  <c r="I258" i="1"/>
  <c r="I256" i="1"/>
  <c r="I249" i="1"/>
  <c r="I255" i="1"/>
  <c r="I254" i="1"/>
  <c r="I253" i="1"/>
  <c r="I252" i="1"/>
  <c r="I250" i="1"/>
  <c r="I246" i="1"/>
  <c r="I244" i="1"/>
  <c r="I243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7" i="1"/>
  <c r="I248" i="1"/>
  <c r="I257" i="1"/>
  <c r="I200" i="1"/>
  <c r="I207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1" i="1"/>
  <c r="I202" i="1"/>
  <c r="I203" i="1"/>
  <c r="I204" i="1"/>
  <c r="I205" i="1"/>
  <c r="I186" i="1"/>
  <c r="I178" i="1"/>
  <c r="I179" i="1"/>
  <c r="I180" i="1"/>
  <c r="I181" i="1"/>
  <c r="I182" i="1"/>
  <c r="I183" i="1"/>
  <c r="I184" i="1"/>
  <c r="I185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52" i="1"/>
  <c r="I153" i="1"/>
  <c r="I154" i="1"/>
  <c r="I155" i="1"/>
  <c r="I156" i="1"/>
  <c r="I157" i="1"/>
  <c r="I158" i="1"/>
  <c r="I43" i="1"/>
  <c r="I6" i="1"/>
  <c r="I7" i="1"/>
  <c r="I8" i="1"/>
  <c r="I9" i="1"/>
  <c r="I10" i="1"/>
  <c r="I11" i="1"/>
  <c r="I12" i="1"/>
  <c r="I13" i="1"/>
  <c r="I14" i="1"/>
  <c r="I15" i="1"/>
  <c r="I16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5" i="1"/>
  <c r="I206" i="1"/>
  <c r="I177" i="1"/>
  <c r="I159" i="1"/>
  <c r="I151" i="1"/>
  <c r="P1" i="1" l="1"/>
  <c r="P3" i="1"/>
  <c r="P2" i="1"/>
</calcChain>
</file>

<file path=xl/sharedStrings.xml><?xml version="1.0" encoding="utf-8"?>
<sst xmlns="http://schemas.openxmlformats.org/spreadsheetml/2006/main" count="4228" uniqueCount="3503">
  <si>
    <t>Request For Information Log  form DP02 Project</t>
  </si>
  <si>
    <t>ALL</t>
  </si>
  <si>
    <t>Response </t>
  </si>
  <si>
    <t>CCC TO HILL</t>
  </si>
  <si>
    <t>Hill to Dewan</t>
  </si>
  <si>
    <t>Dewan to  hill</t>
  </si>
  <si>
    <t>hill TO CCC</t>
  </si>
  <si>
    <t>Open</t>
  </si>
  <si>
    <t>Mail No</t>
  </si>
  <si>
    <t>RFI No</t>
  </si>
  <si>
    <t>Rev.</t>
  </si>
  <si>
    <t>Subject</t>
  </si>
  <si>
    <t>Date</t>
  </si>
  <si>
    <t>CCCEGY-RFI-000001</t>
  </si>
  <si>
    <t>REH-P1003-K03149-CRJ-RFI-CW-0001-00</t>
  </si>
  <si>
    <t>RFI No.: REH-P1003-K03149-CRJ-RFI-CW-0001-00, Missing Structural Analysis Model</t>
  </si>
  <si>
    <t>HillInt-RTRFI-000003</t>
  </si>
  <si>
    <t>CCCEGY-RFI-000002</t>
  </si>
  <si>
    <t>REH-P1003-K03149-CRJ-RFI-CW-0002-00</t>
  </si>
  <si>
    <t>REH-P1003-K03149-CRJ-RFI-CW-0002-00, Difference between Tender SPECS and IFC SPECS</t>
  </si>
  <si>
    <t>HillInt-RTRFI-000033</t>
  </si>
  <si>
    <t>HillInt-RTRFI-000037</t>
  </si>
  <si>
    <t>CCCEGY-RFI-000003</t>
  </si>
  <si>
    <t>REH-P1003-K03149-CRJ-RFI-EL-0003-00</t>
  </si>
  <si>
    <t>REH-P1003-K03149-CRJ-RFI-EL-0003-00, Missing MEP Revit Model.</t>
  </si>
  <si>
    <t>HillInt-RTRFI-000025</t>
  </si>
  <si>
    <t>CCCEGY-RFI-000004</t>
  </si>
  <si>
    <t>REH-P1003-K03149-CRJ-RFI-CW-0004-00</t>
  </si>
  <si>
    <t>REH-P1003-K03149-CRJ-RFI-CW-0004-00 - Missing Coordinates on IFC package</t>
  </si>
  <si>
    <t>HillInt-RFI-000013</t>
  </si>
  <si>
    <t>DAE-RTRFI-000001</t>
  </si>
  <si>
    <t>HillInt-RTRFI-000052</t>
  </si>
  <si>
    <t>HillInt-RTRFI-000040</t>
  </si>
  <si>
    <t>DAE-RTRFI-000007</t>
  </si>
  <si>
    <t>REH-P1003-K03149-CRJ-RFI-CW-04</t>
  </si>
  <si>
    <t>CCCEGY-RFI-000005</t>
  </si>
  <si>
    <t>REH-P1003-K03149-CRJ-RFI-CW-0005-00</t>
  </si>
  <si>
    <t>REH-P1003-K03149-CRJ-RFI-CW-0005-00, Missing Quality Forms</t>
  </si>
  <si>
    <t>HillInt-RFI-000015</t>
  </si>
  <si>
    <t>DAE-RTRFI-000012</t>
  </si>
  <si>
    <t>HillInt-RTRFI-000160</t>
  </si>
  <si>
    <t>HillInt-RTRFI-000161</t>
  </si>
  <si>
    <t>CCCEGY-RFI-000006</t>
  </si>
  <si>
    <t>REH-P1003-K03149-CRJ-RFI-CW-0006-00</t>
  </si>
  <si>
    <t>REH-P1003-K03149-CRJ-RFI-CW-0006-00, Contradiction Between SP05 Data for Earthwork package and Foundation Package</t>
  </si>
  <si>
    <t>HillInt-RFI-000014</t>
  </si>
  <si>
    <t>DAE-RTRFI-000005</t>
  </si>
  <si>
    <t>HillInt-RTRFI-000049</t>
  </si>
  <si>
    <t>CCCEGY-RFI-000007</t>
  </si>
  <si>
    <t>REH-P1003-K03149-CRJ-RFI-CW-0007-00</t>
  </si>
  <si>
    <t>REH-P1003-K03149-CRJ-RFI-CW-0007-00, Contradiction Between SP05 Retaining Wall Width.</t>
  </si>
  <si>
    <t>HillInt-RFI-000016</t>
  </si>
  <si>
    <t>DAE-RTRFI-000003</t>
  </si>
  <si>
    <t>HillInt-RTRFI-000038</t>
  </si>
  <si>
    <t>CCCEGY-RFI-000008</t>
  </si>
  <si>
    <t>REH-P1003-K03149-CRJ-RFI-CW-0008-00</t>
  </si>
  <si>
    <t>REH-P1003-K03149-CRJ-RFI-CW-0008-00, Discrepancy in Retaining Wall Elevations and Connection Detail between Zone 01 (Blue) and Zone 03 (Red).</t>
  </si>
  <si>
    <t>HillInt-RFI-000017</t>
  </si>
  <si>
    <t>DAE-RTRFI-000004</t>
  </si>
  <si>
    <t>HillInt-RTRFI-000039</t>
  </si>
  <si>
    <t>CCCEGY-RFI-000009</t>
  </si>
  <si>
    <t>REH-P1003-K03149-CRJ-RFI-CW-0009-00</t>
  </si>
  <si>
    <t>REH-P1003-K03149-CRJ-RFI-CW-0009-00, Discrepancy in sumpit Wall Width in Plan and Section.</t>
  </si>
  <si>
    <t>HillInt-RFI-000019</t>
  </si>
  <si>
    <t>DAE-RTRFI-000006</t>
  </si>
  <si>
    <t>HillInt-RTRFI-000050</t>
  </si>
  <si>
    <t>CCCEGY-RFI-000010</t>
  </si>
  <si>
    <t>REH-P1003-K03149-CRJ-RFI-CW-0010-00</t>
  </si>
  <si>
    <t>REH-P1003-K03149-CRJ-RFI-CW-0010-00, Discrepancy in Raft Thickness.</t>
  </si>
  <si>
    <t>HillInt-RFI-000022</t>
  </si>
  <si>
    <t>DAE-RTRFI-000009</t>
  </si>
  <si>
    <t>CCCEGY-RFI-000011</t>
  </si>
  <si>
    <t>REH-P1003-K03149-CRJ-RFI-CW-0011-00</t>
  </si>
  <si>
    <t>REH-P1003-K03149-CRJ-RFI-CW-0011-00, LAP Splice Basis.</t>
  </si>
  <si>
    <t>HillInt-RFI-000023</t>
  </si>
  <si>
    <t>DAE-RTRFI-000010</t>
  </si>
  <si>
    <t>HillInt-RFI-000024</t>
  </si>
  <si>
    <t>CCCEGY-RFI-000057</t>
  </si>
  <si>
    <t>P1003-K03149-CRJ-RFI-CW-0011-01</t>
  </si>
  <si>
    <t>P1003-K03149-CRJ-RFI-CW-0011-01, Subject: LAP Splice Basis</t>
  </si>
  <si>
    <t>HillInt-RTRFI-000181</t>
  </si>
  <si>
    <t>DAE-RTRFI-000065</t>
  </si>
  <si>
    <t>HillInt-RTRFI-000247</t>
  </si>
  <si>
    <t>CCCEGY-RFI-000012</t>
  </si>
  <si>
    <t>REH-P1003-K03149-CRJ-RFI-CW-0012-00</t>
  </si>
  <si>
    <t>REH-P1003-K03149-CRJ-RFI-CW-0012-00, Plain Concrete Dimension</t>
  </si>
  <si>
    <t>HillInt-RFI-000025</t>
  </si>
  <si>
    <t>DAE-RTRFI-000008</t>
  </si>
  <si>
    <t>REH-P1003-K03149-CRJ-RFI-CW-00</t>
  </si>
  <si>
    <t>CCCEGY-RFI-000055</t>
  </si>
  <si>
    <t>REH-P1003-K03149-CRJ-RFI-CW-0012-01</t>
  </si>
  <si>
    <t>REH-P1003-K03149-CRJ-RFI-CW-0012-01, Difference in Levels for Foundation Slab</t>
  </si>
  <si>
    <t>HillInt-RTRFI-000138</t>
  </si>
  <si>
    <t>DAE-RTRFI-000049</t>
  </si>
  <si>
    <t>HillInt-RTRFI-000170</t>
  </si>
  <si>
    <t>CCCEGY-RFI-000013</t>
  </si>
  <si>
    <t>REH-P1003-K03149-CRJ-RFI-CW-0013-00</t>
  </si>
  <si>
    <t xml:space="preserve">REH-P1003-K03149-CRJ-RFI-CW-0013-00, Plain Concrete  </t>
  </si>
  <si>
    <t>HillInt-RFI-000026</t>
  </si>
  <si>
    <t>DAE-RTRFI-000046</t>
  </si>
  <si>
    <t>HillInt-RTRFI-000144</t>
  </si>
  <si>
    <t>HillInt-RTRFI-000149</t>
  </si>
  <si>
    <t>CCCEGY-RFI-000014</t>
  </si>
  <si>
    <t>REH-P1003-K03149-CRJ-RFI-CW-0013-00 - Starter Bars Location for Stairs and Ramps</t>
  </si>
  <si>
    <t>send to shaker 13/04/2026</t>
  </si>
  <si>
    <t>CCCEGY-RFI-000015</t>
  </si>
  <si>
    <t>REH-P1003-K03149-CRJ-RFI-CW-0014-00</t>
  </si>
  <si>
    <t>REH-P1003-K03149-CRJ-RFI-CW-0014-00 - Location of Pour/Shrinkage Strip.</t>
  </si>
  <si>
    <t>HillInt-RFI-000027</t>
  </si>
  <si>
    <t>DAE-RTRFI-000013</t>
  </si>
  <si>
    <t>HillInt-RTRFI-000061</t>
  </si>
  <si>
    <t>HillInt-RTRFI-000062</t>
  </si>
  <si>
    <t>HillInt-RTRFI-000063</t>
  </si>
  <si>
    <t>REH-P1003-K03149-CRJ-RFI-CW-0014-01</t>
  </si>
  <si>
    <t>CCCEGY-RFI-000104</t>
  </si>
  <si>
    <t>REH-P1003-K03149-CRJ-RFI-CW-0014-01, Location of Pour / Shrinkage Strip</t>
  </si>
  <si>
    <t>HillInt-RFI-000156</t>
  </si>
  <si>
    <t>DAE-GNC-000096</t>
  </si>
  <si>
    <t>HillInt-RTRFI-000282</t>
  </si>
  <si>
    <t>CCCEGY-RFI-000067</t>
  </si>
  <si>
    <t>REH-P1003-K03149-CRJ-RFI-CW-0015-01</t>
  </si>
  <si>
    <t>REH-P1003-K03149-CRJ-RFI-CW-0015-01, Subject: Discrepancy in Column Details</t>
  </si>
  <si>
    <t>HillInt-RTRFI-000184</t>
  </si>
  <si>
    <t>DAE-RTRFI-000072</t>
  </si>
  <si>
    <t>HillInt-RTRFI-000239</t>
  </si>
  <si>
    <t>CCCEGY-RFI-000016</t>
  </si>
  <si>
    <t>REH-P1003-K03149-CRJ-RFI-CW-0015-00</t>
  </si>
  <si>
    <t>REH-P1003-K03149-CRJ-RFI-CW-0015-00, Discrepancy in Column Details.</t>
  </si>
  <si>
    <t>HillInt-RFI-000028</t>
  </si>
  <si>
    <t>DAE-RTRFI-000011</t>
  </si>
  <si>
    <t>REH-P1003-K03149-CRJ-RFI-CW-0015-02</t>
  </si>
  <si>
    <t>CCCEGY-RFI-000155</t>
  </si>
  <si>
    <t>REH-P1003-K03149-CRJ-RFI-CW-0015-02, Discrepancy in Column Details</t>
  </si>
  <si>
    <t>HillInt-RFI-000256</t>
  </si>
  <si>
    <t>DAE-RTRFI-000139</t>
  </si>
  <si>
    <t>HillInt-RTRFI-000367</t>
  </si>
  <si>
    <t>CCCEGY-RFI-000017</t>
  </si>
  <si>
    <t>REH-P1003-K03149-CRJ-RFI-CW-0016-00</t>
  </si>
  <si>
    <t>REH-P1003-K03149-CRJ-RFI-CW-0016-00, Missing Earthing Plan location.</t>
  </si>
  <si>
    <t>HillInt-RFI-000046</t>
  </si>
  <si>
    <t>DAE-RTRFI-000020</t>
  </si>
  <si>
    <t>HillInt-RTRFI-000070</t>
  </si>
  <si>
    <t>CCCEGY-RFI-000018</t>
  </si>
  <si>
    <t>REH-P1003-K03149-CRJ-RFI-CW-0017-00</t>
  </si>
  <si>
    <t>REH-P1003-K03149-CRJ-RFI-CW-0017-00, Missing Earthing Plan location</t>
  </si>
  <si>
    <t>HillInt-RFI-000045</t>
  </si>
  <si>
    <t>DAE-RTRFI-000014</t>
  </si>
  <si>
    <t>HillInt-RTRFI-000064</t>
  </si>
  <si>
    <t>HillInt-RTRFI-000083</t>
  </si>
  <si>
    <t>CCCEGY-RFI-000019</t>
  </si>
  <si>
    <t>REH-P1003-K03149-CRJ-RFI-CW-0018-00</t>
  </si>
  <si>
    <t>REH-P1003-K03149-CRJ-RFI-CW-0018-00, Missing Earthing Plan location</t>
  </si>
  <si>
    <t>HillInt-RFI-000044</t>
  </si>
  <si>
    <t>DAE-RTRFI-000015</t>
  </si>
  <si>
    <t>HillInt-RTRFI-000065</t>
  </si>
  <si>
    <t>HillInt-RTRFI-000082</t>
  </si>
  <si>
    <t>CCCEGY-RFI-000020</t>
  </si>
  <si>
    <t>REH-P1003-K03149-CRJ-RFI-CW-0019-00</t>
  </si>
  <si>
    <t>REH-P1003-K03149-CRJ-RFI-CW-0019-00, Missing Stacking Points</t>
  </si>
  <si>
    <t>HillInt-RFI-000043</t>
  </si>
  <si>
    <t>DAE-RTRFI-000018</t>
  </si>
  <si>
    <t>HillInt-RTRFI-000068</t>
  </si>
  <si>
    <t>CCCEGY-RFI-000068</t>
  </si>
  <si>
    <t>REH-P1003-K03149-CRJ-RFI-CW-0019-01</t>
  </si>
  <si>
    <t>REH-P1003-K03149-CRJ-RFI-CW-0019-01, Subject: Missing Stacking Points.</t>
  </si>
  <si>
    <t>HillInt-RTRFI-000183</t>
  </si>
  <si>
    <t>DAE-RTRFI-000067</t>
  </si>
  <si>
    <t>HillInt-RTRFI-000254</t>
  </si>
  <si>
    <t>CCCEGY-RFI-000021</t>
  </si>
  <si>
    <t>REH-P1003-K03149-CRJ-RFI-CW-0020-00</t>
  </si>
  <si>
    <t>REH-P1003-K03149-CRJ-RFI-CW-0020-00, Missing Earthing Plan location</t>
  </si>
  <si>
    <t>HillInt-RFI-000042</t>
  </si>
  <si>
    <t>DAE-RTRFI-000019</t>
  </si>
  <si>
    <t>HillInt-RTRFI-000069</t>
  </si>
  <si>
    <t>CCCEGY-RFI-000022</t>
  </si>
  <si>
    <t>REH-P1003-K03149-CRJ-RFI-CW-0021-00</t>
  </si>
  <si>
    <t>REH-P1003-K03149-CRJ-RFI-CW-0021-00, Missing Stacking Points</t>
  </si>
  <si>
    <t>HillInt-RFI-000041</t>
  </si>
  <si>
    <t>DAE-RTRFI-000024</t>
  </si>
  <si>
    <t>HillInt-RTRFI-000091</t>
  </si>
  <si>
    <t>CCCEGY-RFI-000023</t>
  </si>
  <si>
    <t>P1003-K03149-CRJ-RFI-CW-0022-00</t>
  </si>
  <si>
    <t>P1003-K03149-CRJ-RFI-CW-0022-00, Missing Stacking Points</t>
  </si>
  <si>
    <t>HillInt-RFI-000040</t>
  </si>
  <si>
    <t>DAE-RTRFI-000025</t>
  </si>
  <si>
    <t>HillInt-RTRFI-000090</t>
  </si>
  <si>
    <t>CCCEGY-RFI-000024</t>
  </si>
  <si>
    <t>P1003-K03149-CRJ-RFI-CW-0023-00</t>
  </si>
  <si>
    <t>P1003-K03149-CRJ-RFI-CW-0023-00, Missing Stacking Points</t>
  </si>
  <si>
    <t>HillInt-RFI-000039</t>
  </si>
  <si>
    <t>DAE-RTRFI-000028</t>
  </si>
  <si>
    <t>HillInt-RTRFI-000087</t>
  </si>
  <si>
    <t>REH-P1003-K03149-CRJ-RFI-CW-0023-01</t>
  </si>
  <si>
    <t>CCCEGY-RFI-000105</t>
  </si>
  <si>
    <t>REH-P1003-K03149-CRJ-RFI-CW-0023-01, Revision to RFI #23-00 Response: Clarification on Clouded Sump Pits Locations &amp; Discrepancy with IFC) Foundation Drawings &amp; GA sump pits Drawing)</t>
  </si>
  <si>
    <t>HillInt-RFI-000152</t>
  </si>
  <si>
    <t>DAE-GNC-000095</t>
  </si>
  <si>
    <t>HillInt-RTRFI-000277</t>
  </si>
  <si>
    <t>CCCEGY-RFI-000025</t>
  </si>
  <si>
    <t>REH-P1003-K03149-CRJ-RFI-CW-0024-00</t>
  </si>
  <si>
    <t>REH-P1003-K03149-CRJ-RFI-CW-0024-00, Missing Stacking Points</t>
  </si>
  <si>
    <t>HillInt-RFI-000038</t>
  </si>
  <si>
    <t>DAE-RTRFI-000026</t>
  </si>
  <si>
    <t>HillInt-RTRFI-000089</t>
  </si>
  <si>
    <t>CCCEGY-RFI-000026</t>
  </si>
  <si>
    <t>REH-P1003-K03149-CRJ-RFI-CW-0025-00</t>
  </si>
  <si>
    <t>REH-P1003-K03149-CRJ-RFI-CW-0025-00, Missing Stacking Points</t>
  </si>
  <si>
    <t>HillInt-RFI-000037</t>
  </si>
  <si>
    <t>DAE-RTRFI-000027</t>
  </si>
  <si>
    <t>HillInt-RTRFI-000088</t>
  </si>
  <si>
    <t>CCCEGY-RFI-000027</t>
  </si>
  <si>
    <t>REH-P1003-K03149-CRJ-RFI-CW-0026-00</t>
  </si>
  <si>
    <t>REH-P1003-K03149-CRJ-RFI-CW-0026-00, Missing Sump pits details</t>
  </si>
  <si>
    <t>HillInt-RFI-000036</t>
  </si>
  <si>
    <t>DAE-RTRFI-000023</t>
  </si>
  <si>
    <t>HillInt-RTRFI-000092</t>
  </si>
  <si>
    <t>CCCEGY-RFI-000028</t>
  </si>
  <si>
    <t>P1003-K03149-CRJ-RFI-CW-0027-00</t>
  </si>
  <si>
    <t>P1003-K03149-CRJ-RFI-CW-0027-00, Lift Pit thickness – Part 3</t>
  </si>
  <si>
    <t>HillInt-RFI-000035</t>
  </si>
  <si>
    <t>DAE-RTRFI-000022</t>
  </si>
  <si>
    <t>HillInt-RTRFI-000072</t>
  </si>
  <si>
    <t>CCCEGY-RFI-000029</t>
  </si>
  <si>
    <t>REH-P1003-K03149-CRJ-RFI-CW-0028-00</t>
  </si>
  <si>
    <t>REH-P1003-K03149-CRJ-RFI-CW-0028-00, Sump Pits and Elevator Pits Location</t>
  </si>
  <si>
    <t>HillInt-RFI-000034</t>
  </si>
  <si>
    <t>DAE-RTRFI-000021</t>
  </si>
  <si>
    <t>HillInt-RTRFI-000071</t>
  </si>
  <si>
    <t>CCCEGY-RFI-000030</t>
  </si>
  <si>
    <t>REH-P1003-K03149-CRJ-RFI-CW-0029-00</t>
  </si>
  <si>
    <t>REH-P1003-K03149-CRJ-RFI-CW-0029-00, Retaining Wall Details</t>
  </si>
  <si>
    <t>HillInt-RFI-000033</t>
  </si>
  <si>
    <t>DAE-RTRFI-000017</t>
  </si>
  <si>
    <t>HillInt-RTRFI-000066</t>
  </si>
  <si>
    <t>CCCEGY-RFI-000069</t>
  </si>
  <si>
    <t>REH-P1003-K03149-CRJ-RFI-CW-0029-01</t>
  </si>
  <si>
    <t>REH-P1003-K03149-CRJ-RFI-CW-0029-01, Subject: Retaining Wall Details.</t>
  </si>
  <si>
    <t>HillInt-RTRFI-000182</t>
  </si>
  <si>
    <t>DAE-RTRFI-000064</t>
  </si>
  <si>
    <t>HillInt-RTRFI-000248</t>
  </si>
  <si>
    <t>CCCEGY-RFI-000031</t>
  </si>
  <si>
    <t>REH-P1003-K03149-CRJ-RFI-CW-0030-00</t>
  </si>
  <si>
    <t>REH-P1003-K03149-CRJ-RFI-CW-0030-00, Elastomeric Sealants</t>
  </si>
  <si>
    <t>HillInt-RFI-000032</t>
  </si>
  <si>
    <t>DAE-RTRFI-000016</t>
  </si>
  <si>
    <t>HillInt-RTRFI-000067</t>
  </si>
  <si>
    <t>CCCEGY-RFI-000032</t>
  </si>
  <si>
    <t>REH-P1003-K03149-CRJ-RFI-CW-0031-00</t>
  </si>
  <si>
    <t>REH-P1003-K03149-CRJ-RFI-CW-0031-00, Proposal for Earthing Waterproofing Detail.</t>
  </si>
  <si>
    <t>HillInt-RFI-000047</t>
  </si>
  <si>
    <t>DAE-RTRFI-000029</t>
  </si>
  <si>
    <t>HillInt-RTRFI-000086</t>
  </si>
  <si>
    <t>CCCEGY-RFI-000033</t>
  </si>
  <si>
    <t>REH-P1003-K03149-CRJ-RFI-CW-0032-00</t>
  </si>
  <si>
    <t>REH-P1003-K03149-CRJ-RFI-CW-0032-00, PC &amp; RC Dimension - Super Plot 02</t>
  </si>
  <si>
    <t>HillInt-RFI-000050</t>
  </si>
  <si>
    <t>DAE-RTRFI-000030</t>
  </si>
  <si>
    <t>HillInt-RTRFI-000095</t>
  </si>
  <si>
    <t>CCCEGY-RFI-000038</t>
  </si>
  <si>
    <t>Re: REH-P1003-K03149-CRJ-RFI-CW-0032-00, PC &amp; RC Dimension - Super Plot 02</t>
  </si>
  <si>
    <t>CCCEGY-RFI-000034</t>
  </si>
  <si>
    <t>REH-P1003-K03149-CRJ-RFI-CW-0033-00</t>
  </si>
  <si>
    <t>REH-P1003-K03149-CRJ-RFI-CW-0033-00, Stairs Starter bar location</t>
  </si>
  <si>
    <t>HillInt-RFI-000051</t>
  </si>
  <si>
    <t>DAE-RTRFI-000033</t>
  </si>
  <si>
    <t>HillInt-RTRFI-000159</t>
  </si>
  <si>
    <t>CCCEGY-RFI-000037</t>
  </si>
  <si>
    <t>Re: REH-P1003-K03149-CRJ-RFI-CW-0033-00, Stairs Starter bar location</t>
  </si>
  <si>
    <t>CCCEGY-RFI-000035</t>
  </si>
  <si>
    <t>REH-P1003-K03149-CRJ-RFI-CW-0034-00</t>
  </si>
  <si>
    <t>REH-P1003-K03149-CRJ-RFI-CW-0034-00, Missing Retaining Wall and Raft</t>
  </si>
  <si>
    <t>HillInt-RFI-000052</t>
  </si>
  <si>
    <t>DAE-RTRFI-000032</t>
  </si>
  <si>
    <t>HillInt-RTRFI-000093</t>
  </si>
  <si>
    <t>CCCEGY-RFI-000036</t>
  </si>
  <si>
    <t>REH-P1003-K03149-CRJ-RFI-CW-0035-00</t>
  </si>
  <si>
    <t>REH-P1003-K03149-CRJ-RFI-CW-0035-00, Raft Edge and Retaining Wall Discrepancy</t>
  </si>
  <si>
    <t>HillInt-RFI-000053</t>
  </si>
  <si>
    <t>DAE-RTRFI-000031</t>
  </si>
  <si>
    <t>HillInt-RTRFI-000094</t>
  </si>
  <si>
    <t>CCCEGY-RFI-000039</t>
  </si>
  <si>
    <t>REH-P1003-K03149-CRJ-RFI-CW-0036-00</t>
  </si>
  <si>
    <t>REH-P1003-K03149-CRJ-RFI-CW-0036-00, Sump Pit Missing Data.</t>
  </si>
  <si>
    <t>HillInt-RTRFI-000100</t>
  </si>
  <si>
    <t>DAE-RTRFI-000034</t>
  </si>
  <si>
    <t>HillInt-RTRFI-000112</t>
  </si>
  <si>
    <t>CCCEGY-RFI-000040</t>
  </si>
  <si>
    <t>REH-P1003-K03149-CRJ-RFI-CW-0037-00</t>
  </si>
  <si>
    <t xml:space="preserve">REH-P1003-K03149-CRJ-RFI-CW-0037-00, Excavation Area Doesn’t Include any above Structural Element </t>
  </si>
  <si>
    <t>HillInt-RFI-000055</t>
  </si>
  <si>
    <t>DAE-RTRFI-000035</t>
  </si>
  <si>
    <t>HillInt-RTRFI-000111</t>
  </si>
  <si>
    <t>CCCEGY-RFI-000041</t>
  </si>
  <si>
    <t>REH-P1003-K03149-CRJ-RFI-CW-0038-00</t>
  </si>
  <si>
    <t>REH-P1003-K03149-CRJ-RFI-CW-0038-00, Conflict between Revit Models &amp; IFC Drawing</t>
  </si>
  <si>
    <t>HillInt-RFI-000062</t>
  </si>
  <si>
    <t>DAE-RTRFI-000043</t>
  </si>
  <si>
    <t>HillInt-RTRFI-000157</t>
  </si>
  <si>
    <t>CCCEGY-RFI-000042</t>
  </si>
  <si>
    <t>REH-P1003-K03149-CRJ-RFI-CW-0039-00</t>
  </si>
  <si>
    <t>REH-P1003-K03149-CRJ-RFI-CW-0039-00, Elevator Pit Missing Data</t>
  </si>
  <si>
    <t>HillInt-RFI-000061</t>
  </si>
  <si>
    <t>DAE-RTRFI-000042</t>
  </si>
  <si>
    <t>HillInt-RTRFI-000156</t>
  </si>
  <si>
    <t>CCCEGY-RFI-000043</t>
  </si>
  <si>
    <t>REH-P1003-K03149-CRJ-RFI-CW-0040-00</t>
  </si>
  <si>
    <t>REH-P1003-K03149-CRJ-RFI-CW-0040-00, Water Tank Missing Dimension</t>
  </si>
  <si>
    <t>HillInt-RFI-000056</t>
  </si>
  <si>
    <t>DAE-RTRFI-000036</t>
  </si>
  <si>
    <t>HillInt-RTRFI-000146</t>
  </si>
  <si>
    <t>CCCEGY-RFI-000044</t>
  </si>
  <si>
    <t>REH-P1003-K03149-CRJ-RFI-CW-0041-00</t>
  </si>
  <si>
    <t>REH-P1003-K03149-CRJ-RFI-CW-0041-00, Water Tank Thickness</t>
  </si>
  <si>
    <t>K03149-CRJ-RFI-CW-0041</t>
  </si>
  <si>
    <t>DAE-RTRFI-000041</t>
  </si>
  <si>
    <t>HillInt-RTRFI-000154</t>
  </si>
  <si>
    <t>CCCEGY-RFI-000045</t>
  </si>
  <si>
    <t>REH-P1003-K03149-CRJ-RFI-CW-0042-00</t>
  </si>
  <si>
    <t>REH-P1003-K03149-CRJ-RFI-CW-0042-00, Missing Sump Pit from the Foundation Plan</t>
  </si>
  <si>
    <t>HillInt-RFI-000060</t>
  </si>
  <si>
    <t>DAE-RTRFI-000040</t>
  </si>
  <si>
    <t>HillInt-RTRFI-000155</t>
  </si>
  <si>
    <t>CCCEGY-RFI-000046</t>
  </si>
  <si>
    <t>REH-P1003-K03149-CRJ-RFI-CW-0043-00</t>
  </si>
  <si>
    <t>REH-P1003-K03149-CRJ-RFI-CW-0043-00, Missing Foundation</t>
  </si>
  <si>
    <t>HillInt-RFI-000059</t>
  </si>
  <si>
    <t>DAE-RTRFI-000039</t>
  </si>
  <si>
    <t>HillInt-RTRFI-000150</t>
  </si>
  <si>
    <t>CCCEGY-RFI-000047</t>
  </si>
  <si>
    <t>REH-P1003-K03149-CRJ-RFI-CW-0044-00</t>
  </si>
  <si>
    <t>REH-P1003-K03149-CRJ-RFI-CW-0044-00, Interior Post in the Retaining Wall</t>
  </si>
  <si>
    <t>HillInt-RFI-000058</t>
  </si>
  <si>
    <t>DAE-RTRFI-000038</t>
  </si>
  <si>
    <t>HillInt-RTRFI-000148</t>
  </si>
  <si>
    <t>CCCEGY-RFI-000048</t>
  </si>
  <si>
    <t>REH-P1003-K03149-CRJ-RFI-CW-0045-00</t>
  </si>
  <si>
    <t>REH-P1003-K03149-CRJ-RFI-CW-0045-00, Missing Column ID &amp; Dimensions</t>
  </si>
  <si>
    <t>HillInt-RFI-000057</t>
  </si>
  <si>
    <t>DAE-RTRFI-000037</t>
  </si>
  <si>
    <t>HillInt-RTRFI-000147</t>
  </si>
  <si>
    <t>CCCEGY-RFI-000049</t>
  </si>
  <si>
    <t>REH-P1003-K03149-CRJ-RFI-CW-0046-00</t>
  </si>
  <si>
    <t>REH-P1003-K03149-CRJ-RFI-CW-0046-00, Unclear RFT Mesh Boundaries</t>
  </si>
  <si>
    <t>HillInt-RTRFI-000102</t>
  </si>
  <si>
    <t>DAE-RTRFI-000044</t>
  </si>
  <si>
    <t>HillInt-RTRFI-000158</t>
  </si>
  <si>
    <t>CCCEGY-RFI-000050</t>
  </si>
  <si>
    <t>REH-P1003-K03149-CRJ-RFI-CW-0047-00</t>
  </si>
  <si>
    <t>REH-P1003-K03149-CRJ-RFI-CW-0047-00, SP02 Revit Model</t>
  </si>
  <si>
    <t>HillInt-RTRFI-000109</t>
  </si>
  <si>
    <t>DAE-RTRFI-000045</t>
  </si>
  <si>
    <t>HillInt-RTRFI-000205</t>
  </si>
  <si>
    <t>CCCEGY-RFI-000051</t>
  </si>
  <si>
    <t>REH-P1003-K03149-CRJ-RFI-CW-0048-00</t>
  </si>
  <si>
    <t>REH-P1003-K03149-CRJ-RFI-CW-0048-00, SP01 Revit Model</t>
  </si>
  <si>
    <t>HillInt-RTRFI-000108</t>
  </si>
  <si>
    <t>DAE-RTRFI-000047</t>
  </si>
  <si>
    <t>HillInt-RTRFI-000151</t>
  </si>
  <si>
    <t>CCCEGY-RFI-000052</t>
  </si>
  <si>
    <t>REH-P1003-K03149-CRJ-RFI-CW-0049-00</t>
  </si>
  <si>
    <t>REH-P1003-K03149-CRJ-RFI-CW-0049-00, Check Design of SP-10</t>
  </si>
  <si>
    <t>HillInt-RTRFI-000114</t>
  </si>
  <si>
    <t>DAE-RTRFI-000051</t>
  </si>
  <si>
    <t>HillInt-RTRFI-000171</t>
  </si>
  <si>
    <t>CCCEGY-RFI-000053</t>
  </si>
  <si>
    <t>REH-P1003-K03149-CRJ-RFI-CW-0050-00</t>
  </si>
  <si>
    <t>REH-P1003-K03149-CRJ-RFI-CW-0050-00, Discrepancy in the Super Plot 03 (SP-03) Boundaries</t>
  </si>
  <si>
    <t>HillInt-RTRFI-000122</t>
  </si>
  <si>
    <t>DAE-RTRFI-000078</t>
  </si>
  <si>
    <t>HillInt-RTRFI-000232</t>
  </si>
  <si>
    <t>CCCEGY-RFI-000054</t>
  </si>
  <si>
    <t>REH-P1003-K03149-CRJ-RFI-CW-0051-00</t>
  </si>
  <si>
    <t>REH-P1003-K03149-CRJ-RFI-CW-0051-00,Substitution of PVC Water Stop with Swellable Bar</t>
  </si>
  <si>
    <t>HillInt-RTRFI-000140</t>
  </si>
  <si>
    <t>DAE-RTRFI-000048</t>
  </si>
  <si>
    <t>HillInt-RTRFI-000153</t>
  </si>
  <si>
    <t>CCCEGY-RFI-000056</t>
  </si>
  <si>
    <t>REH-P1003-K03149-CRJ-RFI-CW-0052-00</t>
  </si>
  <si>
    <t>REH-P1003-K03149-CRJ-RFI-CW-0052-00, Conflict between Earthing block-out Location &amp; Structural Columns in Raft</t>
  </si>
  <si>
    <t>HillInt-RTRFI-000139</t>
  </si>
  <si>
    <t>DAE-RTRFI-000050</t>
  </si>
  <si>
    <t>HillInt-RTRFI-000172</t>
  </si>
  <si>
    <t>CCCEGY-RFI-000058</t>
  </si>
  <si>
    <t>P1003-K03149-CRJ-RFI-CW-0053-00</t>
  </si>
  <si>
    <t>P1003-K03149-CRJ-RFI-CW-0053-00, Subject: Architectural Zero Level for All Plots</t>
  </si>
  <si>
    <t>HillInt-RTRFI-000180</t>
  </si>
  <si>
    <t>DAE-RTRFI-000082</t>
  </si>
  <si>
    <t>HillInt-RTRFI-000244</t>
  </si>
  <si>
    <t>CCCEGY-RFI-000059</t>
  </si>
  <si>
    <t>P1003-K03149-CRJ-RFI-CW-0054-00</t>
  </si>
  <si>
    <t>P1003-K03149-CRJ-RFI-CW-0054-00, Subject: Missing SOG Level for SP01,07,08</t>
  </si>
  <si>
    <t>HillInt-RTRFI-000179</t>
  </si>
  <si>
    <t>DAE-RTRFI-000066</t>
  </si>
  <si>
    <t>HillInt-RTRFI-000246</t>
  </si>
  <si>
    <t>CCCEGY-RFI-000060</t>
  </si>
  <si>
    <t>P1003-K03149-CRJ-RFI-CW-0055-00</t>
  </si>
  <si>
    <t>P1003-K03149-CRJ-RFI-CW-0055-00, Subject: SP02 Raft Foundation Levels in Global Not Local</t>
  </si>
  <si>
    <t>HillInt-RTRFI-000178</t>
  </si>
  <si>
    <t>DAE-RTRFI-000081</t>
  </si>
  <si>
    <t>HillInt-RTRFI-000242</t>
  </si>
  <si>
    <t>CCCEGY-RFI-000061</t>
  </si>
  <si>
    <t>P1003-K03149-CRJ-RFI-CW-0056-00</t>
  </si>
  <si>
    <t>P1003-K03149-CRJ-RFI-CW-0056-00, Subject: Column Punching Details</t>
  </si>
  <si>
    <t>HillInt-RTRFI-000177</t>
  </si>
  <si>
    <t>DAE-RTRFI-000055</t>
  </si>
  <si>
    <t>HillInt-RTRFI-000213</t>
  </si>
  <si>
    <t>CCCEGY-RFI-000062</t>
  </si>
  <si>
    <t>P1003-K03149-CRJ-RFI-CW-0057-00</t>
  </si>
  <si>
    <t>P1003-K03149-CRJ-RFI-CW-0057-00, Subject: The sump pits and elevator pits excavation boundary</t>
  </si>
  <si>
    <t>HillInt-RTRFI-000176</t>
  </si>
  <si>
    <t>DAE-RTRFI-000054</t>
  </si>
  <si>
    <t>HillInt-RTRFI-000214</t>
  </si>
  <si>
    <t>CCCEGY-RTRFI-000001</t>
  </si>
  <si>
    <t>CCCEGY-RFI-000063</t>
  </si>
  <si>
    <t>CCCEGY-RFI-000064</t>
  </si>
  <si>
    <t>P1003-K03149-CRJ-RFI-CW-0058-00</t>
  </si>
  <si>
    <t>P1003-K03149-CRJ-RFI-CW-0058-00, Subject: Retaining Walls RW Vertical RFT</t>
  </si>
  <si>
    <t>HillInt-RTRFI-000175</t>
  </si>
  <si>
    <t>DAE-RTRFI-000053</t>
  </si>
  <si>
    <t>HillInt-RTRFI-000215</t>
  </si>
  <si>
    <t>CCCEGY-RFI-000065</t>
  </si>
  <si>
    <t>P1003-K03149-CRJ-RFI-CW-0059-00</t>
  </si>
  <si>
    <t>P1003-K03149-CRJ-RFI-CW-0059-00, Subject: Column in SP05-Part 05 with no TAG</t>
  </si>
  <si>
    <t>HillInt-RTRFI-000174</t>
  </si>
  <si>
    <t>DAE-RTRFI-000052</t>
  </si>
  <si>
    <t>HillInt-RTRFI-000217</t>
  </si>
  <si>
    <t>CCCEGY-RFI-000066</t>
  </si>
  <si>
    <t>REH-P1003-K03149-CRJ-RFI-CW-0060-00</t>
  </si>
  <si>
    <t>REH-P1003-K03149-CRJ-RFI-CW-0060-00, Subject: Conflict between Revit model &amp; IFC backage</t>
  </si>
  <si>
    <t>HillInt-RTRFI-000173</t>
  </si>
  <si>
    <t>DAE-RTRFI-000056</t>
  </si>
  <si>
    <t>HillInt-RTRFI-000212</t>
  </si>
  <si>
    <t>CCCEGY-RFI-000070</t>
  </si>
  <si>
    <t>REH-P1003-K03149-CRJ-RFI-CW-0061-00</t>
  </si>
  <si>
    <t>REH-P1003-K03149-CRJ-RFI-CW-0061-00, Subject: Retaining Wall Openings &amp; Sleeves.</t>
  </si>
  <si>
    <t>HillInt-RTRFI-000185</t>
  </si>
  <si>
    <t>DAE-RTRFI-000154</t>
  </si>
  <si>
    <t>HillInt-RTRFI-000399</t>
  </si>
  <si>
    <t>HillInt-RFI-000171
Reminder
27-04-2026
HillInt-RFI-HillInt-GNC-000722
Reminder
13-05-2026</t>
  </si>
  <si>
    <t>REH-P1003-K03149-CRJ-RFI-CW-0061-01</t>
  </si>
  <si>
    <t>HillInt-RFI-000602</t>
  </si>
  <si>
    <t>DAE-RTRFI-000268</t>
  </si>
  <si>
    <t>HillInt-RTRFI-000696</t>
  </si>
  <si>
    <t>Compliance with RFI Correspondence and the Approved Communication Matrix</t>
  </si>
  <si>
    <t>CCCEGY-RFI-000071</t>
  </si>
  <si>
    <t>REH-P1003-K03149-CRJ-RFI-CW-0062-00</t>
  </si>
  <si>
    <t>REH-P1003-K03149-CRJ-RFI-CW-0062-00, Subject: Conflicts in RC Walls Regarding Kicker.</t>
  </si>
  <si>
    <t>HillInt-RTRFI-000186</t>
  </si>
  <si>
    <t>DAE-RTRFI-000063</t>
  </si>
  <si>
    <t>HillInt-RTRFI-000249</t>
  </si>
  <si>
    <t>CCCEGY-RFI-000072</t>
  </si>
  <si>
    <t>REH-P1003-K03149-CRJ-RFI-CW-0063-00</t>
  </si>
  <si>
    <t>REH-P1003-K03149-CRJ-RFI-CW-0063-00, Subject: Missing Sumpit in SP05 Part 01.</t>
  </si>
  <si>
    <t>HillInt-RTRFI-000187</t>
  </si>
  <si>
    <t>DAE-RTRFI-000073</t>
  </si>
  <si>
    <t>HillInt-RTRFI-000238</t>
  </si>
  <si>
    <t>REH-P1003-K03149-CRJ-RFI-CW-0064-00</t>
  </si>
  <si>
    <t>CCCEGY-RFI-000109</t>
  </si>
  <si>
    <t>REH-P1003-K03149-CRJ-RFI-CW-0064-00, General - Buildings Height for Tower Cranes</t>
  </si>
  <si>
    <t>HillInt-RFI-000158</t>
  </si>
  <si>
    <t>DAE-RTRFI-000109</t>
  </si>
  <si>
    <t>HillInt-RTRFI-000316</t>
  </si>
  <si>
    <t>CCCEGY-RFI-000073</t>
  </si>
  <si>
    <t>REH-P1003-K03149-CRJ-RFI-CW-0065-00</t>
  </si>
  <si>
    <t>REH-P1003-K03149-CRJ-RFI-CW-0065-00, Subject: Fire Tanks in Plot 06 Part 03.</t>
  </si>
  <si>
    <t>HillInt-RTRFI-000188</t>
  </si>
  <si>
    <t>DAE-RTRFI-000106</t>
  </si>
  <si>
    <t>HillInt-RTRFI-000307</t>
  </si>
  <si>
    <t>HillInt-RFI-000168
Reminder
27-04-2026</t>
  </si>
  <si>
    <t>CCCEGY-RFI-000074</t>
  </si>
  <si>
    <t>REH-P1003-K03149-CRJ-RFI-CW-0066-00</t>
  </si>
  <si>
    <t>REH-P1003-K03149-CRJ-RFI-CW-0066-00, Subject: SP01-Raft Global Levels.</t>
  </si>
  <si>
    <t>HillInt-RTRFI-000189</t>
  </si>
  <si>
    <t>DAE-RTRFI-000083</t>
  </si>
  <si>
    <t>HillInt-RTRFI-000245</t>
  </si>
  <si>
    <t>CCCEGY-RFI-000075</t>
  </si>
  <si>
    <t>REH-P1003-K03149-CRJ-RFI-CW-0067-00</t>
  </si>
  <si>
    <t>REH-P1003-K03149-CRJ-RFI-CW-0067-00, Subject: RFT Typical Details Inquiries.</t>
  </si>
  <si>
    <t>HillInt-RTRFI-000190</t>
  </si>
  <si>
    <t>DAE-RTRFI-000061</t>
  </si>
  <si>
    <t>HillInt-RTRFI-000251</t>
  </si>
  <si>
    <t>REH-P1003-K03149-CRJ-RFI-CW-0067-01</t>
  </si>
  <si>
    <t>CCCEGY-RFI-000178</t>
  </si>
  <si>
    <t>REH-P1003-K03149-CRJ-RFI-CW-0067-01, RFT Typical Details Inquiries</t>
  </si>
  <si>
    <t>HillInt-RFI-000306</t>
  </si>
  <si>
    <t>DAE-RTRFI-000172</t>
  </si>
  <si>
    <t>HillInt-RTRFI-000446</t>
  </si>
  <si>
    <t>CCCEGY-RFI-000076</t>
  </si>
  <si>
    <t>REH-P1003-K03149-CRJ-RFI-CW-0068-00</t>
  </si>
  <si>
    <t>REH-P1003-K03149-CRJ-RFI-CW-0068-00, Subject: SP05- Basement 01 - missing Part 01,02&amp;04.</t>
  </si>
  <si>
    <t>HillInt-RTRFI-000191</t>
  </si>
  <si>
    <t>DAE-RTRFI-000062</t>
  </si>
  <si>
    <t>HillInt-RTRFI-000250</t>
  </si>
  <si>
    <t>CCCEGY-RFI-000077</t>
  </si>
  <si>
    <t>REH-P1003-K03149-CRJ-RFI-CW-0069-00</t>
  </si>
  <si>
    <t>REH-P1003-K03149-CRJ-RFI-CW-0069-00, Subject: Column TYP Details missing.</t>
  </si>
  <si>
    <t>HillInt-RTRFI-000192</t>
  </si>
  <si>
    <t>DAE-RTRFI-000060</t>
  </si>
  <si>
    <t>HillInt-RTRFI-000252</t>
  </si>
  <si>
    <t>REH-P1003-K03149-CRJ-RFI-CW-0070-00</t>
  </si>
  <si>
    <t>CCCEGY-RFI-000106</t>
  </si>
  <si>
    <t>REH-P1003-K03149-CRJ-RFI-CW-0070-00, Discrepancy and Missing Information for Sump Pit Locations in IFC</t>
  </si>
  <si>
    <t>HillInt-RFI-000155</t>
  </si>
  <si>
    <t>DAE-RTRFI-000120</t>
  </si>
  <si>
    <t>HillInt-RTRFI-000327</t>
  </si>
  <si>
    <t>CCCEGY-RFI-000078</t>
  </si>
  <si>
    <t>REH-P1003-K03149-CRJ-RFI-CW-0071-00</t>
  </si>
  <si>
    <t>REH-P1003-K03149-CRJ-RFI-CW-0071-00, Subject: SP06-Conflicts in SSL Raft Levels Between General Layout &amp; Parts – Basement 02.</t>
  </si>
  <si>
    <t>HillInt-RTRFI-000193</t>
  </si>
  <si>
    <t>DAE-RTRFI-000080</t>
  </si>
  <si>
    <t>HillInt-RTRFI-000241</t>
  </si>
  <si>
    <t>CCCEGY-RFI-000079</t>
  </si>
  <si>
    <t>REH-P1003-K03149-CRJ-RFI-CW-0072-00</t>
  </si>
  <si>
    <t>REH-P1003-K03149-CRJ-RFI-CW-0072-00, Subject: SP05 - Part 01 - Conflicts With Elevator Pit Raft Level and Thickness.</t>
  </si>
  <si>
    <t>HillInt-RTRFI-000194</t>
  </si>
  <si>
    <t>DAE-RTRFI-000059</t>
  </si>
  <si>
    <t>HillInt-RTRFI-000228</t>
  </si>
  <si>
    <t>REH-P1003-K03149-CRJ-RFI-CW-0072-01</t>
  </si>
  <si>
    <t>CCCEGY-RFI-000108</t>
  </si>
  <si>
    <t>REH-P1003-K03149-CRJ-RFI-CW-0072-01, SP0-5 - Part 01 - Conflict with Elevator Pit Raft Level and Thickness</t>
  </si>
  <si>
    <t>HillInt-RFI-000159</t>
  </si>
  <si>
    <t>DAE-RTRFI-000105</t>
  </si>
  <si>
    <t>HillInt-RTRFI-000308</t>
  </si>
  <si>
    <t>CCCEGY-RFI-000080</t>
  </si>
  <si>
    <t>REH-P1003-K03149-CRJ-RFI-CW-0073-00</t>
  </si>
  <si>
    <t>REH-P1003-K03149-CRJ-RFI-CW-0073-00, Subject: Clarification Regarding Elevator Pit, and Foundation Layout Details.</t>
  </si>
  <si>
    <t>HillInt-RTRFI-000195</t>
  </si>
  <si>
    <t>DAE-RTRFI-000058</t>
  </si>
  <si>
    <t>HillInt-RTRFI-000227</t>
  </si>
  <si>
    <t>CCCEGY-RFI-000081</t>
  </si>
  <si>
    <t>REH-P1003-K03149-CRJ-RFI-CW-0074-00</t>
  </si>
  <si>
    <t>REH-P1003-K03149-CRJ-RFI-CW-0074-00, Subject: Inquiries in Plot SP04 – Foundations Layout.</t>
  </si>
  <si>
    <t>HillInt-RTRFI-000196</t>
  </si>
  <si>
    <t>DAE-RTRFI-000057</t>
  </si>
  <si>
    <t>HillInt-RTRFI-000226</t>
  </si>
  <si>
    <t>REH-P1003-K03149-CRJ-RFI-CW-0075-00</t>
  </si>
  <si>
    <t>CCCEGY-RFI-000125</t>
  </si>
  <si>
    <t>REH-P1003-K03149-CRJ-RFI-CW-0075-00, Subject: SP04 - Missing Earthing Plans “Supplementary PKG” for SP04</t>
  </si>
  <si>
    <t>HillInt-RFI-000195</t>
  </si>
  <si>
    <t>DAE-RTRFI-000110</t>
  </si>
  <si>
    <t>HillInt-RTRFI-000326</t>
  </si>
  <si>
    <t>REH-P1003-K03149-CRJ-RFI-CW-0076-00</t>
  </si>
  <si>
    <t>CCCEGY-RFI-000124</t>
  </si>
  <si>
    <t>REH-P1003-K03149-CRJ-RFI-CW-0076-00, SP07 - Part 01,02 - Discrepancy between Revit Model &amp; IFC drawing</t>
  </si>
  <si>
    <t>HillInt-RFI-000193</t>
  </si>
  <si>
    <t>DAE-RTRFI-000126</t>
  </si>
  <si>
    <t>HillInt-RTRFI-000334</t>
  </si>
  <si>
    <t>REH-P1003-K03149-CRJ-RFI-CW-0077-00</t>
  </si>
  <si>
    <t>CCCEGY-RFI-000112</t>
  </si>
  <si>
    <t xml:space="preserve">	REH-P1003-K03149-CRJ-RFI-CW-0077-00, SP03 - Missing Sump pits at Columns and Axes IFC drawings</t>
  </si>
  <si>
    <t>HillInt-RFI-000174</t>
  </si>
  <si>
    <t>DAE-RTRFI-000103</t>
  </si>
  <si>
    <t>HillInt-RTRFI-000300</t>
  </si>
  <si>
    <t>CCCEGY-RFI-000082</t>
  </si>
  <si>
    <t>REH-P1003-K03149-CRJ-RFI-CW-0078-00</t>
  </si>
  <si>
    <t>REH-P1003-K03149-CRJ-RFI-CW-0078-00, Missing Earthing Plans “Supplementary PKG” for SP10</t>
  </si>
  <si>
    <t>HillInt-RFI-000121</t>
  </si>
  <si>
    <t>DAE-RTRFI-000107</t>
  </si>
  <si>
    <t>HillInt-RTRFI-000306</t>
  </si>
  <si>
    <t>CCCEGY-RFI-000098</t>
  </si>
  <si>
    <t>REH-P1003-K03149-CRJ-RFI-CW-0079-00</t>
  </si>
  <si>
    <t>REH-P1003-K03149-CRJ-RFI-CW-0079-00, Missing Architectural Package</t>
  </si>
  <si>
    <t>HillInt-RFI-000144</t>
  </si>
  <si>
    <t>DAE-RTRFI-000108</t>
  </si>
  <si>
    <t>HillInt-RTRFI-000390</t>
  </si>
  <si>
    <t>CCCEGY-RFI-000099</t>
  </si>
  <si>
    <t>REH-P1003-K03149-CRJ-RFI-CW-0080-00</t>
  </si>
  <si>
    <t>REH-P1003-K03149-CRJ-RFI-CW-0080-00, SP04 - Foundation Layout - Missing Levels</t>
  </si>
  <si>
    <t>HillInt-RFI-000143</t>
  </si>
  <si>
    <t>DAE-RTRFI-000088</t>
  </si>
  <si>
    <t>HillInt-RTRFI-000259</t>
  </si>
  <si>
    <t>CCCEGY-RFI-000100</t>
  </si>
  <si>
    <t>REH-P1003-K03149-CRJ-RFI-CW-0081-00</t>
  </si>
  <si>
    <t>REH-P1003-K03149-CRJ-RFI-CW-0081-00, SP07 - Foundation Layout - Missing Levels</t>
  </si>
  <si>
    <t>HillInt-RFI-000145</t>
  </si>
  <si>
    <t>DAE-RTRFI-000076</t>
  </si>
  <si>
    <t>HillInt-RTRFI-000234</t>
  </si>
  <si>
    <t>CCCEGY-RFI-000101</t>
  </si>
  <si>
    <t>REH-P1003-K03149-CRJ-RFI-CW-0082-00</t>
  </si>
  <si>
    <t>REH-P1003-K03149-CRJ-RFI-CW-0082-00, SP10 - Foundation Layout - Missing Levels</t>
  </si>
  <si>
    <t>HillInt-RFI-000146</t>
  </si>
  <si>
    <t>DAE-RTRFI-000075</t>
  </si>
  <si>
    <t>HillInt-RTRFI-000235</t>
  </si>
  <si>
    <t>CCCEGY-RFI-000083</t>
  </si>
  <si>
    <t>REH-P1003-K03149-CRJ-RFI-CW-0083-00</t>
  </si>
  <si>
    <t>REH-P1003-K03149-CRJ-RFI-CW-0083-00, Architectural Zero Level for SP01</t>
  </si>
  <si>
    <t>HillInt-RFI-000122</t>
  </si>
  <si>
    <t>DAE-RTRFI-000084</t>
  </si>
  <si>
    <t>HillInt-RTRFI-000263</t>
  </si>
  <si>
    <t>CCCEGY-RFI-000084</t>
  </si>
  <si>
    <t>REH-P1003-K03149-CRJ-RFI-CW-0084-00</t>
  </si>
  <si>
    <t>REH-P1003-K03149-CRJ-RFI-CW-0084-00, Architectural Zero Level for SP02</t>
  </si>
  <si>
    <t>HillInt-RFI-000123</t>
  </si>
  <si>
    <t>DAE-RTRFI-000079</t>
  </si>
  <si>
    <t>HillInt-RTRFI-000237</t>
  </si>
  <si>
    <t>CCCEGY-RFI-000085</t>
  </si>
  <si>
    <t>REH-P1003-K03149-CRJ-RFI-CW-0085-00</t>
  </si>
  <si>
    <t>REH-P1003-K03149-CRJ-RFI-CW-0085-00, Architectural Zero Level for SP03</t>
  </si>
  <si>
    <t>HillInt-RFI-000124</t>
  </si>
  <si>
    <t>DAE-RTRFI-000092</t>
  </si>
  <si>
    <t>HillInt-RTRFI-000267</t>
  </si>
  <si>
    <t>CCCEGY-RFI-000086</t>
  </si>
  <si>
    <t>REH-P1003-K03149-CRJ-RFI-CW-0086-00</t>
  </si>
  <si>
    <t>REH-P1003-K03149-CRJ-RFI-CW-0086-00, Architectural Zero Level for SP04</t>
  </si>
  <si>
    <t>HillInt-RFI-000125</t>
  </si>
  <si>
    <t>DAE-RTRFI-000087</t>
  </si>
  <si>
    <t>HillInt-RTRFI-000260</t>
  </si>
  <si>
    <t>REH-P1003-K03149-CRJ-RFI-CW-0086-01</t>
  </si>
  <si>
    <t>CCCEGY-RFI-000111</t>
  </si>
  <si>
    <t>REH-P1003-K03149-CRJ-RFI-CW-0086-01, SP04 - Architectural Zero Level</t>
  </si>
  <si>
    <t>HillInt-RFI-000173</t>
  </si>
  <si>
    <t>DAE-RTRFI-000102</t>
  </si>
  <si>
    <t>HillInt-RTRFI-000301</t>
  </si>
  <si>
    <t>CCCEGY-RFI-000087</t>
  </si>
  <si>
    <t>REH-P1003-K03149-CRJ-RFI-CW-0087-00</t>
  </si>
  <si>
    <t>REH-P1003-K03149-CRJ-RFI-CW-0087-00, Architectural Zero Level for SP05</t>
  </si>
  <si>
    <t>HillInt-RFI-000126</t>
  </si>
  <si>
    <t>DAE-RTRFI-000100</t>
  </si>
  <si>
    <t>HillInt-RTRFI-000284</t>
  </si>
  <si>
    <t>CCCEGY-RFI-000088</t>
  </si>
  <si>
    <t>REH-P1003-K03149-CRJ-RFI-CW-0088-00</t>
  </si>
  <si>
    <t>REH-P1003-K03149-CRJ-RFI-CW-0088-00, Architectural Zero Level for SP06</t>
  </si>
  <si>
    <t>HillInt-RFI-000127</t>
  </si>
  <si>
    <t>DAE-RTRFI-000094</t>
  </si>
  <si>
    <t>HillInt-RTRFI-000294</t>
  </si>
  <si>
    <t>CCCEGY-RFI-000089</t>
  </si>
  <si>
    <t>REH-P1003-K03149-CRJ-RFI-CW-0089-00</t>
  </si>
  <si>
    <t>REH-P1003-K03149-CRJ-RFI-CW-0089-00, Architectural Zero Level for SP07</t>
  </si>
  <si>
    <t>HillInt-RFI-000128</t>
  </si>
  <si>
    <t>DAE-RTRFI-000085</t>
  </si>
  <si>
    <t>HillInt-RTRFI-000262</t>
  </si>
  <si>
    <t>CCCEGY-RFI-000090</t>
  </si>
  <si>
    <t>REH-P1003-K03149-CRJ-RFI-CW-0090-00</t>
  </si>
  <si>
    <t>REH-P1003-K03149-CRJ-RFI-CW-0090-00, Architectural Zero Level for SP08</t>
  </si>
  <si>
    <t>HillInt-RFI-000129</t>
  </si>
  <si>
    <t>DAE-RTRFI-000097</t>
  </si>
  <si>
    <t>HillInt-RTRFI-000288</t>
  </si>
  <si>
    <t>CCCEGY-RFI-000091</t>
  </si>
  <si>
    <t>REH-P1003-K03149-CRJ-RFI-CW-0091-00</t>
  </si>
  <si>
    <t>REH-P1003-K03149-CRJ-RFI-CW-0091-00, Architectural Zero Level for SP09</t>
  </si>
  <si>
    <t>HillInt-RFI-000166</t>
  </si>
  <si>
    <t>DAE-RTRFI-000095</t>
  </si>
  <si>
    <t>HillInt-RTRFI-000290</t>
  </si>
  <si>
    <t>CCCEGY-RFI-000092</t>
  </si>
  <si>
    <t>REH-P1003-K03149-CRJ-RFI-CW-0092-00</t>
  </si>
  <si>
    <t>REH-P1003-K03149-CRJ-RFI-CW-0092-00, Architectural Zero Level for SP10</t>
  </si>
  <si>
    <t>HillInt-RFI-000130</t>
  </si>
  <si>
    <t>DAE-RTRFI-000086</t>
  </si>
  <si>
    <t>HillInt-RTRFI-000261</t>
  </si>
  <si>
    <t>CCCEGY-RFI-000093</t>
  </si>
  <si>
    <t>REH-P1003-K03149-CRJ-RFI-CW-0093-00</t>
  </si>
  <si>
    <t>REH-P1003-K03149-CRJ-RFI-CW-0093-00, SP04 - Missing Stacking Points</t>
  </si>
  <si>
    <t>HillInt-RFI-000131</t>
  </si>
  <si>
    <t>DAE-RTRFI-000098</t>
  </si>
  <si>
    <t>HillInt-RTRFI-000286</t>
  </si>
  <si>
    <t>CCCEGY-RFI-000094</t>
  </si>
  <si>
    <t>REH-P1003-K03149-CRJ-RFI-CW-0094-00</t>
  </si>
  <si>
    <t>REH-P1003-K03149-CRJ-RFI-CW-0094-00, SP06 - Missing Stacking Points</t>
  </si>
  <si>
    <t>HillInt-RFI-000132</t>
  </si>
  <si>
    <t>DAE-RTRFI-000096</t>
  </si>
  <si>
    <t>HillInt-RTRFI-000289</t>
  </si>
  <si>
    <t>CCCEGY-RFI-000095</t>
  </si>
  <si>
    <t>REH-P1003-K03149-CRJ-RFI-CW-0095-00</t>
  </si>
  <si>
    <t>REH-P1003-K03149-CRJ-RFI-CW-0095-00, SP07 - Missing Stacking Points</t>
  </si>
  <si>
    <t>HillInt-RFI-000149</t>
  </si>
  <si>
    <t>DAE-RTRFI-000093</t>
  </si>
  <si>
    <t>HillInt-RTRFI-000295</t>
  </si>
  <si>
    <t>CCCEGY-RFI-000096</t>
  </si>
  <si>
    <t>REH-P1003-K03149-CRJ-RFI-CW-0096-00</t>
  </si>
  <si>
    <t>REH-P1003-K03149-CRJ-RFI-CW-0096-00, SP10 - Missing Stacking Points</t>
  </si>
  <si>
    <t>HillInt-RFI-000165</t>
  </si>
  <si>
    <t>DAE-RTRFI-000099</t>
  </si>
  <si>
    <t>HillInt-RTRFI-000285</t>
  </si>
  <si>
    <t>CCCEGY-RFI-000097</t>
  </si>
  <si>
    <t>REH-P1003-K03149-CRJ-RFI-CW-0097-00</t>
  </si>
  <si>
    <t>REH-P1003-K03149-CRJ-RFI-CW-0097-00, SP09 - Foundation Layout - Missing Sump pits Levels</t>
  </si>
  <si>
    <t>HillInt-RFI-000147</t>
  </si>
  <si>
    <t>DAE-RTRFI-000077</t>
  </si>
  <si>
    <t>HillInt-RTRFI-000233</t>
  </si>
  <si>
    <t>REH-P1003-K03149-CRJ-RFI-CW-0098-00</t>
  </si>
  <si>
    <t>CCCEGY-RFI-000102</t>
  </si>
  <si>
    <t>REH-P1003-K03149-CRJ-RFI-CW-0098-00, SP06 - Conflict Between IFC Raft and Excavation Plan at Part 01 &amp; 02</t>
  </si>
  <si>
    <t>HillInt-RFI-000154</t>
  </si>
  <si>
    <t>DAE-RTRFI-000090</t>
  </si>
  <si>
    <t>HillInt-RTRFI-000270</t>
  </si>
  <si>
    <t>REH-P1003-K03149-CRJ-RFI-CW-0099-00</t>
  </si>
  <si>
    <t>CCCEGY-RFI-000103</t>
  </si>
  <si>
    <t>REH-P1003-K03149-CRJ-RFI-CW-0099-00, Request for Clarification: Discrepancy in Drain Pit (600x600x600mm) Details for Elevator Pits - Zone SP08</t>
  </si>
  <si>
    <t>HillInt-RFI-000153</t>
  </si>
  <si>
    <t>DAE-RTRFI-000121</t>
  </si>
  <si>
    <t>HillInt-RTRFI-000328</t>
  </si>
  <si>
    <t>REH-P1003-K03149-CRJ-RFI-CW-0100-00</t>
  </si>
  <si>
    <t>CCCEGY-RFI-000115</t>
  </si>
  <si>
    <t>REH-P1003-K03149-CRJ-RFI-CW-0100-00, Raft Mesh Direction Contradiction</t>
  </si>
  <si>
    <t>HillInt-RFI-000180</t>
  </si>
  <si>
    <t>DAE-RTRFI-000112</t>
  </si>
  <si>
    <t>HillInt-RTRFI-000325</t>
  </si>
  <si>
    <t>REH-P1003-K03149-CRJ-RFI-CW-0101-00</t>
  </si>
  <si>
    <t>CCCEGY-RFI-000116</t>
  </si>
  <si>
    <t>REH-P1003-K03149-CRJ-RFI-CW-0101-00, Side Bars and Haunch Reinforcement</t>
  </si>
  <si>
    <t>HillInt-RFI-000183</t>
  </si>
  <si>
    <t>DAE-RTRFI-000115</t>
  </si>
  <si>
    <t>HillInt-RTRFI-000322</t>
  </si>
  <si>
    <t>REH-P1003-K03149-CRJ-RFI-CW-0102-00</t>
  </si>
  <si>
    <t>CCCEGY-RFI-000117</t>
  </si>
  <si>
    <t>REH-P1003-K03149-CRJ-RFI-CW-0102-00, Vertical Elements Queries</t>
  </si>
  <si>
    <t>HillInt-RFI-000182</t>
  </si>
  <si>
    <t>DAE-RTRFI-000114</t>
  </si>
  <si>
    <t>HillInt-RTRFI-000323</t>
  </si>
  <si>
    <t>REH-P1003-K03149-CRJ-RFI-CW-0103-00</t>
  </si>
  <si>
    <t>CCCEGY-RFI-000145</t>
  </si>
  <si>
    <t>REH-P1003-K03149-CRJ-RFI-CW-0103-00, Core Wall Door Opening Contradictions</t>
  </si>
  <si>
    <t>HillInt-RFI-000226</t>
  </si>
  <si>
    <t>DAE-RTRFI-000144</t>
  </si>
  <si>
    <t>HillInt-RTRFI-000383</t>
  </si>
  <si>
    <t>REH-P1003-K03149-CRJ-RFI-CW-0104-00</t>
  </si>
  <si>
    <t xml:space="preserve">
CCCEGY-RFI-000131</t>
  </si>
  <si>
    <t>REH-P1003-K03149-CRJ-RFI-CW-0104-00, Subject: Missing Axes Grid Dimensions</t>
  </si>
  <si>
    <t>HillInt-RFI-000201</t>
  </si>
  <si>
    <t>DAE-RTRFI-000132</t>
  </si>
  <si>
    <t>HillInt-RTRFI-000374</t>
  </si>
  <si>
    <t>REH-P1003-K03149-CRJ-RFI-CW-0105-00</t>
  </si>
  <si>
    <t>CCCEGY-RFI-000147</t>
  </si>
  <si>
    <t>REH-P1003-K03149-CRJ-RFI-CW-0105-00, Missing Referenced Section Drawings</t>
  </si>
  <si>
    <t>HillInt-RFI-000247</t>
  </si>
  <si>
    <t>DAE-RTRFI-000138</t>
  </si>
  <si>
    <t>HillInt-RTRFI-000368</t>
  </si>
  <si>
    <t>REH-P1003-K03149-CRJ-RFI-CW-0106-00</t>
  </si>
  <si>
    <t>CCCEGY-RFI-000153</t>
  </si>
  <si>
    <t>REH-P1003-K03149-CRJ-RFI-CW-0106-00, Vertical Elements Missing Information</t>
  </si>
  <si>
    <t>HillInt-RFI-000254</t>
  </si>
  <si>
    <t>DAE-RTRFI-000161</t>
  </si>
  <si>
    <t>HillInt-RTRFI-000416</t>
  </si>
  <si>
    <t>REH-P1003-K03149-CRJ-RFI-CW-0107-00</t>
  </si>
  <si>
    <t>CCCEGY-RFI-000107</t>
  </si>
  <si>
    <t>REH-P1003-K03149-CRJ-RFI-CW-0107-00, SP01 - Part 03 - Conflict between Shear Wall &amp; Retaining Wall</t>
  </si>
  <si>
    <t>HillInt-RFI-000160</t>
  </si>
  <si>
    <t>DAE-RTRFI-000104</t>
  </si>
  <si>
    <t>HillInt-RTRFI-000310</t>
  </si>
  <si>
    <t>REH-P1003-K03149-CRJ-RFI-CW-0108-00</t>
  </si>
  <si>
    <t>CCCEGY-RFI-000118</t>
  </si>
  <si>
    <t>REH-P1003-K03149-CRJ-RFI-CW-0108-00, Columns Reinforcement Conflict</t>
  </si>
  <si>
    <t>HillInt-RFI-000181</t>
  </si>
  <si>
    <t>DAE-RTRFI-000113</t>
  </si>
  <si>
    <t>HillInt-RTRFI-000324</t>
  </si>
  <si>
    <t>REH-P1003-K03149-CRJ-RFI-CW-0109-00</t>
  </si>
  <si>
    <t>CCCEGY-RFI-000110</t>
  </si>
  <si>
    <t>REH-P1003-K03149-CRJ-RFI-CW-0109-00, General - LEED Scorecard</t>
  </si>
  <si>
    <t>HillInt-RFI-000172</t>
  </si>
  <si>
    <t>DAE-RTRFI-000101</t>
  </si>
  <si>
    <t>HillInt-RTRFI-000302</t>
  </si>
  <si>
    <t>REH-P1003-K03149-CRJ-RFI-CW-0110-00</t>
  </si>
  <si>
    <t>CCCEGY-RFI-000119</t>
  </si>
  <si>
    <t>REH-P1003-K03149-CRJ-RFI-CW-0110-00, SP-09 - Level Conflict</t>
  </si>
  <si>
    <t>HillInt-RFI-000187</t>
  </si>
  <si>
    <t>DAE-RTRFI-000118</t>
  </si>
  <si>
    <t>HillInt-RTRFI-000319</t>
  </si>
  <si>
    <t>REH-P1003-K03149-CRJ-RFI-CW-0111-00</t>
  </si>
  <si>
    <t>CCCEGY-RFI-000120</t>
  </si>
  <si>
    <t>REH-P1003-K03149-CRJ-RFI-CW-0111-00, SP05 - Conflict Between IFC Raft and Ramp &amp; Its Drain</t>
  </si>
  <si>
    <t>CCCEGY-RFI-000123</t>
  </si>
  <si>
    <t>DAE-RTRFI-000117</t>
  </si>
  <si>
    <t xml:space="preserve">
HillInt-RTRFI-000320</t>
  </si>
  <si>
    <t>REH-P1003-K03149-CRJ-RFI-CW-0112-00</t>
  </si>
  <si>
    <t>CCCEGY-RFI-000121</t>
  </si>
  <si>
    <t>REH-P1003-K03149-CRJ-RFI-CW-0112-00, SP 10 - Stairs and Ramps Starter Location</t>
  </si>
  <si>
    <t>HillInt-RFI-000185</t>
  </si>
  <si>
    <t>DAE-RTRFI-000116</t>
  </si>
  <si>
    <t>HillInt-RTRFI-000321</t>
  </si>
  <si>
    <t>REH-P1003-K03149-CRJ-RFI-CW-0113-00</t>
  </si>
  <si>
    <t>CCCEGY-RFI-000126</t>
  </si>
  <si>
    <t>REH-P1003-K03149-CRJ-RFI-CW-0113-00, Subject: SP 09 - Stairs and Ramps Starter Location</t>
  </si>
  <si>
    <t>HillInt-RFI-000197</t>
  </si>
  <si>
    <t>DAE-RTRFI-000124</t>
  </si>
  <si>
    <t>HillInt-RTRFI-000336</t>
  </si>
  <si>
    <t>REH-P1003-K03149-CRJ-RFI-CW-0114-00</t>
  </si>
  <si>
    <t>CCCEGY-RFI-000127</t>
  </si>
  <si>
    <t>REH-P1003-K03149-CRJ-RFI-CW-0114-00, Subject: SP 03 - Stairs and Ramps Starter Location.</t>
  </si>
  <si>
    <t>HillInt-RFI-000196</t>
  </si>
  <si>
    <t>DAE-RTRFI-000125</t>
  </si>
  <si>
    <t>HillInt-RTRFI-000335</t>
  </si>
  <si>
    <t>REH-P1003-K03149-CRJ-RFI-CW-0115-00</t>
  </si>
  <si>
    <t>CCCEGY-RFI-000128</t>
  </si>
  <si>
    <t>REH-P1003-K03149-CRJ-RFI-CW-0115-00, Subject: SP 04 - Stairs and Ramps Starter Location.</t>
  </si>
  <si>
    <t>HillInt-RFI-000198</t>
  </si>
  <si>
    <t>DAE-RTRFI-000123</t>
  </si>
  <si>
    <t>HillInt-RTRFI-000337</t>
  </si>
  <si>
    <t>REH-P1003-K03149-CRJ-RFI-CW-0116-00</t>
  </si>
  <si>
    <t>CCCEGY-RFI-000129</t>
  </si>
  <si>
    <t>REH-P1003-K03149-CRJ-RFI-CW-0116-00, Subject: SP-07 - Stairs and Ramps Starter Inquiries.</t>
  </si>
  <si>
    <t>HillInt-RFI-000199</t>
  </si>
  <si>
    <t>DAE-RTRFI-000122</t>
  </si>
  <si>
    <t>HillInt-RTRFI-000338</t>
  </si>
  <si>
    <t>REH-P1003-K03149-CRJ-RFI-CW-0117-00</t>
  </si>
  <si>
    <t>CCCEGY-RFI-000130</t>
  </si>
  <si>
    <t>REH-P1003-K03149-CRJ-RFI-CW-0117-00, Subject: SP 09 - Part 3 - Level Discrepancy Between Drawings (Zone 1 &amp; Zone 2)</t>
  </si>
  <si>
    <t>HillInt-RFI-000200</t>
  </si>
  <si>
    <t>DAE-RTRFI-000127</t>
  </si>
  <si>
    <t>HillInt-RTRFI-000333</t>
  </si>
  <si>
    <t>REH-P1003-K03149-CRJ-RFI-CW-0118-00</t>
  </si>
  <si>
    <t>CCCEGY-RFI-000132</t>
  </si>
  <si>
    <t>REH-P1003-K03149-CRJ-RFI-CW-0118-00, Missing Door Opening Dimensions - Columns and Axes Drawings</t>
  </si>
  <si>
    <t>HillInt-RFI-000206</t>
  </si>
  <si>
    <t>DAE-RTRFI-000129</t>
  </si>
  <si>
    <t>HillInt-RTRFI-000348</t>
  </si>
  <si>
    <t>REH-P1003-K03149-CRJ-RFI-CW-0119-00</t>
  </si>
  <si>
    <t>REH-P1003-K03149-CRJ-RFI-CW-0119-00, SP-09 - Part 6 - Clarification Regarding Retaining Wall Location (Cloud 1 &amp; 2)</t>
  </si>
  <si>
    <t>HillInt-RFI-000189</t>
  </si>
  <si>
    <t>DAE-RTRFI-000119</t>
  </si>
  <si>
    <t>HillInt-RTRFI-000318</t>
  </si>
  <si>
    <t>REH-P1003-K03149-CRJ-RFI-CW-0119-01</t>
  </si>
  <si>
    <t>CCCEGY-RFI-000168</t>
  </si>
  <si>
    <t>REH-P1003-K03149-CRJ-RFI-CW-0119-01, SP-09 - Part 6 - Clarification Regarding Retaining Wall Location (Cloud 1 &amp; 2)</t>
  </si>
  <si>
    <t>HillInt-RFI-000268</t>
  </si>
  <si>
    <t>DAE-RTRFI-000173</t>
  </si>
  <si>
    <t>HillInt-RTRFI-000447</t>
  </si>
  <si>
    <t>REH-P1003-K03149-CRJ-RFI-CW-0119-02</t>
  </si>
  <si>
    <t>CCCEGY-RFI-000199</t>
  </si>
  <si>
    <t>REH-P1003-K03149-CRJ-RFI-CW-0119-02, SP-09 - Part 6 - Clarification Regarding Retaining Wall Location (Cloud 1 &amp; 2)</t>
  </si>
  <si>
    <t>HillInt-RFI-000368</t>
  </si>
  <si>
    <t>DAE-RTRFI-000193</t>
  </si>
  <si>
    <t>HillInt-RTRFI-000503</t>
  </si>
  <si>
    <t>REH-P1003-K03149-CRJ-RFI-CW-0120-00</t>
  </si>
  <si>
    <t>CCCEGY-RFI-000133</t>
  </si>
  <si>
    <t>REH-P1003-K03149-CRJ-RFI-CW-0120-00, SP-05 - Conflict with New Earthing and Structural Elements</t>
  </si>
  <si>
    <t>HillInt-RFI-000208</t>
  </si>
  <si>
    <t>DAE-RTRFI-000165</t>
  </si>
  <si>
    <t>HillInt-RTRFI-000428</t>
  </si>
  <si>
    <t>reminder 
HillInt-GNC-000760
17 May 2026</t>
  </si>
  <si>
    <t>REH-P1003-K03149-CRJ-RFI-CW-0121-00</t>
  </si>
  <si>
    <t>CCCEGY-RFI-000134</t>
  </si>
  <si>
    <t>REH-P1003-K03149-CRJ-RFI-CW-0121-00, General - Earthing Inquiries</t>
  </si>
  <si>
    <t>HillInt-RFI-000210</t>
  </si>
  <si>
    <t>DAE-RTRFI-000145</t>
  </si>
  <si>
    <t>HillInt-RTRFI-000395</t>
  </si>
  <si>
    <t>HillInt-GNC-000761
Kindly write your name and provide your signature.</t>
  </si>
  <si>
    <t>REH-P1003-K03149-CRJ-RFI-CW-0122-00</t>
  </si>
  <si>
    <t>CCCEGY-RFI-000135</t>
  </si>
  <si>
    <t>REH-P1003-K03149-CRJ-RFI-CW-0122-00, SP07 - Missing Earthing and Lightning Plans “Supplementary PKG” for SP07</t>
  </si>
  <si>
    <t xml:space="preserve">
HillInt-RFI-000211</t>
  </si>
  <si>
    <t>DAE-RTRFI-000130</t>
  </si>
  <si>
    <t>HillInt-RTRFI-000354</t>
  </si>
  <si>
    <t>REH-P1003-K03149-CRJ-RFI-CW-0123-00</t>
  </si>
  <si>
    <t>CCCEGY-RFI-000143</t>
  </si>
  <si>
    <t>REH-P1003-K03149-CRJ-RFI-CW-0123-00, Vertical Elements Queries</t>
  </si>
  <si>
    <t>HillInt-RFI-000224</t>
  </si>
  <si>
    <t>DAE-RTRFI-000134</t>
  </si>
  <si>
    <t>HillInt-RTRFI-000372</t>
  </si>
  <si>
    <t>REH-P1003-K03149-CRJ-RFI-CW-0124-00</t>
  </si>
  <si>
    <t>CCCEGY-RFI-000136</t>
  </si>
  <si>
    <t>REH-P1003-K03149-CRJ-RFI-CW-0124-00, SP-06 - Missing Earthing Pits</t>
  </si>
  <si>
    <t>HillInt-RFI-000212</t>
  </si>
  <si>
    <t>DAE-RTRFI-000128</t>
  </si>
  <si>
    <t>HillInt-RTRFI-000343</t>
  </si>
  <si>
    <t>REH-P1003-K03149-CRJ-RFI-CW-0125-00</t>
  </si>
  <si>
    <t>CCCEGY-RFI-000137</t>
  </si>
  <si>
    <t>REH-P1003-K03149-CRJ-RFI-CW-0125-00, General - Concrete design mixes</t>
  </si>
  <si>
    <t>HillInt-RFI-000214</t>
  </si>
  <si>
    <t>DAE-RTRFI-000131</t>
  </si>
  <si>
    <t>HillInt-RTRFI-000375</t>
  </si>
  <si>
    <t>REH-P1003-K03149-CRJ-RFI-CW-0126-00</t>
  </si>
  <si>
    <t>CCCEGY-RFI-000138</t>
  </si>
  <si>
    <t>REH-P1003-K03149-CRJ-RFI-CW-0126-00, Stair Starter beam dimensions</t>
  </si>
  <si>
    <t>HillInt-RFI-000217</t>
  </si>
  <si>
    <t>DAE-RTRFI-000133</t>
  </si>
  <si>
    <t>HillInt-RTRFI-000373</t>
  </si>
  <si>
    <t>REH-P1003-K03149-CRJ-RFI-CW-0127-00</t>
  </si>
  <si>
    <t>CCCEGY-RFI-000139</t>
  </si>
  <si>
    <t>REH-P1003-K03149-CRJ-RFI-CW-0127-00, SP-05 - Conflict with Reinforcement of Column Types/ Conflict with RC Slab Thickness</t>
  </si>
  <si>
    <t>HillInt-RFI-000218</t>
  </si>
  <si>
    <t>DAE-RTRFI-000140</t>
  </si>
  <si>
    <t>HillInt-RTRFI-000377</t>
  </si>
  <si>
    <t>REH-P1003-K03149-CRJ-RFI-CW-0128-00</t>
  </si>
  <si>
    <t>CCCEGY-RFI-000140</t>
  </si>
  <si>
    <t>REH-P1003-K03149-CRJ-RFI-CW-0128-00, SP-05 - Conflict Between Structural Column and Earthing System</t>
  </si>
  <si>
    <t>HillInt-RFI-000219</t>
  </si>
  <si>
    <t>DAE-RTRFI-000166</t>
  </si>
  <si>
    <t>HillInt-RTRFI-000429</t>
  </si>
  <si>
    <t>reminder 
HillInt-GNC-000770
18/05/2026</t>
  </si>
  <si>
    <t>REH-P1003-K03149-CRJ-RFI-CW-0129-00</t>
  </si>
  <si>
    <t>CCCEGY-RFI-000141</t>
  </si>
  <si>
    <t>REH-P1003-K03149-CRJ-RFI-CW-0129-00, SP-05 - Part 02</t>
  </si>
  <si>
    <t>HillInt-RFI-000220</t>
  </si>
  <si>
    <t>DAE-RTRFI-000135</t>
  </si>
  <si>
    <t>HillInt-RTRFI-000371</t>
  </si>
  <si>
    <t>REH-P1003-K03149-CRJ-RFI-CW-0130-00</t>
  </si>
  <si>
    <t>CCCEGY-RFI-000144</t>
  </si>
  <si>
    <t>REH-P1003-K03149-CRJ-RFI-CW-0130-00, SP-05 - Part 01</t>
  </si>
  <si>
    <t>HillInt-RFI-000225</t>
  </si>
  <si>
    <t>DAE-RTRFI-000136</t>
  </si>
  <si>
    <t>HillInt-RTRFI-000370</t>
  </si>
  <si>
    <t>REH-P1003-K03149-CRJ-RFI-CW-0131-00</t>
  </si>
  <si>
    <t>CCCEGY-RFI-000146</t>
  </si>
  <si>
    <t>REH-P1003-K03149-CRJ-RFI-CW-0131-00, SP07 - Raft Thickness &amp; Boundary Discrepancy Clarification</t>
  </si>
  <si>
    <t>HillInt-RFI-000227</t>
  </si>
  <si>
    <t>DAE-RTRFI-000137</t>
  </si>
  <si>
    <t>HillInt-RTRFI-000369</t>
  </si>
  <si>
    <t>REH-P1003-K03149-CRJ-RFI-CW-0131-01</t>
  </si>
  <si>
    <t>CCCEGY-RFI-000210</t>
  </si>
  <si>
    <t>REH-P1003-K03149-CRJ-RFI-CW-0131-01, SP07 - Raft Boundary Discrepancy Clarification</t>
  </si>
  <si>
    <t>HillInt-RFI-000400</t>
  </si>
  <si>
    <t>DAE-RTRFI-000199</t>
  </si>
  <si>
    <t>HillInt-RTRFI-000516</t>
  </si>
  <si>
    <t>REH-P1003-K03149-CRJ-RFI-CW-0132-00</t>
  </si>
  <si>
    <t>CCCEGY-RFI-000163</t>
  </si>
  <si>
    <t>REH-P1003-K03149-CRJ-RFI-CW-0132-00, Columns Missing Setting-Out Dimensions</t>
  </si>
  <si>
    <t>HillInt-RFI-000267</t>
  </si>
  <si>
    <t>DAE-RTRFI-000171</t>
  </si>
  <si>
    <t>HillInt-RTRFI-000443</t>
  </si>
  <si>
    <t>REH-P1003-K03149-CRJ-RFI-CW-0132-01</t>
  </si>
  <si>
    <t>CCCEGY-RFI-000211</t>
  </si>
  <si>
    <t>REH-P1003-K03149-CRJ-RFI-CW-0132-01, Columns Missing Setting-Out Dimensions</t>
  </si>
  <si>
    <t>HillInt-RFI-000402</t>
  </si>
  <si>
    <t>DAE-RTRFI-000213</t>
  </si>
  <si>
    <t>HillInt-RTRFI-000554</t>
  </si>
  <si>
    <t>REH-P1003-K03149-CRJ-RFI-CW-0133-00</t>
  </si>
  <si>
    <t>CCCEGY-RFI-000152</t>
  </si>
  <si>
    <t>REH-P1003-K03149-CRJ-RFI-CW-0133-00, Vertical Columns RFT Splice Location</t>
  </si>
  <si>
    <t>HillInt-RFI-000253</t>
  </si>
  <si>
    <t>DAE-RTRFI-000160</t>
  </si>
  <si>
    <t>HillInt-RTRFI-000403</t>
  </si>
  <si>
    <t>REH-P1003-K03149-CRJ-RFI-CW-0134-00</t>
  </si>
  <si>
    <t>CCCEGY-RFI-000182</t>
  </si>
  <si>
    <t>REH-P1003-K03149-CRJ-RFI-CW-0134-00, Vertical Elements Clarifications</t>
  </si>
  <si>
    <t>HillInt-RFI-000317</t>
  </si>
  <si>
    <t>DAE-RTRFI-000184</t>
  </si>
  <si>
    <t>HillInt-RTRFI-000480</t>
  </si>
  <si>
    <t>REH-P1003-K03149-CRJ-RFI-CW-0134-01</t>
  </si>
  <si>
    <t>CCCEGY-RFI-000216</t>
  </si>
  <si>
    <t>REH-P1003-K03149-CRJ-RFI-CW-0134-01, Vertical Elements Clarifications</t>
  </si>
  <si>
    <t>HillInt-RFI-000415</t>
  </si>
  <si>
    <t>DAE-RTRFI-000214</t>
  </si>
  <si>
    <t>HillInt-RTRFI-000555</t>
  </si>
  <si>
    <t>REH-P1003-K03149-CRJ-RFI-CW-0135-00</t>
  </si>
  <si>
    <t>CCCEGY-RFI-000154</t>
  </si>
  <si>
    <t>REH-P1003-K03149-CRJ-RFI-CW-0135-00, Additional Reinforcement Unclear Information</t>
  </si>
  <si>
    <t>HillInt-RFI-000255</t>
  </si>
  <si>
    <t>DAE-RTRFI-000150</t>
  </si>
  <si>
    <t>HillInt-RTRFI-000410</t>
  </si>
  <si>
    <t>REH-P1003-K03149-CRJ-RFI-CW-0136-00</t>
  </si>
  <si>
    <t>CCCEGY-RFI-000149</t>
  </si>
  <si>
    <t>REH-P1003-K03149-CRJ-RFI-CW-0136-00, SP07 - Missing data of Column and axis Layout</t>
  </si>
  <si>
    <t>HillInt-RFI-000248</t>
  </si>
  <si>
    <t>DAE-RTRFI-000146</t>
  </si>
  <si>
    <t>HillInt-RTRFI-000404</t>
  </si>
  <si>
    <t>REH-P1003-K03149-CRJ-RFI-CW-0137-00</t>
  </si>
  <si>
    <t>CCCEGY-RFI-000151</t>
  </si>
  <si>
    <t>REH-P1003-K03149-CRJ-RFI-CW-0137-00, SP 09 - Part 04 - Basement 02 - Columns and Axes - Missing Vertical Element Types</t>
  </si>
  <si>
    <t>HillInt-RFI-000250</t>
  </si>
  <si>
    <t>DAE-RTRFI-000148</t>
  </si>
  <si>
    <t>HillInt-RTRFI-000406</t>
  </si>
  <si>
    <t>re dewan to HillInt-GNC-000771
Kindly provide/write the comments on the RFI cover page.</t>
  </si>
  <si>
    <t>REH-P1003-K03149-CRJ-RFI-CW-0138-00</t>
  </si>
  <si>
    <t>CCCEGY-RFI-000150</t>
  </si>
  <si>
    <t>REH-P1003-K03149-CRJ-RFI-CW-0138-00, SP07 - Inquiries regarding Raft Reinforcement direction</t>
  </si>
  <si>
    <t>HillInt-RFI-000249</t>
  </si>
  <si>
    <t>DAE-RTRFI-000147</t>
  </si>
  <si>
    <t>HillInt-RTRFI-000405</t>
  </si>
  <si>
    <t>REH-P1003-K03149-CRJ-RFI-CW-0139-00</t>
  </si>
  <si>
    <t>CCCEGY-RFI-000158</t>
  </si>
  <si>
    <t>REH-P1003-K03149-CRJ-RFI-CW-0139-00, SP06 - Deviation for Horizontal and vertical axis</t>
  </si>
  <si>
    <t>HillInt-RFI-000259</t>
  </si>
  <si>
    <t>DAE-RTRFI-000141</t>
  </si>
  <si>
    <t>HillInt-RTRFI-000376</t>
  </si>
  <si>
    <t>REH-P1003-K03149-CRJ-RFI-CW-0140-00</t>
  </si>
  <si>
    <t>CCCEGY-RFI-000157</t>
  </si>
  <si>
    <t>REH-P1003-K03149-CRJ-RFI-CW-0140-00, SP05 - Part 04 Ramp RC Walls TOC Level</t>
  </si>
  <si>
    <t>HillInt-RFI-000258</t>
  </si>
  <si>
    <t>DAE-RTRFI-000143</t>
  </si>
  <si>
    <t>HillInt-RTRFI-000382</t>
  </si>
  <si>
    <t>REH-P1003-K03149-CRJ-RFI-CW-0141-00</t>
  </si>
  <si>
    <t>CCCEGY-RFI-000156</t>
  </si>
  <si>
    <t>REH-P1003-K03149-CRJ-RFI-CW-0141-00, GA Drawings - Generator Pit</t>
  </si>
  <si>
    <t>HillInt-RFI-000257</t>
  </si>
  <si>
    <t>DAE-RTRFI-000163</t>
  </si>
  <si>
    <t>HillInt-RTRFI-000421</t>
  </si>
  <si>
    <t>REH-P1003-K03149-CRJ-RFI-CW-0142-00</t>
  </si>
  <si>
    <t>CCCEGY-RFI-000162</t>
  </si>
  <si>
    <t>REH-P1003-K03149-CRJ-RFI-CW-0142-00, SP-09 - Part 05 - Basement 02 - Columns and Axes - Missing Vertical Element Types</t>
  </si>
  <si>
    <t>HillInt-RFI-000263</t>
  </si>
  <si>
    <t>DAE-RTRFI-000151</t>
  </si>
  <si>
    <t>HillInt-RTRFI-000411</t>
  </si>
  <si>
    <t>REH-P1003-K03149-CRJ-RFI-CW-0143-00</t>
  </si>
  <si>
    <t>CCCEGY-RFI-000161</t>
  </si>
  <si>
    <t>REH-P1003-K03149-CRJ-RFI-CW-0143-00, SP-09 - Part 03 - Basement 02 - Columns and Axes - Missing Vertical Element Types</t>
  </si>
  <si>
    <t>HillInt-RFI-000264</t>
  </si>
  <si>
    <t>DAE-RTRFI-000167</t>
  </si>
  <si>
    <t>HillInt-RTRFI-000430</t>
  </si>
  <si>
    <t>REH-P1003-K03149-CRJ-RFI-CW-0144-00</t>
  </si>
  <si>
    <t>CCCEGY-RFI-000160</t>
  </si>
  <si>
    <t>REH-P1003-K03149-CRJ-RFI-CW-0144-00, SP-09 - Part 01 - Basement 02 - Columns and Axes - Missing Vertical Element Types</t>
  </si>
  <si>
    <t>HillInt-RFI-000265</t>
  </si>
  <si>
    <t>DAE-RTRFI-000152</t>
  </si>
  <si>
    <t>HillInt-RTRFI-000412</t>
  </si>
  <si>
    <t>REH-P1003-K03149-CRJ-RFI-CW-0145-00</t>
  </si>
  <si>
    <t>CCCEGY-RFI-000159</t>
  </si>
  <si>
    <t>REH-P1003-K03149-CRJ-RFI-CW-0145-00, SP-09 - Part 02 - Basement 02 - Columns and Axes - Missing Vertical Element Types</t>
  </si>
  <si>
    <t>HillInt-RFI-000266</t>
  </si>
  <si>
    <t>DAE-RTRFI-000142</t>
  </si>
  <si>
    <t>HillInt-RTRFI-000379</t>
  </si>
  <si>
    <t>REH-P1003-K03149-CRJ-RFI-CW-0146-00</t>
  </si>
  <si>
    <t>CCCEGY-RFI-000164</t>
  </si>
  <si>
    <t>REH-P1003-K03149-CRJ-RFI-CW-0146-00, SP-09 - Part 06 - Basement 02 - Columns and Axes - Missing Vertical Element Types</t>
  </si>
  <si>
    <t>HillInt-RFI-000269</t>
  </si>
  <si>
    <t>DAE-RTRFI-000155</t>
  </si>
  <si>
    <t>HillInt-RTRFI-000414</t>
  </si>
  <si>
    <t>REH-P1003-K03149-CRJ-RFI-CW-0147-00</t>
  </si>
  <si>
    <t>CCCEGY-RFI-000169</t>
  </si>
  <si>
    <t>REH-P1003-K03149-CRJ-RFI-CW-0147-00, SP-04 - Part 01 - Basement 01 - Columns and Axes - Missing Vertical Element Types</t>
  </si>
  <si>
    <t>HillInt-RFI-000273</t>
  </si>
  <si>
    <t>DAE-RTRFI-000156</t>
  </si>
  <si>
    <t>HillInt-RTRFI-000415</t>
  </si>
  <si>
    <t>REH-P1003-K03149-CRJ-RFI-CW-0148-00</t>
  </si>
  <si>
    <t>CCCEGY-RFI-000165</t>
  </si>
  <si>
    <t>REH-P1003-K03149-CRJ-RFI-CW-0148-00, SP-03 - Part 01 - Basement 01 - Columns and Axes - Missing Vertical Element Types</t>
  </si>
  <si>
    <t>HillInt-RFI-000270</t>
  </si>
  <si>
    <t>DAE-RTRFI-000153</t>
  </si>
  <si>
    <t>HillInt-RTRFI-000413</t>
  </si>
  <si>
    <t>REH-P1003-K03149-CRJ-RFI-CW-0149-00</t>
  </si>
  <si>
    <t>CCCEGY-RFI-000166</t>
  </si>
  <si>
    <t>REH-P1003-K03149-CRJ-RFI-CW-0149-00, SP-03 - Part 02 - Basement 01 - Columns and Axes - Missing Vertical Element Types</t>
  </si>
  <si>
    <t>HillInt-RFI-000271</t>
  </si>
  <si>
    <t>DAE-RTRFI-000149</t>
  </si>
  <si>
    <t>HillInt-RTRFI-000409</t>
  </si>
  <si>
    <t>REH-P1003-K03149-CRJ-RFI-CW-0150-00</t>
  </si>
  <si>
    <t>CCCEGY-RFI-000167</t>
  </si>
  <si>
    <t>REH-P1003-K03149-CRJ-RFI-CW-0150-00, SP-03 - Part 03 - Basement 01 - Columns and Axes - Missing Vertical Element Types</t>
  </si>
  <si>
    <t>HillInt-RFI-000272</t>
  </si>
  <si>
    <t>DAE-RTRFI-000162</t>
  </si>
  <si>
    <t>HillInt-RTRFI-000417</t>
  </si>
  <si>
    <t>REH-P1003-K03149-CRJ-RFI-CW-0150-01</t>
  </si>
  <si>
    <t>CCCEGY-RFI-000198</t>
  </si>
  <si>
    <t>REH-P1003-K03149-CRJ-RFI-CW-0150-01, SP-03 - Part 03 - Basement 01 - Columns and Axes - Missing Vertical Element Types</t>
  </si>
  <si>
    <t>HillInt-RFI-000367</t>
  </si>
  <si>
    <t>DAE-GNC-000129</t>
  </si>
  <si>
    <t>HillInt-RTRFI-000525</t>
  </si>
  <si>
    <t>closed by eng Hossam Swaify</t>
  </si>
  <si>
    <t>REH-P1003-K03149-CRJ-RFI-CW-0151-00</t>
  </si>
  <si>
    <t>HillInt-RFI-000278</t>
  </si>
  <si>
    <t>REH-P1003-K03149-CRJ-RFI-CW-0151-00, Discrepancy between model &amp; IFC Drawing</t>
  </si>
  <si>
    <t>DAE-RTRFI-000169</t>
  </si>
  <si>
    <t>HillInt-RTRFI-000436</t>
  </si>
  <si>
    <t>REH-P1003-K03149-CRJ-RFI-CW-0152-00</t>
  </si>
  <si>
    <t>CCCEGY-RFI-000179</t>
  </si>
  <si>
    <t>REH-P1003-K03149-CRJ-RFI-CW-0152-00, Vertical Elements Clarifications</t>
  </si>
  <si>
    <t>HillInt-RFI-000314</t>
  </si>
  <si>
    <t>DAE-RTRFI-000174</t>
  </si>
  <si>
    <t>HillInt-RTRFI-000453</t>
  </si>
  <si>
    <t>REH-P1003-K03149-CRJ-RFI-CW-0153-00</t>
  </si>
  <si>
    <t>CCCEGY-RFI-000171</t>
  </si>
  <si>
    <t>REH-P1003-K03149-CRJ-RFI-CW-0153-00, SP-04 - Part 02 - Basement 01 - Columns and Axes - Missing Vertical Element Types</t>
  </si>
  <si>
    <t>HillInt-RFI-000279</t>
  </si>
  <si>
    <t>DAE-RTRFI-000157</t>
  </si>
  <si>
    <t>HillInt-RTRFI-000400</t>
  </si>
  <si>
    <t>REH-P1003-K03149-CRJ-RFI-CW-0154-00</t>
  </si>
  <si>
    <t>CCCEGY-RFI-000172</t>
  </si>
  <si>
    <t>REH-P1003-K03149-CRJ-RFI-CW-0154-00, SP-04 - Part 05 - Basement 01 - Columns and Axes - Missing Vertical Element Types</t>
  </si>
  <si>
    <t>HillInt-RFI-000280</t>
  </si>
  <si>
    <t>DAE-RTRFI-000158</t>
  </si>
  <si>
    <t>HillInt-RTRFI-000401</t>
  </si>
  <si>
    <t>REH-P1003-K03149-CRJ-RFI-CW-0155-00</t>
  </si>
  <si>
    <t>CCCEGY-RFI-000173</t>
  </si>
  <si>
    <t>REH-P1003-K03149-CRJ-RFI-CW-0155-00, SP-04 - Part 07 - Basement 01 - Columns and Axes - Missing Vertical Element Types</t>
  </si>
  <si>
    <t>HillInt-RFI-000281</t>
  </si>
  <si>
    <t>DAE-RTRFI-000159</t>
  </si>
  <si>
    <t>HillInt-RTRFI-000402</t>
  </si>
  <si>
    <t>REH-P1003-K03149-CRJ-RFI-CW-0156-00</t>
  </si>
  <si>
    <t>CCCEGY-RFI-000174</t>
  </si>
  <si>
    <t>REH-P1003-K03149-CRJ-RFI-CW-0156-00, Subject: SP 04 – Part 02 - Discrepancy in Core Wall Width Between Basement 02 and Basement 01</t>
  </si>
  <si>
    <t>HillInt-RFI-000291</t>
  </si>
  <si>
    <t>DAE-RTRFI-000170</t>
  </si>
  <si>
    <t>HillInt-RTRFI-000441</t>
  </si>
  <si>
    <t>REH-P1003-K03149-CRJ-RFI-CW-0157-00</t>
  </si>
  <si>
    <t>CCCEGY-RFI-000175</t>
  </si>
  <si>
    <t>REH-P1003-K03149-CRJ-RFI-CW-0157-00, Subject: SP07 – Part 04 - Discrepancy Regarding Lift Pit Location</t>
  </si>
  <si>
    <t>HillInt-RFI-000294</t>
  </si>
  <si>
    <t>DAE-RTRFI-000176</t>
  </si>
  <si>
    <t>HillInt-RTRFI-000455</t>
  </si>
  <si>
    <t>reminder 
HillInt-GNC-000956</t>
  </si>
  <si>
    <t>REH-P1003-K03149-CRJ-RFI-CW-0157-01</t>
  </si>
  <si>
    <t>CCCEGY-RFI-000203</t>
  </si>
  <si>
    <t>REH-P1003-K03149-CRJ-RFI-CW-0157-01, Subject: SP07 – Part 04 - Discrepancy Regarding Lift Pit Location</t>
  </si>
  <si>
    <t>HillInt-RFI-000387</t>
  </si>
  <si>
    <t>DAE-RTRFI-000200</t>
  </si>
  <si>
    <t>HillInt-RTRFI-000517</t>
  </si>
  <si>
    <t>REH-P1003-K03149-CRJ-RFI-CW-0158-00</t>
  </si>
  <si>
    <t>CCCEGY-RFI-000176</t>
  </si>
  <si>
    <t>REH-P1003-K03149-CRJ-RFI-CW-0158-00, Subject: Sump Pit Cover Slab Details.</t>
  </si>
  <si>
    <t>HillInt-RFI-000295</t>
  </si>
  <si>
    <t>DAE-RTRFI-000181</t>
  </si>
  <si>
    <t>HillInt-RTRFI-000477</t>
  </si>
  <si>
    <t>REH-P1003-K03149-CRJ-RFI-CW-0159-00</t>
  </si>
  <si>
    <t>CCCEGY-RFI-000177</t>
  </si>
  <si>
    <t>REH-P1003-K03149-CRJ-RFI-CW-0159-00, Subject: Sp04 – part 04 - Discrepancy Between Excavation and Foundation Drawings.</t>
  </si>
  <si>
    <t>HillInt-RFI-000296</t>
  </si>
  <si>
    <t>DAE-RTRFI-000175</t>
  </si>
  <si>
    <t>HillInt-RTRFI-000454</t>
  </si>
  <si>
    <t>REH-P1003-K03149-CRJ-RFI-CW-0160-00</t>
  </si>
  <si>
    <t>CCCEGY-RFI-000206</t>
  </si>
  <si>
    <t>REH-P1003-K03149-CRJ-RFI-CW-0160-00, BIM MODEL - SP09 - Part 03 - Lower Ground Floor - Discrepancy in Slab Levels (-1.40 vs - 0.90)</t>
  </si>
  <si>
    <t>HillInt-RFI-000397</t>
  </si>
  <si>
    <t>DAE-RTRFI-000208</t>
  </si>
  <si>
    <t>HillInt-RTRFI-000549</t>
  </si>
  <si>
    <t xml:space="preserve">HillInt-GNC-001256 - Reminder </t>
  </si>
  <si>
    <t>REH-P1003-K03149-CRJ-RFI-CW-0161-00</t>
  </si>
  <si>
    <t>CCCEGY-RFI-000191</t>
  </si>
  <si>
    <t>REH-P1003-K03149-CRJ-RFI-CW-0161-00, SP04 - Part 12 - Missing Raft Mesh Reinforcement Details</t>
  </si>
  <si>
    <t>HillInt-RFI-000326</t>
  </si>
  <si>
    <t>DAE-RTRFI-000182</t>
  </si>
  <si>
    <t>HillInt-RTRFI-000478</t>
  </si>
  <si>
    <t>REH-P1003-K03149-CRJ-RFI-CW-0162-00</t>
  </si>
  <si>
    <t>CCCEGY-RFI-000204</t>
  </si>
  <si>
    <t>REH-P1003-K03149-CRJ-RFI-CW-0162-00, SP-10 - Part 04 - Basement 02 - Columns and Axes - Clarification of Retaining Wall Type and Width</t>
  </si>
  <si>
    <t>HillInt-RFI-000395</t>
  </si>
  <si>
    <t>DAE-RTRFI-000201</t>
  </si>
  <si>
    <t>HillInt-RTRFI-000518</t>
  </si>
  <si>
    <t>REH-P1003-K03149-CRJ-RFI-CW-0163-00</t>
  </si>
  <si>
    <t>CCCEGY-RFI-000209</t>
  </si>
  <si>
    <t>REH-P1003-K03149-CRJ-RFI-CW-0163-00, SP 04 - Basement 01 - Part 04 - Missing Additional Reinforcement</t>
  </si>
  <si>
    <t>HillInt-RFI-000401</t>
  </si>
  <si>
    <t>DAE-RTRFI-000202</t>
  </si>
  <si>
    <t>HillInt-RTRFI-000524</t>
  </si>
  <si>
    <t>REH-P1003-K03149-CRJ-RFI-CW-0164-00</t>
  </si>
  <si>
    <t>CCCEGY-RFI-000229</t>
  </si>
  <si>
    <t>REH-P1003-K03149-CRJ-RFI-CW-0164-00, SP09 - Clarification Required for Staircase</t>
  </si>
  <si>
    <t>HillInt-RFI-000436</t>
  </si>
  <si>
    <t>DAE-RTRFI-000249</t>
  </si>
  <si>
    <t>HillInt-RTRFI-000623</t>
  </si>
  <si>
    <t>REH-P1003-K03149-CRJ-RFI-CW-0165-00</t>
  </si>
  <si>
    <t>CCCEGY-RFI-000181</t>
  </si>
  <si>
    <t>REH-P1003-K03149-CRJ-RFI-CW-0165-00, SP07 - Basement 02 - Part 02 - Missing Column Type and Ramp Wall Discrepancy</t>
  </si>
  <si>
    <t>HillInt-RFI-000316</t>
  </si>
  <si>
    <t>DAE-RTRFI-000192</t>
  </si>
  <si>
    <t>HillInt-RTRFI-000499</t>
  </si>
  <si>
    <t>REH-P1003-K03149-CRJ-RFI-CW-0166-00</t>
  </si>
  <si>
    <t>CCCEGY-RFI-000183</t>
  </si>
  <si>
    <t>REH-P1003-K03149-CRJ-RFI-CW-0166-00, SP07 - Basement 02-Part 02 - Missing Column Type</t>
  </si>
  <si>
    <t>HillInt-RFI-000318</t>
  </si>
  <si>
    <t>DAE-RTRFI-000191</t>
  </si>
  <si>
    <t>HillInt-RTRFI-000497</t>
  </si>
  <si>
    <t>REH-P1003-K03149-CRJ-RFI-CW-0167-00</t>
  </si>
  <si>
    <t>CCCEGY-RFI-000180</t>
  </si>
  <si>
    <t>REH-P1003-K03149-CRJ-RFI-CW-0167-00, SP-09 - Part 01 - Core Door Opening &amp; Setting Out Clarification</t>
  </si>
  <si>
    <t>HillInt-RFI-000315</t>
  </si>
  <si>
    <t>DAE-RTRFI-000177</t>
  </si>
  <si>
    <t>HillInt-RTRFI-000456</t>
  </si>
  <si>
    <t>REH-P1003-K03149-CRJ-RFI-CW-0168-00</t>
  </si>
  <si>
    <t>CCCEGY-RFI-000184</t>
  </si>
  <si>
    <t>REH-P1003-K03149-CRJ-RFI-CW-0168-00, SP-01 - Clarification Required for Stair Core Details and Stair Starter Bars</t>
  </si>
  <si>
    <t>HillInt-RFI-000319</t>
  </si>
  <si>
    <t>DAE-RTRFI-000183</t>
  </si>
  <si>
    <t>HillInt-RTRFI-000479</t>
  </si>
  <si>
    <t>REH-P1003-K03149-CRJ-RFI-CW-0169-00</t>
  </si>
  <si>
    <t>CCCEGY-RFI-000186</t>
  </si>
  <si>
    <t>REH-P1003-K03149-CRJ-RFI-CW-0169-00, SP-08 - Clarification Required for Stair Core Details and Stair Starter Bars</t>
  </si>
  <si>
    <t>HillInt-RFI-000320</t>
  </si>
  <si>
    <t>DAE-RTRFI-000190</t>
  </si>
  <si>
    <t>HillInt-RTRFI-000496</t>
  </si>
  <si>
    <t>REH-P1003-K03149-CRJ-RFI-CW-0170-00</t>
  </si>
  <si>
    <t>CCCEGY-RFI-000187</t>
  </si>
  <si>
    <t>REH-P1003-K03149-CRJ-RFI-CW-0170-00, Door Opining at Lif Pit</t>
  </si>
  <si>
    <t>HillInt-RFI-000322</t>
  </si>
  <si>
    <t>DAE-RTRFI-000168</t>
  </si>
  <si>
    <t>HillInt-RTRFI-000433</t>
  </si>
  <si>
    <t>REH-P1003-K03149-CRJ-RFI-CW-0171-00</t>
  </si>
  <si>
    <t>CCCEGY-RFI-000190</t>
  </si>
  <si>
    <t>REH-P1003-K03149-CRJ-RFI-CW-0171-00, Tank Wall Missing Designation</t>
  </si>
  <si>
    <t>HillInt-RFI-000325</t>
  </si>
  <si>
    <t>DAE-RTRFI-000189</t>
  </si>
  <si>
    <t>HillInt-RTRFI-000486</t>
  </si>
  <si>
    <t>REH-P1003-K03149-CRJ-RFI-CW-0172-00</t>
  </si>
  <si>
    <t>CCCEGY-RFI-000234</t>
  </si>
  <si>
    <t>REH-P1003-K03149-CRJ-RFI-CW-0172-00, SP 04 - Basement 02 - Part 05 - Missing Foundation Layout</t>
  </si>
  <si>
    <t>HillInt-RFI-000443</t>
  </si>
  <si>
    <t>DAE-RTRFI-000226</t>
  </si>
  <si>
    <t>HillInt-RTRFI-000574</t>
  </si>
  <si>
    <t>REH-P1003-K03149-CRJ-RFI-CW-0173-00</t>
  </si>
  <si>
    <t>CCCEGY-RFI-000185</t>
  </si>
  <si>
    <t>REH-P1003-K03149-CRJ-RFI-CW-0173-00, SP 08 - Clarification Required for Stair Core Details and Stair Starter Bars</t>
  </si>
  <si>
    <t>HillInt-RFI-000321</t>
  </si>
  <si>
    <t>DAE-RTRFI-000178</t>
  </si>
  <si>
    <t>HillInt-RTRFI-000457</t>
  </si>
  <si>
    <t>REH-P1003-K03149-CRJ-RFI-CW-0174-00</t>
  </si>
  <si>
    <t>CCCEGY-RFI-000188</t>
  </si>
  <si>
    <t>REH-P1003-K03149-CRJ-RFI-CW-0174-00, SP-05 - Part 01 Conflict Between Architectural and Structural Drawings Regarding Openings / Voids Areas</t>
  </si>
  <si>
    <t>HillInt-RFI-000323</t>
  </si>
  <si>
    <t>DAE-RTRFI-000195</t>
  </si>
  <si>
    <t>HillInt-RTRFI-000501</t>
  </si>
  <si>
    <t>REH-P1003-K03149-CRJ-RFI-CW-0074-01</t>
  </si>
  <si>
    <t>CCCEGY-RFI-000205</t>
  </si>
  <si>
    <t>REH-P1003-K03149-CRJ-RFI-CW-0074-01, Inquiries in Plot SP04 - Foundations Layout</t>
  </si>
  <si>
    <t>HillInt-RFI-000396</t>
  </si>
  <si>
    <t>DAE-RTRFI-000197</t>
  </si>
  <si>
    <t>HillInt-RTRFI-000513</t>
  </si>
  <si>
    <t>REH-P1003-K03149-CRJ-RFI-CW-0175-00</t>
  </si>
  <si>
    <t>CCCEGY-RFI-000200</t>
  </si>
  <si>
    <t>REH-P1003-K03149-CRJ-RFI-CW-0175-00, Subject: Super Plot SP04 – Part 05 – Insufficient Space for Expansion Joint Gap</t>
  </si>
  <si>
    <t>HillInt-RFI-000378</t>
  </si>
  <si>
    <t>DAE-RTRFI-000186</t>
  </si>
  <si>
    <t>HillInt-RTRFI-000484</t>
  </si>
  <si>
    <t>REH-P1003-K03149-CRJ-RFI-CW-0176-00</t>
  </si>
  <si>
    <t>CCCEGY-RFI-000189</t>
  </si>
  <si>
    <t>REH-P1003-K03149-CRJ-RFI-CW-0176-00, Conflict in Column Dimensions at SP01 - Part 02 - BASEMENT 2</t>
  </si>
  <si>
    <t>HillInt-RFI-000324</t>
  </si>
  <si>
    <t>DAE-RTRFI-000179</t>
  </si>
  <si>
    <t>HillInt-RTRFI-000458</t>
  </si>
  <si>
    <t>REH-P1003-K03149-CRJ-RFI-CW-0177-00</t>
  </si>
  <si>
    <t>CCCEGY-RFI-000193</t>
  </si>
  <si>
    <t>REH-P1003-K03149-CRJ-RFI-CW-0177-00, Conflict in Raft Foundation Thickness at SP01- PART 11 - BASEMENT 2</t>
  </si>
  <si>
    <t>HillInt-RFI-000331</t>
  </si>
  <si>
    <t>DAE-RTRFI-000180</t>
  </si>
  <si>
    <t>HillInt-RTRFI-000459</t>
  </si>
  <si>
    <t>REH-P1003-K03149-CRJ-RFI-CW-0178-00</t>
  </si>
  <si>
    <t>CCCEGY-RFI-000194</t>
  </si>
  <si>
    <t>REH-P1003-K03149-CRJ-RFI-CW-0178-00, SP-09 - Part 01 - Clarification of Lift Openings at Basement 01 Framing Plan</t>
  </si>
  <si>
    <t>HillInt-RFI-000332</t>
  </si>
  <si>
    <t>DAE-RTRFI-000187</t>
  </si>
  <si>
    <t>HillInt-RTRFI-000483</t>
  </si>
  <si>
    <t>REH-P1003-K03149-CRJ-RFI-CW-0179-00</t>
  </si>
  <si>
    <t>CCCEGY-RFI-000192</t>
  </si>
  <si>
    <t>REH-P1003-K03149-CRJ-RFI-CW-0179-00, SP-04 - Part 04 - Basement 01 - Columns and Axes - Vertical Element Inquiry</t>
  </si>
  <si>
    <t>HillInt-RFI-000330</t>
  </si>
  <si>
    <t>DAE-RTRFI-000185</t>
  </si>
  <si>
    <t>HillInt-RTRFI-000481</t>
  </si>
  <si>
    <t>REH-P1003-K03149-CRJ-RFI-CW-0180-00</t>
  </si>
  <si>
    <t>CCCEGY-RFI-000195</t>
  </si>
  <si>
    <t>REH-P1003-K03149-CRJ-RFI-CW-0180-00, Subject: SP 09 - Part 04 - Clarification of Stair Opening and Structural Element at Basement 01 Framing Plan</t>
  </si>
  <si>
    <t>HillInt-RFI-000338</t>
  </si>
  <si>
    <t>DAE-RTRFI-000196</t>
  </si>
  <si>
    <t>HillInt-RTRFI-000500</t>
  </si>
  <si>
    <t>REH-P1003-K03149-CRJ-RFI-CW-0181-00</t>
  </si>
  <si>
    <t>CCCEGY-RFI-000196</t>
  </si>
  <si>
    <t>REH-P1003-K03149-CRJ-RFI-CW-0181-00, Subject: SP 10 - Part 04 - Basement 02 - Columns and Axes - Missing Column Type</t>
  </si>
  <si>
    <t>HillInt-RFI-000339</t>
  </si>
  <si>
    <t>DAE-RTRFI-000194</t>
  </si>
  <si>
    <t>HillInt-RTRFI-000502</t>
  </si>
  <si>
    <t>REH-P1003-K03149-CRJ-RFI-CW-0182-00</t>
  </si>
  <si>
    <t>CCCEGY-RFI-000197</t>
  </si>
  <si>
    <t>REH-P1003-K03149-CRJ-RFI-CW-0182-00, Subject: Conflict in Raft Foundation Thickness at SP01-PART 08- BASEMENT 1</t>
  </si>
  <si>
    <t>HillInt-RFI-000355</t>
  </si>
  <si>
    <t>DAE-RTRFI-000188</t>
  </si>
  <si>
    <t>HillInt-RTRFI-000485</t>
  </si>
  <si>
    <t>REH-P1003-K03149-CRJ-RFI-CW-0183-00</t>
  </si>
  <si>
    <t>CCCEGY-RFI-000201</t>
  </si>
  <si>
    <t>REH-P1003-K03149-CRJ-RFI-CW-0183-00, Subject: SP07 – Part 04 – Missing data of additional Reinforcement</t>
  </si>
  <si>
    <t>HillInt-RFI-000380</t>
  </si>
  <si>
    <t>DAE-RTRFI-000198</t>
  </si>
  <si>
    <t>HillInt-RTRFI-000515</t>
  </si>
  <si>
    <t>REH-P1003-K03149-CRJ-RFI-CW-0184-00</t>
  </si>
  <si>
    <t>CCCEGY-RFI-000202</t>
  </si>
  <si>
    <t>REH-P1003-K03149-CRJ-RFI-CW-0184-00, Subject: General - Advanced copy of wall openings</t>
  </si>
  <si>
    <t>HillInt-RFI-000382</t>
  </si>
  <si>
    <t>DAE-RTRFI-000220</t>
  </si>
  <si>
    <t>HillInt-RTRFI-000568</t>
  </si>
  <si>
    <t>Reminder  HillInt-GNC-001254</t>
  </si>
  <si>
    <t>REH-P1003-K03149-CRJ-RFI-CW-0185-00</t>
  </si>
  <si>
    <t>CCCEGY-RFI-000212</t>
  </si>
  <si>
    <t>REH-P1003-K03149-CRJ-RFI-CW-0185-00, SP09 - Confirmation of Toilet Depressions Requirement</t>
  </si>
  <si>
    <t>HillInt-RFI-000404</t>
  </si>
  <si>
    <t>DAE-RTRFI-000204</t>
  </si>
  <si>
    <t>HillInt-RTRFI-000545</t>
  </si>
  <si>
    <t>REH-P1003-K03149-CRJ-RFI-CW-0186-00</t>
  </si>
  <si>
    <t>CCCEGY-RFI-000213</t>
  </si>
  <si>
    <t>REH-P1003-K03149-CRJ-RFI-CW-0186-00, SP-09 - Part 01 - Clarification of Lift Openings at Basement 01 Framing Plan</t>
  </si>
  <si>
    <t>HillInt-RFI-000405</t>
  </si>
  <si>
    <t>DAE-RTRFI-000205</t>
  </si>
  <si>
    <t>HillInt-RTRFI-000546</t>
  </si>
  <si>
    <t>REH-P1003-K03149-CRJ-RFI-CW-0187-00</t>
  </si>
  <si>
    <t>CCCEGY-RFI-000214</t>
  </si>
  <si>
    <t>REH-P1003-K03149-CRJ-RFI-CW-0187-00, SP09 - Confirmation of Openings Coordination</t>
  </si>
  <si>
    <t>HillInt-RFI-000406</t>
  </si>
  <si>
    <t>DAE-RTRFI-000206</t>
  </si>
  <si>
    <t>HillInt-RTRFI-000547</t>
  </si>
  <si>
    <t>REH-P1003-K03149-CRJ-RFI-CW-0188-00</t>
  </si>
  <si>
    <t>CCCEGY-RFI-000215</t>
  </si>
  <si>
    <t>REH-P1003-K03149-CRJ-RFI-CW-0188-00, SP09 - Confirmation of Slab level</t>
  </si>
  <si>
    <t>HillInt-RFI-000407</t>
  </si>
  <si>
    <t>DAE-RTRFI-000207</t>
  </si>
  <si>
    <t>HillInt-RTRFI-000548</t>
  </si>
  <si>
    <t>REH-P1003-K03149-CRJ-RFI-CW-0189-00</t>
  </si>
  <si>
    <t>CCCEGY-RFI-000208</t>
  </si>
  <si>
    <t>REH-P1003-K03149-CRJ-RFI-CW-0189-00, SP-10 - Part 05 - Basement 02 - Columns and Axes - Missing Column Types</t>
  </si>
  <si>
    <t>HillInt-RFI-000399</t>
  </si>
  <si>
    <t>DAE-RTRFI-000212</t>
  </si>
  <si>
    <t>HillInt-RTRFI-000553</t>
  </si>
  <si>
    <t xml:space="preserve">HillInt-GNC-001258 - Reminder </t>
  </si>
  <si>
    <t>REH-P1003-K03149-CRJ-RFI-CW-0190-00</t>
  </si>
  <si>
    <t>CCCEGY-RFI-000207</t>
  </si>
  <si>
    <t>REH-P1003-K03149-CRJ-RFI-CW-0190-00, BIM MODEL - SP04 - Missing Structural Slab on Grade (SOG) Area</t>
  </si>
  <si>
    <t>HillInt-RFI-000398</t>
  </si>
  <si>
    <t>DAE-RTRFI-000218</t>
  </si>
  <si>
    <t>HillInt-RTRFI-000556</t>
  </si>
  <si>
    <t xml:space="preserve">HillInt-GNC-001257 - Reminder </t>
  </si>
  <si>
    <t>REH-P1003-K03149-CRJ-RFI-CW-0191-00</t>
  </si>
  <si>
    <t>CCCEGY-RFI-000257</t>
  </si>
  <si>
    <t>REH-P1003-K03149-CRJ-RFI-CW-0191-00, Subject: SP 10 - Part 01 - Basement 02 - Columns and Axes - Missing Column Type</t>
  </si>
  <si>
    <t>HillInt-RFI-000478</t>
  </si>
  <si>
    <t>DAE-RTRFI-000240</t>
  </si>
  <si>
    <t>HillInt-RTRFI-000601</t>
  </si>
  <si>
    <t>REH-P1003-K03149-CRJ-RFI-CW-0192-00</t>
  </si>
  <si>
    <t>CCCEGY-RFI-000217</t>
  </si>
  <si>
    <t>REH-P1003-K03149-CRJ-RFI-CW-0192-00, SP06 - Basement 3 - Part 5</t>
  </si>
  <si>
    <t>HillInt-RFI-000416</t>
  </si>
  <si>
    <t>DAE-RTRFI-000211</t>
  </si>
  <si>
    <t>HillInt-RTRFI-000552</t>
  </si>
  <si>
    <t>REH-P1003-K03149-CRJ-RFI-CW-0193-00</t>
  </si>
  <si>
    <t>CCCEGY-RFI-000218</t>
  </si>
  <si>
    <t>REH-P1003-K03149-CRJ-RFI-CW-0193-00, SP06 - Basement 1 - Part 01</t>
  </si>
  <si>
    <t>HillInt-RFI-000417</t>
  </si>
  <si>
    <t>DAE-RTRFI-000210</t>
  </si>
  <si>
    <t>HillInt-RTRFI-000551</t>
  </si>
  <si>
    <t>REH-P1003-K03149-CRJ-RFI-CW-0194-00,</t>
  </si>
  <si>
    <t>CCCEGY-RFI-000219</t>
  </si>
  <si>
    <t>REH-P1003-K03149-CRJ-RFI-CW-0194-00, SP01 - Discrepancy Between Architectural and Structural Levels</t>
  </si>
  <si>
    <t>HillInt-RFI-000422</t>
  </si>
  <si>
    <t>DAE-RTRFI-000203</t>
  </si>
  <si>
    <t>HillInt-RTRFI-000532</t>
  </si>
  <si>
    <t>REH-P1003-K03149-CRJ-RFI-CW-0195-00</t>
  </si>
  <si>
    <t>CCCEGY-RFI-000220</t>
  </si>
  <si>
    <t>REH-P1003-K03149-CRJ-RFI-CW-0195-00, SP06 - Basement 2 - Part 4 &amp; 5</t>
  </si>
  <si>
    <t>HillInt-RFI-000425</t>
  </si>
  <si>
    <t>DAE-RTRFI-000209</t>
  </si>
  <si>
    <t>HillInt-RTRFI-000550</t>
  </si>
  <si>
    <t>REH-P1003-K03149-CRJ-RFI-CW-0196-00</t>
  </si>
  <si>
    <t>CCCEGY-RFI-000230</t>
  </si>
  <si>
    <t>REH-P1003-K03149-CRJ-RFI-CW-0196-00, SP06 - Basement 2 - Part 4</t>
  </si>
  <si>
    <t>HillInt-RFI-000437</t>
  </si>
  <si>
    <t>DAE-RTRFI-000219</t>
  </si>
  <si>
    <t>HillInt-RTRFI-000561</t>
  </si>
  <si>
    <t>REH-P1003-K03149-CRJ-RFI-CW-0197-00</t>
  </si>
  <si>
    <t>CCCEGY-RFI-000231</t>
  </si>
  <si>
    <t>REH-P1003-K03149-CRJ-RFI-CW-0197-00, SP06 - Basement 1 - Part 2 &amp; 3</t>
  </si>
  <si>
    <t>HillInt-RFI-000438</t>
  </si>
  <si>
    <t>DAE-RTRFI-000234</t>
  </si>
  <si>
    <t>HillInt-RTRFI-000591</t>
  </si>
  <si>
    <t>REH-P1003-K03149-CRJ-RFI-CW-0198-00</t>
  </si>
  <si>
    <t>CCCEGY-RFI-000221</t>
  </si>
  <si>
    <t>REH-P1003-K03149-CRJ-RFI-CW-0198-00, SP05 - Confirmation of Door Types, Dimensions, and Heights for RC Walls</t>
  </si>
  <si>
    <t>HillInt-RFI-000426</t>
  </si>
  <si>
    <t>DAE-RTRFI-000243</t>
  </si>
  <si>
    <t>HillInt-RTRFI-000611</t>
  </si>
  <si>
    <t>REH-P1003-K03149-CRJ-RFI-CW-0199-00</t>
  </si>
  <si>
    <t>CCCEGY-RFI-000222</t>
  </si>
  <si>
    <t>REH-P1003-K03149-CRJ-RFI-CW-0199-00, SP 03 - Basement 01 – IFC drawings (Rev 01) - Columns and Axes - Part 01</t>
  </si>
  <si>
    <t>HillInt-RFI-000429</t>
  </si>
  <si>
    <t>DAE-RTRFI-000227</t>
  </si>
  <si>
    <t>HillInt-RTRFI-000582</t>
  </si>
  <si>
    <t>REH-P1003-K03149-CRJ-RFI-CW-0200-00</t>
  </si>
  <si>
    <t>CCCEGY-RFI-000223</t>
  </si>
  <si>
    <t>REH-P1003-K03149-CRJ-RFI-CW-0200-00, SP 03 - Basement 01 - IFC drawings (Rev 01) - Columns and Axes - Part 02</t>
  </si>
  <si>
    <t>HillInt-RFI-000430</t>
  </si>
  <si>
    <t>DAE-RTRFI-000228</t>
  </si>
  <si>
    <t>HillInt-RTRFI-000583</t>
  </si>
  <si>
    <t>REH-P1003-K03149-CRJ-RFI-CW-0201-00</t>
  </si>
  <si>
    <t>CCCEGY-RFI-000224</t>
  </si>
  <si>
    <t>REH-P1003-K03149-CRJ-RFI-CW-0201-00, SP 03 - Basement 01 - IFC drawings (Rev 01) - Columns and Axes - Part 03</t>
  </si>
  <si>
    <t>HillInt-RFI-000431</t>
  </si>
  <si>
    <t>DAE-RTRFI-000229</t>
  </si>
  <si>
    <t>HillInt-RTRFI-000584</t>
  </si>
  <si>
    <t>REH-P1003-K03149-CRJ-RFI-CW-0202-00</t>
  </si>
  <si>
    <t>CCCEGY-RFI-000225</t>
  </si>
  <si>
    <t>REH-P1003-K03149-CRJ-RFI-CW-0202-00, SP 03 - Basement 01 - IFC drawings (Rev 01) - Foundation Layout Plan - Part 01</t>
  </si>
  <si>
    <t>HillInt-RFI-000432</t>
  </si>
  <si>
    <t>DAE-RTRFI-000230</t>
  </si>
  <si>
    <t>HillInt-RTRFI-000585</t>
  </si>
  <si>
    <t>REH-P1003-K03149-CRJ-RFI-CW-0203-00</t>
  </si>
  <si>
    <t>CCCEGY-RFI-000226</t>
  </si>
  <si>
    <t>REH-P1003-K03149-CRJ-RFI-CW-0203-00, SP 03 - Basement 01 - IFC drawings (Rev 01) - Foundation Layout Plan - Part 02</t>
  </si>
  <si>
    <t>HillInt-RFI-000433</t>
  </si>
  <si>
    <t>DAE-RTRFI-000231</t>
  </si>
  <si>
    <t>HillInt-RTRFI-000586</t>
  </si>
  <si>
    <t>REH-P1003-K03149-CRJ-RFI-CW-0204-00</t>
  </si>
  <si>
    <t>CCCEGY-RFI-000227</t>
  </si>
  <si>
    <t>REH-P1003-K03149-CRJ-RFI-CW-0204-00, SP 03 - Basement 01 - IFC drawings (Rev01) - Additional Reinforcement Inquires</t>
  </si>
  <si>
    <t>HillInt-RFI-000434</t>
  </si>
  <si>
    <t>DAE-RTRFI-000233</t>
  </si>
  <si>
    <t>HillInt-RTRFI-000590</t>
  </si>
  <si>
    <t>REH-P1003-K03149-CRJ-RFI-CW-0205-00</t>
  </si>
  <si>
    <t>CCCEGY-RFI-000228</t>
  </si>
  <si>
    <t>REH-P1003-K03149-CRJ-RFI-CW-0205-00, Missing Dimensions and Opening Height for Door in Core Wall at SP04-PART 06 - BASEMENT 2</t>
  </si>
  <si>
    <t>HillInt-RFI-000435</t>
  </si>
  <si>
    <t>DAE-RTRFI-000232</t>
  </si>
  <si>
    <t>HillInt-RTRFI-000587</t>
  </si>
  <si>
    <t>REH-P1003-K03149-CRJ-RFI-CW-0206-00</t>
  </si>
  <si>
    <t>CCCEGY-RFI-000235</t>
  </si>
  <si>
    <t>REH-P1003-K03149-CRJ-RFI-CW-0206-00, SP01 Parts 2 and 3 Substructure Conflicts</t>
  </si>
  <si>
    <t>HillInt-RFI-000444</t>
  </si>
  <si>
    <t>DAE-RTRFI-000223</t>
  </si>
  <si>
    <t xml:space="preserve">	HillInt-RTRFI-000571</t>
  </si>
  <si>
    <t>REH-P1003-K03149-CRJ-RFI-CW-0207-00</t>
  </si>
  <si>
    <t>CCCEGY-RFI-000236</t>
  </si>
  <si>
    <t>REH-P1003-K03149-CRJ-RFI-CW-0207-00, SP01 Parts 2 and 5 Substructure Conflicts</t>
  </si>
  <si>
    <t>HillInt-RFI-000445</t>
  </si>
  <si>
    <t>DAE-RTRFI-000222</t>
  </si>
  <si>
    <t>HillInt-RTRFI-000570</t>
  </si>
  <si>
    <t>REH-P1003-K03149-CRJ-RFI-CW-0208-00</t>
  </si>
  <si>
    <t>CCCEGY-RFI-000251</t>
  </si>
  <si>
    <t>REH-P1003-K03149-CRJ-RFI-CW-0208-00, SP01 - Part 02 - Discrepancy Between Architectural and Structural Levels at Lower Ground Floor</t>
  </si>
  <si>
    <t>HillInt-RFI-000465</t>
  </si>
  <si>
    <t>DAE-RTRFI-000247</t>
  </si>
  <si>
    <t>HillInt-RTRFI-000620</t>
  </si>
  <si>
    <t>REH-P1003-K03149-CRJ-RFI-CW-0209-00</t>
  </si>
  <si>
    <t>CCCEGY-RFI-000237</t>
  </si>
  <si>
    <t>REH-P1003-K03149-CRJ-RFI-CW-0209-00, SP06 - Basement 1 - Part 2 &amp; 3</t>
  </si>
  <si>
    <t>HillInt-RFI-000446</t>
  </si>
  <si>
    <t>DAE-RTRFI-000221</t>
  </si>
  <si>
    <t>HillInt-RTRFI-000569</t>
  </si>
  <si>
    <t>REH-P1003-K03149-CRJ-RFI-CW-0210-00</t>
  </si>
  <si>
    <t>CCCEGY-RFI-000232</t>
  </si>
  <si>
    <t>REH-P1003-K03149-CRJ-RFI-CW-0210-00, SP05 - Clarification required for door opening and missing column type</t>
  </si>
  <si>
    <t>HillInt-RFI-000441</t>
  </si>
  <si>
    <t>DAE-RTRFI-000250</t>
  </si>
  <si>
    <t>HillInt-RTRFI-000624</t>
  </si>
  <si>
    <t>REH-P1003-K03149-CRJ-RFI-CW-0211-00</t>
  </si>
  <si>
    <t>CCCEGY-RFI-000233</t>
  </si>
  <si>
    <t>REH-P1003-K03149-CRJ-RFI-CW-0211-00, SP 09 - Basement 02 - Part 01 - Missing setting out</t>
  </si>
  <si>
    <t>HillInt-RFI-000442</t>
  </si>
  <si>
    <t>DAE-RTRFI-000224</t>
  </si>
  <si>
    <t>HillInt-RTRFI-000572</t>
  </si>
  <si>
    <t>REH-P1003-K03149-CRJ-RFI-CW-0212-00</t>
  </si>
  <si>
    <t>CCCEGY-RFI-000244</t>
  </si>
  <si>
    <t>REH-P1003-K03149-CRJ-RFI-CW-0212-00, SP09 - Missing Reinforcement Details for IB Beams and Missing Beam B00 in Beam Schedule</t>
  </si>
  <si>
    <t>HillInt-RFI-000511</t>
  </si>
  <si>
    <t>DAE-RTRFI-000255</t>
  </si>
  <si>
    <t>HillInt-RTRFI-000635</t>
  </si>
  <si>
    <t>REH-P1003-K03149-CRJ-RFI-CW-0213-00</t>
  </si>
  <si>
    <t>CCCEGY-RFI-000239</t>
  </si>
  <si>
    <t>REH-P1003-K03149-CRJ-RFI-CW-0213-00, SP01 - Part 03 - Discrepancy Between Architectural and Structural Levels at Lower Ground Floor</t>
  </si>
  <si>
    <t>HillInt-RFI-000450</t>
  </si>
  <si>
    <t>DAE-RTRFI-000236</t>
  </si>
  <si>
    <t>HillInt-RTRFI-000593</t>
  </si>
  <si>
    <t>REH-P1003-K03149-CRJ-RFI-CW-0213-01</t>
  </si>
  <si>
    <t>CCCEGY-RFI-000323</t>
  </si>
  <si>
    <t>REH-P1003-K03149-CRJ-RFI-CW-0213-01, SP01 - Part 03 - Discrepancy Between Architectural and Structural Levels at Lower Ground Floor</t>
  </si>
  <si>
    <t>HillInt-RFI-000625</t>
  </si>
  <si>
    <t>DAE-RTRFI-000301</t>
  </si>
  <si>
    <t>HillInt-RTRFI-000774</t>
  </si>
  <si>
    <t>REH-P1003-K03149-CRJ-RFI-CW-0214-00</t>
  </si>
  <si>
    <t>CCCEGY-RFI-000240</t>
  </si>
  <si>
    <t>REH-P1003-K03149-CRJ-RFI-CW-0214-00, SP01 - Part 06 &amp; 06* - Discrepancy Between Architectural and Structural Levels at Lower Ground Floor</t>
  </si>
  <si>
    <t>HillInt-RFI-000451</t>
  </si>
  <si>
    <t>DAE-RTRFI-000246</t>
  </si>
  <si>
    <t>HillInt-RTRFI-000619</t>
  </si>
  <si>
    <t>REH-P1003-K03149-CRJ-RFI-CW-0215-00</t>
  </si>
  <si>
    <t>CCCEGY-RFI-000241</t>
  </si>
  <si>
    <t>REH-P1003-K03149-CRJ-RFI-CW-0215-00, SP01 - Part 09 - Discrepancy Between Architectural and Structural Levels at Lower Ground Floor</t>
  </si>
  <si>
    <t>HillInt-RFI-000452</t>
  </si>
  <si>
    <t>DAE-RTRFI-000244</t>
  </si>
  <si>
    <t>HillInt-RTRFI-000617</t>
  </si>
  <si>
    <t>REH-P1003-K03149-CRJ-RFI-CW-0216-00</t>
  </si>
  <si>
    <t>CCCEGY-RFI-000242</t>
  </si>
  <si>
    <t>REH-P1003-K03149-CRJ-RFI-CW-0216-00, SP01 - Part 10 - Discrepancy Between Architectural and Structural Levels at Lower Ground Floor</t>
  </si>
  <si>
    <t>HillInt-RFI-000453</t>
  </si>
  <si>
    <t>DAE-RTRFI-000245</t>
  </si>
  <si>
    <t>HillInt-RTRFI-000618</t>
  </si>
  <si>
    <t>REH-P1003-K03149-CRJ-RFI-CW-0217-00</t>
  </si>
  <si>
    <t>CCCEGY-RFI-000243</t>
  </si>
  <si>
    <t>REH-P1003-K03149-CRJ-RFI-CW-0217-00, SP01 - Part 11 - Discrepancy Between Architectural and Structural Levels at Lower Ground Floor</t>
  </si>
  <si>
    <t>HillInt-RFI-000454</t>
  </si>
  <si>
    <t>DAE-RTRFI-000248</t>
  </si>
  <si>
    <t>HillInt-RTRFI-000621</t>
  </si>
  <si>
    <t>REH-P1003-K03149-CRJ-RFI-CW-0218-00</t>
  </si>
  <si>
    <t>CCCEGY-RFI-000245</t>
  </si>
  <si>
    <t>REH-P1003-K03149-CRJ-RFI-CW-0218-00, Subject: Subject: SP01 - Part 12 - Discrepancy Between Architectural and Structural Levels at Lower Ground Floor</t>
  </si>
  <si>
    <t>HillInt-RFI-000458</t>
  </si>
  <si>
    <t>DAE-RTRFI-000242</t>
  </si>
  <si>
    <t>HillInt-RTRFI-000605</t>
  </si>
  <si>
    <t>REH-P1003-K03149-CRJ-RFI-CW-0219-00</t>
  </si>
  <si>
    <t>CCCEGY-RFI-000238</t>
  </si>
  <si>
    <t>REH-P1003-K03149-CRJ-RFI-CW-0219-00, SP 04 - Basement 01 - IFC drawings (Rev 01) - Columns and Axes - Part 04</t>
  </si>
  <si>
    <t>HillInt-RFI-000449</t>
  </si>
  <si>
    <t>DAE-RTRFI-000235</t>
  </si>
  <si>
    <t>HillInt-RTRFI-000592</t>
  </si>
  <si>
    <t>REH-P1003-K03149-CRJ-RFI-CW-0220-00</t>
  </si>
  <si>
    <t>CCCEGY-RFI-000246</t>
  </si>
  <si>
    <t>REH-P1003-K03149-CRJ-RFI-CW-0220-00, SP 04 - Basement 01 - IFC drawings (Rev 01) - Columns and Axes - Framing Plan - Part 10</t>
  </si>
  <si>
    <t>HillInt-RFI-000459</t>
  </si>
  <si>
    <t>DAE-RTRFI-000237</t>
  </si>
  <si>
    <t>REH-P1003-K03149-CRJ-RFI-CW-0221-00</t>
  </si>
  <si>
    <t>CCCEGY-RFI-000253</t>
  </si>
  <si>
    <t>REH-P1003-K03149-CRJ-RFI-CW-0221-00, Subject: SP 04 - Basement 01 - Part 07 - IFC drawings (Rev 01) - Columns Layout Plan</t>
  </si>
  <si>
    <t>HillInt-RFI-000480</t>
  </si>
  <si>
    <t>DAE-RTRFI-000252</t>
  </si>
  <si>
    <t>HillInt-RTRFI-000631</t>
  </si>
  <si>
    <t>REH-P1003-K03149-CRJ-RFI-CW-0222-00</t>
  </si>
  <si>
    <t>CCCEGY-RFI-000260</t>
  </si>
  <si>
    <t>REH-P1003-K03149-CRJ-RFI-CW-0222-00, Subject: SP 03 – Basement 01 – Part (01&amp;02) – Lift Pit and Drain Pit Details.</t>
  </si>
  <si>
    <t>HillInt-RFI-000479</t>
  </si>
  <si>
    <t>DAE-RTRFI-000263</t>
  </si>
  <si>
    <t>HillInt-RTRFI-000659</t>
  </si>
  <si>
    <t>REH-P1003-K03149-CRJ-RFI-CW-0223-00</t>
  </si>
  <si>
    <t>CCCEGY-RFI-000265</t>
  </si>
  <si>
    <t>REH-P1003-K03149-CRJ-RFI-CW-0223-00, Subject: SP 03 – Ground Floor – Missing Vertical Elements Types and Setting Out</t>
  </si>
  <si>
    <t>HillInt-RFI-000500</t>
  </si>
  <si>
    <t>DAE-RTRFI-000262</t>
  </si>
  <si>
    <t>HillInt-RTRFI-000658</t>
  </si>
  <si>
    <t>REH-P1003-K03149-CRJ-RFI-CW-0224-00</t>
  </si>
  <si>
    <t>CCCEGY-RFI-000266</t>
  </si>
  <si>
    <t>REH-P1003-K03149-CRJ-RFI-CW-0224-00, Subject: SP 03 – Ground Floor – Missing Setting-Out Information for Landscape Upstands</t>
  </si>
  <si>
    <t>HillInt-RFI-000501</t>
  </si>
  <si>
    <t>DAE-RTRFI-000261</t>
  </si>
  <si>
    <t>HillInt-RTRFI-000657</t>
  </si>
  <si>
    <t>REH-P1003-K03149-CRJ-RFI-CW-0225-00</t>
  </si>
  <si>
    <t>CCCEGY-RFI-000278</t>
  </si>
  <si>
    <t>REH-P1003-K03149-CRJ-RFI-CW-0225-00, SP 04 – Basement 01 Floor – Part 01 - Missing Core Walls Types..</t>
  </si>
  <si>
    <t>HillInt-RFI-000530</t>
  </si>
  <si>
    <t>DAE-RTRFI-000269</t>
  </si>
  <si>
    <t>HillInt-RTRFI-000697</t>
  </si>
  <si>
    <t>REH-P1003-K03149-CRJ-RFI-CW-0226-00</t>
  </si>
  <si>
    <t>CCCEGY-RFI-000254</t>
  </si>
  <si>
    <t>REH-P1003-K03149-CRJ-RFI-CW-0226-00, Subject: SP 03 –Ground Floor – Ramp Details</t>
  </si>
  <si>
    <t>HillInt-RFI-000481</t>
  </si>
  <si>
    <t>DAE-RTRFI-000267</t>
  </si>
  <si>
    <t>HillInt-RTRFI-000666</t>
  </si>
  <si>
    <t>REH-P1003-K03149-CRJ-RFI-CW-0227-00</t>
  </si>
  <si>
    <t>CCCEGY-RFI-000255</t>
  </si>
  <si>
    <t>REH-P1003-K03149-CRJ-RFI-CW-0227-00, Subject: SP 10 – Basement 01 – Part 01 - Slab Depression and Upstand Details</t>
  </si>
  <si>
    <t>HillInt-RFI-000482</t>
  </si>
  <si>
    <t>DAE-RTRFI-000254</t>
  </si>
  <si>
    <t>HillInt-RTRFI-000633</t>
  </si>
  <si>
    <t>REH-P1003-K03149-CRJ-RFI-CW-0228-00</t>
  </si>
  <si>
    <t>CCCEGY-RFI-000256</t>
  </si>
  <si>
    <t>REH-P1003-K03149-CRJ-RFI-CW-0228-00, Subject: SP 03 – Ground Floor - Clarification Required for Link Beams</t>
  </si>
  <si>
    <t>HillInt-RFI-000483</t>
  </si>
  <si>
    <t>DAE-RTRFI-000264</t>
  </si>
  <si>
    <t>HillInt-RTRFI-000661</t>
  </si>
  <si>
    <t>REH-P1003-K03149-CRJ-RFI-CW-0229-00</t>
  </si>
  <si>
    <t>CCCEGY-RFI-000247</t>
  </si>
  <si>
    <t>REH-P1003-K03149-CRJ-RFI-CW-0229-00, SP05 - Part 05 - Discrepancy Between Elevated Tank Slab and Part 05 Lower Ground Slab</t>
  </si>
  <si>
    <t>HillInt-RFI-000461</t>
  </si>
  <si>
    <t>DAE-RTRFI-000238</t>
  </si>
  <si>
    <t>HillInt-RTRFI-000598</t>
  </si>
  <si>
    <t>REH-P1003-K03149-CRJ-RFI-CW-0230-00</t>
  </si>
  <si>
    <t>CCCEGY-RFI-000248</t>
  </si>
  <si>
    <t>REH-P1003-K03149-CRJ-RFI-CW-0230-00, SP05 - Discrepancy between architectural and structural level</t>
  </si>
  <si>
    <t>HillInt-RFI-000462</t>
  </si>
  <si>
    <t>DAE-RTRFI-000241</t>
  </si>
  <si>
    <t>HillInt-RTRFI-000602</t>
  </si>
  <si>
    <t>REH-P1003-K03149-CRJ-RFI-CW-0231-00</t>
  </si>
  <si>
    <t>CCCEGY-RFI-000250</t>
  </si>
  <si>
    <t>REH-P1003-K03149-CRJ-RFI-CW-0231-00, SP06 - Basement 1 - Part 2</t>
  </si>
  <si>
    <t>HillInt-RFI-000464</t>
  </si>
  <si>
    <t>DAE-RTRFI-000239</t>
  </si>
  <si>
    <t>HillInt-RTRFI-000600</t>
  </si>
  <si>
    <t>REH-P1003-K03149-CRJ-RFI-CW-0232-00</t>
  </si>
  <si>
    <t>CCCEGY-RFI-000277</t>
  </si>
  <si>
    <t>REH-P1003-K03149-CRJ-RFI-CW-0232-00, SP 07 – Ramp Details.</t>
  </si>
  <si>
    <t>HillInt-RFI-000541</t>
  </si>
  <si>
    <t>DAE-RTRFI-000310</t>
  </si>
  <si>
    <t>HillInt-RTRFI-000830</t>
  </si>
  <si>
    <t>reminder  : HillInt-GNC-001652</t>
  </si>
  <si>
    <t>HillInt-GNC-001446- The RFI has not been submitted by the Contractor.</t>
  </si>
  <si>
    <t>REH-P1003-K03149-CRJ-RFI-CW-0232-01</t>
  </si>
  <si>
    <t>REH-P1003-K03149-CRJ-RFI-CW-0232-01, Subject: SP 07 – Ramp Details.</t>
  </si>
  <si>
    <t>HillInt-RFI-000812</t>
  </si>
  <si>
    <t>DAE-RTRFI-000351</t>
  </si>
  <si>
    <t>HillInt-RTRFI-000947</t>
  </si>
  <si>
    <t>REH-P1003-K03149-CRJ-RFI-CW-0233-00</t>
  </si>
  <si>
    <t>CCCEGY-RFI-000261</t>
  </si>
  <si>
    <t>REH-P1003-K03149-CRJ-RFI-CW-0233-00, Subject: SP09 -Missing Reinforcement Details for IB Beams and Missing Beam B00 in Beam Schedule</t>
  </si>
  <si>
    <t>HillInt-RFI-000494</t>
  </si>
  <si>
    <t>DAE-RTRFI-000256</t>
  </si>
  <si>
    <t>HillInt-RTRFI-000636</t>
  </si>
  <si>
    <t>REH-P1003-K03149-CRJ-RFI-CW-00234-00</t>
  </si>
  <si>
    <t>CCCEGY-RFI-000489</t>
  </si>
  <si>
    <t>REH-P1003-K03149-CRJ-RFI-CW-00234-00 ,Subject: General – Sunken Slab Boundaries</t>
  </si>
  <si>
    <t>HillInt-RFI-001023</t>
  </si>
  <si>
    <t>DAE-RTRFI-000436</t>
  </si>
  <si>
    <t>HillInt-RTRFI-001211</t>
  </si>
  <si>
    <t>REH-P1003-K03149-CRJ-RFI-CW-00234-01</t>
  </si>
  <si>
    <t>CCCEGY-RFI-000618</t>
  </si>
  <si>
    <t>Re: REH-P1003-K03149-CRJ-RFI-CW-00234-01 ,Subject: General – Sunken Slab Boundaries</t>
  </si>
  <si>
    <t>HillInt-GNC-003596</t>
  </si>
  <si>
    <t>REH-P1003-K03149-CRJ-RFI-CW-00235-00</t>
  </si>
  <si>
    <t>CCCEGY-RFI-000467</t>
  </si>
  <si>
    <t>REH-P1003-K03149-CRJ-RFI-CW-00235-00 ,Subject: SP04 – Building 112 – Missing Structural Slab At Landscape</t>
  </si>
  <si>
    <t>HillInt-RFI-000992</t>
  </si>
  <si>
    <t>DAE-RTRFI-000397</t>
  </si>
  <si>
    <t>HillInt-RTRFI-001131</t>
  </si>
  <si>
    <t>REH-P1003-K03149-CRJ-RFI-CW-00235-01</t>
  </si>
  <si>
    <t>CCCEGY-RFI-000692</t>
  </si>
  <si>
    <t>SP04 – Building 112 – Missing Structural Slab At Landscape</t>
  </si>
  <si>
    <t>HillInt-GNC-004260</t>
  </si>
  <si>
    <t>REH-P1003-K03149-CRJ-RFI-CW-0236-00</t>
  </si>
  <si>
    <t>CCCEGY-RFI-000263</t>
  </si>
  <si>
    <t>REH-P1003-K03149-CRJ-RFI-CW-0236-00, Subject: SP06 - Basement 2 - Part 4- (Missed Beam mark and type)</t>
  </si>
  <si>
    <t>HillInt-RFI-000491</t>
  </si>
  <si>
    <t>DAE-RTRFI-000253</t>
  </si>
  <si>
    <t>HillInt-RTRFI-000632</t>
  </si>
  <si>
    <t>REH-P1003-K03149-CRJ-RFI-CW-00237-00</t>
  </si>
  <si>
    <t>CCCEGY-RFI-000490</t>
  </si>
  <si>
    <t>REH-P1003-K03149-CRJ-RFI-CW-00237-00 ,Subject: SP04 – B112 – Discrepancy in Levels between ARCH &amp; STR</t>
  </si>
  <si>
    <t>HillInt-RFI-001025</t>
  </si>
  <si>
    <t>DAE-RTRFI-000432</t>
  </si>
  <si>
    <t>HillInt-RTRFI-001207</t>
  </si>
  <si>
    <t>REH-P1003-K03149-CRJ-RFI-CW-00238-00</t>
  </si>
  <si>
    <t>CCCEGY-RFI-000498</t>
  </si>
  <si>
    <t>REH-P1003-K03149-CRJ-RFI-CW-00238-00 ,Subject: SP04 – Stair Beam Cases</t>
  </si>
  <si>
    <t>HillInt-RFI-001031</t>
  </si>
  <si>
    <t>DAE-RTRFI-000433</t>
  </si>
  <si>
    <t>HillInt-RTRFI-001208</t>
  </si>
  <si>
    <t>REH-P1003-K03149-CRJ-RFI-CW-0239-00</t>
  </si>
  <si>
    <t>CCCEGY-RFI-000262</t>
  </si>
  <si>
    <t>REH-P1003-K03149-CRJ-RFI-CW-0239-00, Subject: SP05 - Part 05 – Elevated Tank Insulation and Pouring Proposal</t>
  </si>
  <si>
    <t>HillInt-RFI-000490</t>
  </si>
  <si>
    <t>DAE-RTRFI-000260</t>
  </si>
  <si>
    <t>HillInt-RTRFI-000655</t>
  </si>
  <si>
    <t>REH-P1003-K03149-CRJ-RFI-CW-0239-01</t>
  </si>
  <si>
    <t>CCCEGY-RFI-000454</t>
  </si>
  <si>
    <t>Re: REH-P1003-K03149-CRJ-RFI-CW-0239-01, Subject: SP05 - Part 05 – Elevated Tank Insulation and Pouring Proposal</t>
  </si>
  <si>
    <t>HillInt-RFI-000947</t>
  </si>
  <si>
    <t>DAE-RTRFI-000388</t>
  </si>
  <si>
    <t>HillInt-RTRFI-001120</t>
  </si>
  <si>
    <t>HillInt-GNC-002600
RFI is not signed.</t>
  </si>
  <si>
    <t>REH-P1003-K03149-CRJ-RFI-CW-0240-00</t>
  </si>
  <si>
    <t>CCCEGY-RFI-000293</t>
  </si>
  <si>
    <t>REH-P1003-K03149-CRJ-RFI-CW-0240-00 ,SP05 - Part 04 – Ramp Conflicts Clarification</t>
  </si>
  <si>
    <t>HillInt-RFI-000568</t>
  </si>
  <si>
    <t>DAE-RTRFI-000282</t>
  </si>
  <si>
    <t>HillInt-RTRFI-000711</t>
  </si>
  <si>
    <t>REH-P1003-K03149-CRJ-RFI-CW-0241-00</t>
  </si>
  <si>
    <t>CCCEGY-RFI-000276</t>
  </si>
  <si>
    <t>REH-P1003-K03149-CRJ-RFI-CW-0241-00, SP 08 – Basement 01 Floor – Part 06 - Columns and Axes Inquires</t>
  </si>
  <si>
    <t>HillInt-RFI-000529</t>
  </si>
  <si>
    <t>DAE-RTRFI-000259</t>
  </si>
  <si>
    <t>HillInt-RTRFI-000649</t>
  </si>
  <si>
    <t>REH-P1003-K03149-CRJ-RFI-CW-0242-00</t>
  </si>
  <si>
    <t>CCCEGY-RFI-000292</t>
  </si>
  <si>
    <t>REH-P1003-K03149-CRJ-RFI-CW-0242-00 ,SP 03 – Missing Wall Type and Column Type Discrepancies (Ground &amp; Basement Floors).</t>
  </si>
  <si>
    <t>HillInt-RFI-000567</t>
  </si>
  <si>
    <t>DAE-RTRFI-000287</t>
  </si>
  <si>
    <t>HillInt-RTRFI-000728</t>
  </si>
  <si>
    <t>reminder  : HillInt-GNC-001653</t>
  </si>
  <si>
    <t>REH-P1003-K03149-CRJ-RFI-CW-0243-00</t>
  </si>
  <si>
    <t>CCCEGY-RFI-000280</t>
  </si>
  <si>
    <t>REH-P1003-K03149-CRJ-RFI-CW-0243-00, SP 08 – Basement 01 Floor – Part 04 - Missing Core Type and Door Opening.</t>
  </si>
  <si>
    <t>HillInt-RFI-000543</t>
  </si>
  <si>
    <t>DAE-RTRFI-000272</t>
  </si>
  <si>
    <t>HillInt-RTRFI-000700</t>
  </si>
  <si>
    <t>HillInt-GNC-001447- wrong</t>
  </si>
  <si>
    <t>REH-P1003-K03149-CRJ-RFI-CW-0244-00</t>
  </si>
  <si>
    <t>REH-P1003-K03149-CRJ-RFI-CW-0245-00</t>
  </si>
  <si>
    <t>CCCEGY-RFI-000282</t>
  </si>
  <si>
    <t>REH-P1003-K03149-CRJ-RFI-CW-0245-00, SP 08 – Basement 01 Floor – Part 04 - Missing Column Types and Door Opening Details.</t>
  </si>
  <si>
    <t>HillInt-RFI-000533</t>
  </si>
  <si>
    <t>DAE-RTRFI-000271</t>
  </si>
  <si>
    <t>HillInt-RTRFI-000699</t>
  </si>
  <si>
    <t>REH-P1003-K03149-CRJ-RFI-CW-0246-00</t>
  </si>
  <si>
    <t>REH-P1003-K03149-CRJ-RFI-CW-0247-00</t>
  </si>
  <si>
    <t>CCCEGY-RFI-000305</t>
  </si>
  <si>
    <t>REH-P1003-K03149-CRJ-RFI-CW-0247-00, Subject: SP 04 – Ramp Details</t>
  </si>
  <si>
    <t>HillInt-RFI-000600</t>
  </si>
  <si>
    <t>DAE-RTRFI-000286</t>
  </si>
  <si>
    <t>HillInt-RTRFI-000725</t>
  </si>
  <si>
    <t>REH-P1003-K03149-CRJ-RFI-CW-0248-00</t>
  </si>
  <si>
    <t>CCCEGY-RFI-000284</t>
  </si>
  <si>
    <t>REH-P1003-K03149-CRJ-RFI-CW-0248-00, Coordination of Wall Openings with Latest Structural Revision.</t>
  </si>
  <si>
    <t>HillInt-RFI-000545</t>
  </si>
  <si>
    <t>DAE-RTRFI-000270</t>
  </si>
  <si>
    <t>HillInt-RTRFI-000698</t>
  </si>
  <si>
    <t>REH-P1003-K03149-CRJ-RFI-CW-0249-00</t>
  </si>
  <si>
    <t>CCCEGY-RFI-000268</t>
  </si>
  <si>
    <t>REH-P1003-K03149-CRJ-RFI-CW-0249-00, Subject: SP 08 - Basement 02 - Columns and Axes</t>
  </si>
  <si>
    <t>HillInt-RFI-000523</t>
  </si>
  <si>
    <t>DAE-RTRFI-000257</t>
  </si>
  <si>
    <t>HillInt-RTRFI-000638</t>
  </si>
  <si>
    <t>HillInt-GNC-001416- The RFI has not been submitted by the Contractor.</t>
  </si>
  <si>
    <t>REH-P1003-K03149-CRJ-RFI-CW-0250-00</t>
  </si>
  <si>
    <t>CCCEGY-RFI-000294</t>
  </si>
  <si>
    <t>REH-P1003-K03149-CRJ-RFI-CW-0250 ,SP 08 – Ramp Details</t>
  </si>
  <si>
    <t>HillInt-RFI-000570</t>
  </si>
  <si>
    <t>DAE-RTRFI-000304</t>
  </si>
  <si>
    <t>HillInt-RTRFI-000777</t>
  </si>
  <si>
    <t>reminder  : HillInt-GNC-001654</t>
  </si>
  <si>
    <t>REH-P1003-K03149-CRJ-RFI-CW-0251-00</t>
  </si>
  <si>
    <t>CCCEGY-RFI-000295</t>
  </si>
  <si>
    <t>REH-P1003-K03149-CRJ-RFI-CW-0251-00 ,SP 10 – Ramp Details.</t>
  </si>
  <si>
    <t>HillInt-RFI-000576</t>
  </si>
  <si>
    <t>DAE-RTRFI-000288</t>
  </si>
  <si>
    <t>HillInt-RTRFI-000729</t>
  </si>
  <si>
    <t>reminder  : HillInt-GNC-001656</t>
  </si>
  <si>
    <t>REH-P1003-K03149-CRJ-RFI-CW-0252-00</t>
  </si>
  <si>
    <t>CCCEGY-RFI-000335</t>
  </si>
  <si>
    <t>REH-P1003-K03149-CRJ-RFI-CW-0252-00, Subject: SP09 – Inquiry for ground slab Missing data</t>
  </si>
  <si>
    <t>HillInt-RFI-000666</t>
  </si>
  <si>
    <t>DAE-RTRFI-000299</t>
  </si>
  <si>
    <t>HillInt-RTRFI-000772</t>
  </si>
  <si>
    <t>REH-P1003-K03149-CRJ-RFI-CW-0253-00</t>
  </si>
  <si>
    <t>CCCEGY-RFI-000283</t>
  </si>
  <si>
    <t>REH-P1003-K03149-CRJ-RFI-CW-0253-00, Subject: SP01 – P.06 - BASEMENT 2 , CORE OPENING CONFLICT</t>
  </si>
  <si>
    <t>HillInt-RFI-000547</t>
  </si>
  <si>
    <t>DAE-RTRFI-000266</t>
  </si>
  <si>
    <t>HillInt-RTRFI-000792</t>
  </si>
  <si>
    <t>HillInt-GNC-001419- The RFI has not been submitted by the Contractor.</t>
  </si>
  <si>
    <t>open</t>
  </si>
  <si>
    <t>REH-P1003-K03149-CRJ-RFI-CW-0254-00</t>
  </si>
  <si>
    <t>CCCEGY-RFI-000273</t>
  </si>
  <si>
    <t>REH-P1003-K03149-CRJ-RFI-CW-0254-00, Subject: SP05-P.04-RAMP SLAB EDGE CLARIFICATION</t>
  </si>
  <si>
    <t>HillInt-RFI-000525</t>
  </si>
  <si>
    <t>DAE-RTRFI-000258</t>
  </si>
  <si>
    <t>HillInt-RTRFI-000639</t>
  </si>
  <si>
    <t>REH-P1003-K03149-CRJ-RFI-CW-0255-00</t>
  </si>
  <si>
    <t>CCCEGY-RFI-000274</t>
  </si>
  <si>
    <t>REH-P1003-K03149-CRJ-RFI-CW-0255-00, SP05- Confirmation of Door Types, Dimensions, and Heights For RC Walls</t>
  </si>
  <si>
    <t>HillInt-RFI-000526</t>
  </si>
  <si>
    <t>HillInt-RTRFI-000723</t>
  </si>
  <si>
    <t>reminder  : HillInt-GNC-001651</t>
  </si>
  <si>
    <t>REH-P1003-K03149-CRJ-RFI-CW-0256-00</t>
  </si>
  <si>
    <t>CCCEGY-RFI-000275</t>
  </si>
  <si>
    <t>REH-P1003-K03149-CRJ-RFI-CW-0256-00, SP01- clarification required for door opening and missing column type</t>
  </si>
  <si>
    <t>HillInt-RFI-000527</t>
  </si>
  <si>
    <t>DAE-RTRFI-000251</t>
  </si>
  <si>
    <t>HillInt-RTRFI-000681</t>
  </si>
  <si>
    <t xml:space="preserve">send to eng : Hossam Swaify for cclosed </t>
  </si>
  <si>
    <t>REH-P1003-K03149-CRJ-RFI-CW-0257-00</t>
  </si>
  <si>
    <t>CCCEGY-RFI-000296</t>
  </si>
  <si>
    <t>REH-P1003-K03149-CRJ-RFI-CW-0257 ,SP01 – BASEMENT 2 OPENINGS</t>
  </si>
  <si>
    <t>HillInt-RFI-000577</t>
  </si>
  <si>
    <t>DAE-RTRFI-000309</t>
  </si>
  <si>
    <t>HillInt-RTRFI-000791</t>
  </si>
  <si>
    <t>reminder  : HillInt-GNC-001655</t>
  </si>
  <si>
    <t>REH-P1003-K03149-CRJ-RFI-CW-0258-00</t>
  </si>
  <si>
    <t>CCCEGY-RFI-000297</t>
  </si>
  <si>
    <t>REH-P1003-K03149-CRJ-RFI-CW-0258 ,SP01- RFI- Missing Beam Reinforcement Details and Model/Drawing Discrepancies</t>
  </si>
  <si>
    <t>HillInt-RFI-000578</t>
  </si>
  <si>
    <t>DAE-RTRFI-000281</t>
  </si>
  <si>
    <t>HillInt-RTRFI-000710</t>
  </si>
  <si>
    <t>REH-P1003-K03149-CRJ-RFI-CW-0259-00</t>
  </si>
  <si>
    <t>CCCEGY-RFI-000298</t>
  </si>
  <si>
    <t>REH-P1003-K03149-CRJ-RFI-CW-0259 ,RC Columns Missing MEP Embedments</t>
  </si>
  <si>
    <t>HillInt-RFI-000579</t>
  </si>
  <si>
    <t>DAE-RTRFI-000273</t>
  </si>
  <si>
    <t>HillInt-RTRFI-000701</t>
  </si>
  <si>
    <t>REH-P1003-K03149-CRJ-RFI-CW-0260-00</t>
  </si>
  <si>
    <t>CCCEGY-RFI-000306</t>
  </si>
  <si>
    <t>REH-P1003-K03149-CRJ-RFI-CW-0260-00, Subject: SP06-BASEMENT01- Clarifying connection between Ramp and B01 Slab</t>
  </si>
  <si>
    <t>HillInt-RFI-000598</t>
  </si>
  <si>
    <t>DAE-RTRFI-000290</t>
  </si>
  <si>
    <t>HillInt-RTRFI-000731</t>
  </si>
  <si>
    <t>reminder  : HillInt-GNC-001662</t>
  </si>
  <si>
    <t>REH-P1003-K03149-CRJ-RFI-CW-0261-00</t>
  </si>
  <si>
    <t>CCCEGY-RFI-000307</t>
  </si>
  <si>
    <t>REH-P1003-K03149-CRJ-RFI-CW-0261-00, Subject: SP09 – Basement 01 Slab - Clarification Required for Reinforcement</t>
  </si>
  <si>
    <t>HillInt-RFI-000597</t>
  </si>
  <si>
    <t>DAE-RTRFI-000289</t>
  </si>
  <si>
    <t>HillInt-RTRFI-000730</t>
  </si>
  <si>
    <t>reminder  : HillInt-GNC-001663</t>
  </si>
  <si>
    <t>REH-P1003-K03149-CRJ-RFI-CW-0262-00</t>
  </si>
  <si>
    <t>CCCEGY-RFI-000308</t>
  </si>
  <si>
    <t>REH-P1003-K03149-CRJ-RFI-CW-0262-00, Subject: SP 04 – Ground Floor - Missing Documents in HILLINT-TRANSMIT-001962</t>
  </si>
  <si>
    <t>HillInt-RFI-000596</t>
  </si>
  <si>
    <t>DAE-RTRFI-000283</t>
  </si>
  <si>
    <t>HillInt-RTRFI-000712</t>
  </si>
  <si>
    <t>REH-P1003-K03149-CRJ-RFI-CW-0263-00</t>
  </si>
  <si>
    <t>CCCEGY-RFI-000309</t>
  </si>
  <si>
    <t>REH-P1003-K03149-CRJ-RFI-CW-0263-00, Subject: SP 10 – Ground Floor - Missing Documents in HILLINT-TRANSMIT-001966</t>
  </si>
  <si>
    <t>HillInt-RFI-000595</t>
  </si>
  <si>
    <t>DAE-RTRFI-000292</t>
  </si>
  <si>
    <t>HillInt-RTRFI-000733</t>
  </si>
  <si>
    <t>reminder  : HillInt-GNC-001664</t>
  </si>
  <si>
    <t>REH-P1003-K03149-CRJ-RFI-CW-0264-00</t>
  </si>
  <si>
    <t>CCCEGY-RFI-000310</t>
  </si>
  <si>
    <t>REH-P1003-K03149-CRJ-RFI-CW-0264-00, Subject: SP 08 – Ground Floor – Missing Setting-Out Information for Landscape Upstands</t>
  </si>
  <si>
    <t>HillInt-RFI-000599</t>
  </si>
  <si>
    <t>DAE-RTRFI-000274</t>
  </si>
  <si>
    <t>HillInt-RTRFI-000702</t>
  </si>
  <si>
    <t>REH-P1003-K03149-CRJ-RFI-CW-0265-00</t>
  </si>
  <si>
    <t>CCCEGY-RFI-000314</t>
  </si>
  <si>
    <t>REH-P1003-K03149-CRJ-RFI-CW-0265-00, Subject: SP 07 – Ground Floor - Missing Documents in HILLINT-TRANSMIT-001682</t>
  </si>
  <si>
    <t>HillInt-RFI-000611</t>
  </si>
  <si>
    <t>DAE-RTRFI-000291</t>
  </si>
  <si>
    <t>HillInt-RTRFI-000732</t>
  </si>
  <si>
    <t>REH-P1003-K03149-CRJ-RFI-CW-0266-00</t>
  </si>
  <si>
    <t>CCCEGY-RFI-000315</t>
  </si>
  <si>
    <t>REH-P1003-K03149-CRJ-RFI-CW-0266-00, Subject: SP 09 – Ground Floor - Missing Documents in HILLINT-TRANSMIT-001963</t>
  </si>
  <si>
    <t>HillInt-RFI-000612</t>
  </si>
  <si>
    <t>DAE-RTRFI-000284</t>
  </si>
  <si>
    <t>HillInt-RTRFI-000715</t>
  </si>
  <si>
    <t>REH-P1003-K03149-CRJ-RFI-CW-0267-00</t>
  </si>
  <si>
    <t>CCCEGY-RFI-000316</t>
  </si>
  <si>
    <t>REH-P1003-K03149-CRJ-RFI-CW-0267-00, Subject: SP 08 – Basement 02 - Part 02 - Missing Additional Reinforcement</t>
  </si>
  <si>
    <t>HillInt-RFI-000613</t>
  </si>
  <si>
    <t>DAE-RTRFI-000276</t>
  </si>
  <si>
    <t>HillInt-RTRFI-000705</t>
  </si>
  <si>
    <t>REH-P1003-K03149-CRJ-RFI-CW-0268-00</t>
  </si>
  <si>
    <t>CCCEGY-RFI-000317</t>
  </si>
  <si>
    <t>REH-P1003-K03149-CRJ-RFI-CW-0268-00, Subject: SP08 - Part3 – Basement 01 - Missing Stair Starter Location</t>
  </si>
  <si>
    <t>HillInt-RFI-000614</t>
  </si>
  <si>
    <t>DAE-RTRFI-000277</t>
  </si>
  <si>
    <t>HillInt-RTRFI-000706</t>
  </si>
  <si>
    <t>REH-P1003-K03149-CRJ-RFI-CW-0269-00</t>
  </si>
  <si>
    <t>CCCEGY-RFI-000318</t>
  </si>
  <si>
    <t>REH-P1003-K03149-CRJ-RFI-CW-0269-00, Subject: SP 09 - Part 04 - Clarification Required for Columns and High/Low Level Raft Foundations</t>
  </si>
  <si>
    <t>HillInt-RFI-000615</t>
  </si>
  <si>
    <t>DAE-RTRFI-000280</t>
  </si>
  <si>
    <t>HillInt-RTRFI-000709</t>
  </si>
  <si>
    <t>REH-P1003-K03149-CRJ-RFI-CW-0270-00</t>
  </si>
  <si>
    <t>CCCEGY-RFI-000319</t>
  </si>
  <si>
    <t>REH-P1003-K03149-CRJ-RFI-CW-0270-00, Subject: Expansion Joints in Retaining Walls</t>
  </si>
  <si>
    <t>HillInt-RFI-000616</t>
  </si>
  <si>
    <t>DAE-RTRFI-000278</t>
  </si>
  <si>
    <t>HillInt-RTRFI-000707</t>
  </si>
  <si>
    <t>REH-P1003-K03149-CRJ-RFI-CW-0271-00</t>
  </si>
  <si>
    <t>CCCEGY-RFI-000320</t>
  </si>
  <si>
    <t>REH-P1003-K03149-CRJ-RFI-CW-0271-00, Subject: SP01-PART10-Conflict between sump pit LVL in IFC and General Detail &amp; Conflict between sump pit in IFC drawing and Excavation drawing</t>
  </si>
  <si>
    <t>HillInt-RFI-000617</t>
  </si>
  <si>
    <t>DAE-RTRFI-000279</t>
  </si>
  <si>
    <t>HillInt-RTRFI-000708</t>
  </si>
  <si>
    <t>REH-P1003-K03149-CRJ-RFI-CW-0272-00</t>
  </si>
  <si>
    <t>CCCEGY-RFI-000312</t>
  </si>
  <si>
    <t>REH-P1003-K03149-CRJ-RFI-CW-0272-00, Subject: SP 08 – Basement 01 - Structural Coordination</t>
  </si>
  <si>
    <t>HillInt-RFI-000610</t>
  </si>
  <si>
    <t>DAE-RTRFI-000275</t>
  </si>
  <si>
    <t>HillInt-RTRFI-000704</t>
  </si>
  <si>
    <t>REH-P1003-K03149-CRJ-RFI-CW-0273-00</t>
  </si>
  <si>
    <t>CCCEGY-RFI-000321</t>
  </si>
  <si>
    <t>REH-P1003-K03149-CRJ-RFI-CW-0273-00, Subject: SP06-BASEMENT01-PART03-No data for ramp</t>
  </si>
  <si>
    <t>HillInt-RFI-000618</t>
  </si>
  <si>
    <t>DAE-RTRFI-000293</t>
  </si>
  <si>
    <t>HillInt-RTRFI-000734</t>
  </si>
  <si>
    <t>REH-P1003-K03149-CRJ-RFI-CW-0274-00</t>
  </si>
  <si>
    <t>CCCEGY-RFI-000324</t>
  </si>
  <si>
    <t>REH-P1003-K03149-CRJ-RFI-CW-0274-00, Subject: SP01-PART12-Conflict between sump pit in IFC drawing and Excavation drawing</t>
  </si>
  <si>
    <t>HillInt-RFI-000626</t>
  </si>
  <si>
    <t>DAE-RTRFI-000294</t>
  </si>
  <si>
    <t>HillInt-RTRFI-000735</t>
  </si>
  <si>
    <t>REH-P1003-K03149-CRJ-RFI-CW-0275-00</t>
  </si>
  <si>
    <t>CCCEGY-RFI-000325</t>
  </si>
  <si>
    <t>REH-P1003-K03149-CRJ-RFI-CW-0275-00, Subject: SP05-Part04 Ramp Wall Conflict with Arch Drawing</t>
  </si>
  <si>
    <t>HillInt-RFI-000633</t>
  </si>
  <si>
    <t>DAE-RTRFI-000297</t>
  </si>
  <si>
    <t>HillInt-RTRFI-000756</t>
  </si>
  <si>
    <t>REH-P1003-K03149-CRJ-RFI-CW-0276-00</t>
  </si>
  <si>
    <t>CCCEGY-RFI-000326</t>
  </si>
  <si>
    <t>REH-P1003-K03149-CRJ-RFI-CW-0276-00, Subject: Discrepancies in Beam Model and Slab Level Between Revit Model and IFC Drawings</t>
  </si>
  <si>
    <t>HillInt-RFI-000635</t>
  </si>
  <si>
    <t>DAE-RTRFI-000296</t>
  </si>
  <si>
    <t>HillInt-RTRFI-000749</t>
  </si>
  <si>
    <t>REH-P1003-K03149-CRJ-RFI-CW-0277-00</t>
  </si>
  <si>
    <t>CCCEGY-RFI-000329</t>
  </si>
  <si>
    <t>REH-P1003-K03149-CRJ-RFI-CW-0277-00, Subject: Slabs General Details -02</t>
  </si>
  <si>
    <t>HillInt-RFI-000651</t>
  </si>
  <si>
    <t>DAE-RTRFI-000298</t>
  </si>
  <si>
    <t>HillInt-RTRFI-000771</t>
  </si>
  <si>
    <t>REH-P1003-K03149-CRJ-RFI-CW-0278-00</t>
  </si>
  <si>
    <t>CCCEGY-RFI-000330</t>
  </si>
  <si>
    <t>REH-P1003-K03149-CRJ-RFI-CW-0278-00, Subject: Slabs General Details -03&amp;04</t>
  </si>
  <si>
    <t>HillInt-RFI-000652</t>
  </si>
  <si>
    <t>DAE-RTRFI-000305</t>
  </si>
  <si>
    <t>HillInt-RTRFI-000780</t>
  </si>
  <si>
    <t>REH-P1003-K03149-CRJ-RFI-CW-0279-00</t>
  </si>
  <si>
    <t>CCCEGY-RFI-000331</t>
  </si>
  <si>
    <t>REH-P1003-K03149-CRJ-RFI-CW-0279-00, Subject: Slabs General Details -05&amp;06</t>
  </si>
  <si>
    <t>HillInt-RFI-000653</t>
  </si>
  <si>
    <t>DAE-RTRFI-000306</t>
  </si>
  <si>
    <t>HillInt-RTRFI-000781</t>
  </si>
  <si>
    <t>REH-P1003-K03149-CRJ-RFI-CW-0280-00</t>
  </si>
  <si>
    <t>CCCEGY-RFI-000332</t>
  </si>
  <si>
    <t>REH-P1003-K03149-CRJ-RFI-CW-0280-00, Subject: Landscape Typical Details -01&amp;02</t>
  </si>
  <si>
    <t>HillInt-RFI-000654</t>
  </si>
  <si>
    <t>DAE-RTRFI-000307</t>
  </si>
  <si>
    <t>HillInt-RTRFI-000782</t>
  </si>
  <si>
    <t>REH-P1003-K03149-CRJ-RFI-CW-0281-00</t>
  </si>
  <si>
    <t>CCCEGY-RFI-000333</t>
  </si>
  <si>
    <t>REH-P1003-K03149-CRJ-RFI-CW-0281-00, Subject: Landscape Typical Details -03</t>
  </si>
  <si>
    <t>HillInt-RFI-000655</t>
  </si>
  <si>
    <t>DAE-RTRFI-000308</t>
  </si>
  <si>
    <t>HillInt-RTRFI-000783</t>
  </si>
  <si>
    <t>REH-P1003-K03149-CRJ-RFI-CW-0282-00</t>
  </si>
  <si>
    <t>CCCEGY-RFI-000336</t>
  </si>
  <si>
    <t>REH-P1003-K03149-CRJ-RFI-CW-0282-00, Subject: SP09 - Clarification Required for Reinforcement</t>
  </si>
  <si>
    <t>HillInt-RFI-000670</t>
  </si>
  <si>
    <t>DAE-RTRFI-000300</t>
  </si>
  <si>
    <t>HillInt-RTRFI-000773</t>
  </si>
  <si>
    <t>REH-P1003-K03149-CRJ-RFI-CW-0283-00</t>
  </si>
  <si>
    <t>CCCEGY-RFI-000337</t>
  </si>
  <si>
    <t>REH-P1003-K03149-CRJ-RFI-CW-0283-00, Subject: SP 04 – Part 03 Discrepancy Between IFC 2D Drawings and Received Revit Models</t>
  </si>
  <si>
    <t>HillInt-RFI-000677</t>
  </si>
  <si>
    <t>DAE-RTRFI-000303</t>
  </si>
  <si>
    <t>HillInt-RTRFI-000776</t>
  </si>
  <si>
    <t>REH-P1003-K03149-CRJ-RFI-CW-0284-00</t>
  </si>
  <si>
    <t>CCCEGY-RFI-000367</t>
  </si>
  <si>
    <t>REH-P1003-K03149-CRJ-RFI-CW-0284-00, Subject: Lower Ground Slab Edge and Underside Support Clarification.</t>
  </si>
  <si>
    <t>HillInt-RFI-000761</t>
  </si>
  <si>
    <t>DAE-RTRFI-000323</t>
  </si>
  <si>
    <t>HillInt-RTRFI-000863</t>
  </si>
  <si>
    <t>REH-P1003-K03149-CRJ-RFI-CW-0285-00</t>
  </si>
  <si>
    <t>CCCEGY-RFI-000368</t>
  </si>
  <si>
    <t>REH-P1003-K03149-CRJ-RFI-CW-0285-00, Subject: Trench Missing Dimensions</t>
  </si>
  <si>
    <t>HillInt-RFI-000762</t>
  </si>
  <si>
    <t>DAE-RTRFI-000332</t>
  </si>
  <si>
    <t>HillInt-RTRFI-000878</t>
  </si>
  <si>
    <t>REH-P1003-K03149-CRJ-RFI-CW-0286-00</t>
  </si>
  <si>
    <t>CCCEGY-RFI-000369</t>
  </si>
  <si>
    <t>REH-P1003-K03149-CRJ-RFI-CW-0286-00, Subject: Slab Level Transition Clarification</t>
  </si>
  <si>
    <t>HillInt-RFI-000763</t>
  </si>
  <si>
    <t>DAE-RTRFI-000329</t>
  </si>
  <si>
    <t>HillInt-RTRFI-000870</t>
  </si>
  <si>
    <t>REH-P1003-K03149-CRJ-RFI-CW-0287-00</t>
  </si>
  <si>
    <t>CCCEGY-RFI-000370</t>
  </si>
  <si>
    <t>REH-P1003-K03149-CRJ-RFI-CW-0287-00, Subject: Walls Clarification</t>
  </si>
  <si>
    <t>HillInt-RFI-000764</t>
  </si>
  <si>
    <t>DAE-RTRFI-000328</t>
  </si>
  <si>
    <t>HillInt-RTRFI-000869</t>
  </si>
  <si>
    <t>REH-P1003-K03149-CRJ-RFI-CW-0288-00</t>
  </si>
  <si>
    <t>CCCEGY-RFI-000371</t>
  </si>
  <si>
    <t>REH-P1003-K03149-CRJ-RFI-CW-0288-00, Subject: Clarification Required – Beam Levels and Slab Support (B02 &amp; B07)</t>
  </si>
  <si>
    <t>HillInt-RFI-000765</t>
  </si>
  <si>
    <t>DAE-RTRFI-000327</t>
  </si>
  <si>
    <t>HillInt-RTRFI-000868</t>
  </si>
  <si>
    <t>REH-P1003-K03149-CRJ-RFI-CW-0289-00</t>
  </si>
  <si>
    <t>CCCEGY-RFI-000372</t>
  </si>
  <si>
    <t>REH-P1003-K03149-CRJ-RFI-CW-0289-00, Subject: Clash between beam (B02) in lower ground-part3 &amp; beam(B08) on Building 112</t>
  </si>
  <si>
    <t>HillInt-RFI-000766</t>
  </si>
  <si>
    <t>DAE-RTRFI-000325</t>
  </si>
  <si>
    <t>HillInt-RTRFI-000865</t>
  </si>
  <si>
    <t>REH-P1003-K03149-CRJ-RFI-CW-0290-00</t>
  </si>
  <si>
    <t>CCCEGY-RFI-000373</t>
  </si>
  <si>
    <t>REH-P1003-K03149-CRJ-RFI-CW-0290-00, Subject: Discrepancy between beams Types – Lower Ground Level (Building 112 &amp;Part 3 Layout )</t>
  </si>
  <si>
    <t>HillInt-RFI-000767</t>
  </si>
  <si>
    <t>DAE-RTRFI-000326</t>
  </si>
  <si>
    <t>HillInt-RTRFI-000866</t>
  </si>
  <si>
    <t>REH-P1003-K03149-CRJ-RFI-CW-0291-00</t>
  </si>
  <si>
    <t>CCCEGY-RFI-000374</t>
  </si>
  <si>
    <t>REH-P1003-K03149-CRJ-RFI-CW-0291-00, Subject: Clarification of Column Type and Dimensions for Column 112-C07</t>
  </si>
  <si>
    <t>HillInt-RFI-000768</t>
  </si>
  <si>
    <t>DAE-RTRFI-000324</t>
  </si>
  <si>
    <t>HillInt-RTRFI-000960</t>
  </si>
  <si>
    <t>REH-P1003-K03149-CRJ-RFI-CW-0292-00</t>
  </si>
  <si>
    <t>CCCEGY-RFI-000338</t>
  </si>
  <si>
    <t>REH-P1003-K03149-CRJ-RFI-CW-0292-00, Subject: SP08 - Basement 1 - Part 2</t>
  </si>
  <si>
    <t>HillInt-RFI-000695</t>
  </si>
  <si>
    <t>DAE-RTRFI-000302</t>
  </si>
  <si>
    <t>HillInt-RTRFI-000775</t>
  </si>
  <si>
    <t>REH-P1003-K03149-CRJ-RFI-CW-0293-00</t>
  </si>
  <si>
    <t>CCCEGY-RFI-000339</t>
  </si>
  <si>
    <t>REH-P1003-K03149-CRJ-RFI-CW-0293-00, Subject: SP06-Part05-Conflict between Ramp wall in Col&amp;Axis and Arch</t>
  </si>
  <si>
    <t>HillInt-RFI-000699</t>
  </si>
  <si>
    <t>DAE-RTRFI-000312</t>
  </si>
  <si>
    <t>HillInt-RTRFI-000832</t>
  </si>
  <si>
    <t>REH-P1003-K03149-CRJ-RFI-CW-0294-00</t>
  </si>
  <si>
    <t>CCCEGY-RFI-000343</t>
  </si>
  <si>
    <t>REH-P1003-K03149-CRJ-RFI-CW-0294-00, Subject: SP 04 – Clarification of Openings Full Height</t>
  </si>
  <si>
    <t>HillInt-RFI-000734</t>
  </si>
  <si>
    <t>DAE-RTRFI-000335</t>
  </si>
  <si>
    <t>HillInt-RTRFI-000890</t>
  </si>
  <si>
    <t>REH-P1003-K03149-CRJ-RFI-CW-0295-00</t>
  </si>
  <si>
    <t>CCCEGY-RFI-000344</t>
  </si>
  <si>
    <t>REH-P1003-K03149-CRJ-RFI-CW-0295-00, Subject: SP05-Part 04 Missing Upstand and Ramp RFT</t>
  </si>
  <si>
    <t>HillInt-RFI-000720</t>
  </si>
  <si>
    <t>DAE-GNC-000163</t>
  </si>
  <si>
    <t>HillInt-GNC-001818</t>
  </si>
  <si>
    <t xml:space="preserve">resubmit it after attaching the missing documents shown below. </t>
  </si>
  <si>
    <t>REH-P1003-K03149-CRJ-RFI-CW-0295-01</t>
  </si>
  <si>
    <t>CCCEGY-RFI-000348</t>
  </si>
  <si>
    <t>Re: REH-P1003-K03149-CRJ-RFI-CW-0295-01, Subject: SP05-Part 04 Missing Upstand and Ramp RFT</t>
  </si>
  <si>
    <t>HillInt-RFI-000733</t>
  </si>
  <si>
    <t>DAE-RTRFI-000316</t>
  </si>
  <si>
    <t>HillInt-RTRFI-000845</t>
  </si>
  <si>
    <t>REH-P1003-K03149-CRJ-RFI-CW-0296-00</t>
  </si>
  <si>
    <t>CCCEGY-RFI-000439</t>
  </si>
  <si>
    <t>REH-P1003-K03149-CRJ-RFI-CW-0296-00, Subject: SP 04 - Ground Floor - Slab Level Coordination– Part 01</t>
  </si>
  <si>
    <t>HillInt-RFI-000926</t>
  </si>
  <si>
    <t>DAE-RTRFI-000413</t>
  </si>
  <si>
    <t>HillInt-RTRFI-001147</t>
  </si>
  <si>
    <t>REH-P1003-K03149-CRJ-RFI-CW-0297-00</t>
  </si>
  <si>
    <t>CCCEGY-RFI-000345</t>
  </si>
  <si>
    <t>REH-P1003-K03149-CRJ-RFI-CW-0297-00, Subject: SP06-Lower Ground Slab Conflicts</t>
  </si>
  <si>
    <t>HillInt-RFI-000721</t>
  </si>
  <si>
    <t>DAE-RTRFI-000314</t>
  </si>
  <si>
    <t>HillInt-RTRFI-000843</t>
  </si>
  <si>
    <t>REH-P1003-K03149-CRJ-RFI-CW-0298-00</t>
  </si>
  <si>
    <t>CCCEGY-RFI-000408</t>
  </si>
  <si>
    <t>REH-P1003-K03149-CRJ-RFI-CW-0298-00, Subject: Clarification on Beam reinforcement</t>
  </si>
  <si>
    <t>HillInt-RFI-000839</t>
  </si>
  <si>
    <t>DAE-RTRFI-000355</t>
  </si>
  <si>
    <t>HillInt-RTRFI-000976</t>
  </si>
  <si>
    <t>REH-P1003-K03149-CRJ-RFI-CW-0299-00</t>
  </si>
  <si>
    <t>CCCEGY-RFI-000440</t>
  </si>
  <si>
    <t>REH-P1003-K03149-CRJ-RFI-CW-0299-00, Subject: Walls Clarification</t>
  </si>
  <si>
    <t>HillInt-GNC-003915</t>
  </si>
  <si>
    <t>REH-P1003-K03149-CRJ-RFI-CW-0-00300</t>
  </si>
  <si>
    <t>CCCEGY-RFI-000420</t>
  </si>
  <si>
    <t>REH-P1003-K03149-CRJ-RFI-CW-0-00300, Subject: Missing Top Additional Reinforcement Description</t>
  </si>
  <si>
    <t>HillInt-RFI-000857</t>
  </si>
  <si>
    <t>DAE-RTRFI-000367</t>
  </si>
  <si>
    <t>HillInt-RTRFI-001045</t>
  </si>
  <si>
    <t>REH-P1003-K03149-CRJ-RFI-CW-0-00301</t>
  </si>
  <si>
    <t>CCCEGY-RFI-000421</t>
  </si>
  <si>
    <t>REH-P1003-K03149-CRJ-RFI-CW-0-00301, Subject: SP04 - Lower Ground - Part 12- Clarification of Slab Edge Supporting Element</t>
  </si>
  <si>
    <t>HillInt-RFI-000858</t>
  </si>
  <si>
    <t>DAE-RTRFI-000368</t>
  </si>
  <si>
    <t>HillInt-RTRFI-001046</t>
  </si>
  <si>
    <t>REH-P1003-K03149-CRJ-RFI-CW-0302-00</t>
  </si>
  <si>
    <t>CCCEGY-RFI-000346</t>
  </si>
  <si>
    <t>REH-P1003-K03149-CRJ-RFI-CW-0302-00, Subject: SP 10 – B 01 – PART 02 - Missing Reinforcement Data</t>
  </si>
  <si>
    <t>HillInt-RFI-000727</t>
  </si>
  <si>
    <t>DAE-RTRFI-000311</t>
  </si>
  <si>
    <t>HillInt-RTRFI-000831</t>
  </si>
  <si>
    <t>REH-P1003-K03149-CRJ-RFI-CW-0303-00</t>
  </si>
  <si>
    <t>CCCEGY-RFI-000409</t>
  </si>
  <si>
    <t>REH-P1003-K03149-CRJ-RFI-CW-0303-00, Subject: SP04 – Lower Ground - Part 03 - Clarification on Access Opening adjacent to Swimming Pool Area</t>
  </si>
  <si>
    <t>HillInt-RFI-000840</t>
  </si>
  <si>
    <t>DAE-RTRFI-000364</t>
  </si>
  <si>
    <t>HillInt-RTRFI-001035</t>
  </si>
  <si>
    <t>REH-P1003-K03149-CRJ-RFI-CW-0303-01</t>
  </si>
  <si>
    <t>CCCEGY-RFI-000667</t>
  </si>
  <si>
    <t>SP04 – Lower Ground - Part 03 - Clarification on Access Opening adjacent to Swimming Pool Area</t>
  </si>
  <si>
    <t>HillInt-GNC-004040</t>
  </si>
  <si>
    <t>REH-P1003-K03149-CRJ-RFI-CW-00304-00</t>
  </si>
  <si>
    <t>CCCEGY-RFI-000469</t>
  </si>
  <si>
    <t>REH-P1003-K03149-CRJ-RFI-CW-00304-00 ,Subject: SP 04 - Basement 01 – IFC drawings (Rev 01) – Ground Floor – Part 05</t>
  </si>
  <si>
    <t>HillInt-RFI-000994</t>
  </si>
  <si>
    <t>DAE-RTRFI-000394</t>
  </si>
  <si>
    <t>HillInt-RTRFI-001128</t>
  </si>
  <si>
    <t>REH-P1003-K03149-CRJ-RFI-CW-0305-00</t>
  </si>
  <si>
    <t>CCCEGY-RFI-000347</t>
  </si>
  <si>
    <t>REH-P1003-K03149-CRJ-RFI-CW-0305-00, Subject: SP06-Missing Elevator Pits Door Openings Height</t>
  </si>
  <si>
    <t>HillInt-RFI-000726</t>
  </si>
  <si>
    <t>DAE-RTRFI-000313</t>
  </si>
  <si>
    <t>HillInt-RTRFI-000834</t>
  </si>
  <si>
    <t>REH-P1003-K03149-CRJ-RFI-CW-00306-00</t>
  </si>
  <si>
    <t>CCCEGY-RFI-000491</t>
  </si>
  <si>
    <t>REH-P1003-K03149-CRJ-RFI-CW-00306-00 ,Subject: SP04 – B112 – lower ground shafts clashes between Arch. And Str</t>
  </si>
  <si>
    <t>HillInt-RFI-001026</t>
  </si>
  <si>
    <t>DAE-RTRFI-000434</t>
  </si>
  <si>
    <t>HillInt-RTRFI-001209</t>
  </si>
  <si>
    <t>REH-P1003-K03149-CRJ-RFI-CW-0307-00</t>
  </si>
  <si>
    <t>CCCEGY-RFI-000354</t>
  </si>
  <si>
    <t>REH-P1003-K03149-CRJ-RFI-CW-0307-00, Subject: SP04 - Part 01,07 – Elevator Pits Depths</t>
  </si>
  <si>
    <t>HillInt-RFI-000746</t>
  </si>
  <si>
    <t>DAE-RTRFI-000322</t>
  </si>
  <si>
    <t>HillInt-RTRFI-000859</t>
  </si>
  <si>
    <t>REH-P1003-K03149-CRJ-RFI-CW-0308-00</t>
  </si>
  <si>
    <t>CCCEGY-RFI-000410</t>
  </si>
  <si>
    <t>REH-P1003-K03149-CRJ-RFI-CW-0308-00, Subject: SP04 – Lower Ground Slab – Building 112 – Confirming Mesh Layer RFT</t>
  </si>
  <si>
    <t>HillInt-RFI-000841</t>
  </si>
  <si>
    <t>DAE-RTRFI-000356</t>
  </si>
  <si>
    <t>HillInt-RTRFI-000977</t>
  </si>
  <si>
    <t>REH-P1003-K03149-CRJ-RFI-CW-0309-00</t>
  </si>
  <si>
    <t>CCCEGY-RFI-000411</t>
  </si>
  <si>
    <t>REH-P1003-K03149-CRJ-RFI-CW-0309-00, Subject: SP04 – Lower Ground - Part 11 - Missing Walls Types</t>
  </si>
  <si>
    <t>HillInt-RFI-000842</t>
  </si>
  <si>
    <t>DAE-RTRFI-000357</t>
  </si>
  <si>
    <t>HillInt-RTRFI-000978</t>
  </si>
  <si>
    <t>REH-P1003-K03149-CRJ-RFI-CW-0310-00</t>
  </si>
  <si>
    <t>CCCEGY-RFI-000412</t>
  </si>
  <si>
    <t>REH-P1003-K03149-CRJ-RFI-CW-0310-00, Subject: SP04 – Lower Ground - Part 11 - Missing slab edge &amp; beams types</t>
  </si>
  <si>
    <t>HillInt-RFI-000843</t>
  </si>
  <si>
    <t>DAE-RTRFI-000361</t>
  </si>
  <si>
    <t>HillInt-RTRFI-000998</t>
  </si>
  <si>
    <t>REH-P1003-K03149-CRJ-RFI-CW-00310-01</t>
  </si>
  <si>
    <t>CCCEGY-RFI-000503</t>
  </si>
  <si>
    <t>REH-P1003-K03149-CRJ-RFI-CW-00310-01 ,Subject: SP04 – Lower Ground - Part 11 - Missing slab edge &amp; beams types</t>
  </si>
  <si>
    <t>HillInt-RFI-001032</t>
  </si>
  <si>
    <t>DAE-RTRFI-000439</t>
  </si>
  <si>
    <t>HillInt-RTRFI-001217</t>
  </si>
  <si>
    <t>REH-P1003-K03149-CRJ-RFI-CW-0311-00</t>
  </si>
  <si>
    <t>CCCEGY-RFI-000413</t>
  </si>
  <si>
    <t>REH-P1003-K03149-CRJ-RFI-CW-0311-00, Subject: Super Plot SP04 – General – Punching Shear Reinforcement Queries</t>
  </si>
  <si>
    <t>HillInt-RFI-000844</t>
  </si>
  <si>
    <t>DAE-RTRFI-000362</t>
  </si>
  <si>
    <t>HillInt-RTRFI-000999</t>
  </si>
  <si>
    <t>REH-P1003-K03149-CRJ-RFI-CW-0312-00</t>
  </si>
  <si>
    <t>CCCEGY-RFI-000414</t>
  </si>
  <si>
    <t>REH-P1003-K03149-CRJ-RFI-CW-0312-00, Subject: SP04 – Lower Ground – ( Parts 6 &amp; 9 ) - Missing Top Additional Reinforcement Description</t>
  </si>
  <si>
    <t>HillInt-RFI-000846</t>
  </si>
  <si>
    <t>DAE-RTRFI-000359</t>
  </si>
  <si>
    <t>HillInt-RTRFI-001000</t>
  </si>
  <si>
    <t>REH-P1003-K03149-CRJ-RFI-CW-0313-00</t>
  </si>
  <si>
    <t>CCCEGY-RFI-000415</t>
  </si>
  <si>
    <t>REH-P1003-K03149-CRJ-RFI-CW-0313-00, Subject: SP04 – Lower Ground – Parts 09 &amp; 12 – Missing Slab Reinforcement</t>
  </si>
  <si>
    <t>HillInt-RFI-000847</t>
  </si>
  <si>
    <t>DAE-RTRFI-000360</t>
  </si>
  <si>
    <t>HillInt-RTRFI-001001</t>
  </si>
  <si>
    <t>REH-P1003-K03149-CRJ-RFI-CW-0314-00</t>
  </si>
  <si>
    <t>CCCEGY-RFI-000355</t>
  </si>
  <si>
    <t>REH-P1003-K03149-CRJ-RFI-CW-0314-00, Subject: SP05- missing column type-check beam depth</t>
  </si>
  <si>
    <t>HillInt-RFI-000747</t>
  </si>
  <si>
    <t>DAE-RTRFI-000317</t>
  </si>
  <si>
    <t>HillInt-RTRFI-000848</t>
  </si>
  <si>
    <t>REH-P1003-K03149-CRJ-RFI-CW-0315-00</t>
  </si>
  <si>
    <t>CCCEGY-RFI-000356</t>
  </si>
  <si>
    <t>REH-P1003-K03149-CRJ-RFI-CW-0315-00, Subject: SP05- Discrepancy in axis between structure and arch</t>
  </si>
  <si>
    <t>HillInt-RFI-000748</t>
  </si>
  <si>
    <t>DAE-RTRFI-000318</t>
  </si>
  <si>
    <t>HillInt-RTRFI-000849</t>
  </si>
  <si>
    <t>REH-P1003-K03149-CRJ-RFI-CW-0316-00</t>
  </si>
  <si>
    <t>CCCEGY-RFI-000357</t>
  </si>
  <si>
    <t>REH-P1003-K03149-CRJ-RFI-CW-0316-00, Subject: SP01- Missing beam data and coordination in ramp area</t>
  </si>
  <si>
    <t>HillInt-RFI-000749</t>
  </si>
  <si>
    <t>DAE-RTRFI-000336</t>
  </si>
  <si>
    <t>HillInt-RTRFI-000912</t>
  </si>
  <si>
    <t>REH-P1003-K03149-CRJ-RFI-CW-0317-00</t>
  </si>
  <si>
    <t>CCCEGY-RFI-000358</t>
  </si>
  <si>
    <t>REH-P1003-K03149-CRJ-RFI-CW-0317-00, Subject: SP05- Retaining Wall Top Level Discrepancy- Bridge–Retaining Wall Cable Tie-in Clarification</t>
  </si>
  <si>
    <t>HillInt-RFI-000750</t>
  </si>
  <si>
    <t>DAE-RTRFI-000319</t>
  </si>
  <si>
    <t>HillInt-RTRFI-000850</t>
  </si>
  <si>
    <t>REH-P1003-K03149-CRJ-RFI-CW-0318-00</t>
  </si>
  <si>
    <t>CCCEGY-RFI-000359</t>
  </si>
  <si>
    <t>REH-P1003-K03149-CRJ-RFI-CW-0318-00, Subject: SP01- Missing Support for the clouded beam</t>
  </si>
  <si>
    <t>HillInt-RFI-000751</t>
  </si>
  <si>
    <t>DAE-RTRFI-000333</t>
  </si>
  <si>
    <t>HillInt-RTRFI-000879</t>
  </si>
  <si>
    <t>REH-P1003-K03149-CRJ-RFI-CW-0319-00</t>
  </si>
  <si>
    <t>CCCEGY-RFI-000360</t>
  </si>
  <si>
    <t>REH-P1003-K03149-CRJ-RFI-CW-0319-00, Subject: Issues with Water Tank Walls with Other Core Walls or Retaining Walls in all plots</t>
  </si>
  <si>
    <t>HillInt-RFI-000752</t>
  </si>
  <si>
    <t>DAE-RTRFI-000330</t>
  </si>
  <si>
    <t>HillInt-RTRFI-000871</t>
  </si>
  <si>
    <t>REH-P1003-K03149-CRJ-RFI-CW-0320-00</t>
  </si>
  <si>
    <t>CCCEGY-RFI-000361</t>
  </si>
  <si>
    <t>REH-P1003-K03149-CRJ-RFI-CW-0320-00, Subject Sp06-Part03-Lower Ground-Missing data for beams and ramps</t>
  </si>
  <si>
    <t>HillInt-RFI-000753</t>
  </si>
  <si>
    <t>DAE-RTRFI-000321</t>
  </si>
  <si>
    <t>HillInt-RTRFI-000852</t>
  </si>
  <si>
    <t>REH-P1003-K03149-CRJ-RFI-CW-0321-00</t>
  </si>
  <si>
    <t>CCCEGY-RFI-000362</t>
  </si>
  <si>
    <t>REH-P1003-K03149-CRJ-RFI-CW-0321-00, Subject Sp06-Part04&amp;Building 252-Lower Ground-Discrepancy between Beam mark on axis B52.B</t>
  </si>
  <si>
    <t>HillInt-RFI-000754</t>
  </si>
  <si>
    <t>DAE-RTRFI-000315</t>
  </si>
  <si>
    <t>HillInt-RTRFI-000844</t>
  </si>
  <si>
    <t>REH-P1003-K03149-CRJ-RFI-CW-0322-00</t>
  </si>
  <si>
    <t>CCCEGY-RFI-000363</t>
  </si>
  <si>
    <t>REH-P1003-K03149-CRJ-RFI-CW-0322-00, Subject: Sp06-Part03-Lower Ground-Missing data for beams and ramps</t>
  </si>
  <si>
    <t>HillInt-RFI-000755</t>
  </si>
  <si>
    <t>DAE-GNC-000167</t>
  </si>
  <si>
    <t>HillInt-RTRFI-000902</t>
  </si>
  <si>
    <t>REH-P1003-K03149-CRJ-RFI-CW-0323-00</t>
  </si>
  <si>
    <t>CCCEGY-RFI-000364</t>
  </si>
  <si>
    <t>REH-P1003-K03149-CRJ-RFI-CW-0323-00, Subject: Sp06-Part04-Building 252-Lower Ground-Conflict in slab limits and its beams levels</t>
  </si>
  <si>
    <t>HillInt-RFI-000756</t>
  </si>
  <si>
    <t>DAE-RTRFI-000320</t>
  </si>
  <si>
    <t>HillInt-RTRFI-000853</t>
  </si>
  <si>
    <t>REH-P1003-K03149-CRJ-RFI-CW-0324-00</t>
  </si>
  <si>
    <t>CCCEGY-RFI-000365</t>
  </si>
  <si>
    <t>REH-P1003-K03149-CRJ-RFI-CW-0324-00, Subject: SP09 - Part01 – Basement Slab - Unresolved IFC Opening Geometry</t>
  </si>
  <si>
    <t>HillInt-RFI-000757</t>
  </si>
  <si>
    <t>DAE-RTRFI-000331</t>
  </si>
  <si>
    <t>HillInt-RTRFI-000872</t>
  </si>
  <si>
    <t>REH-P1003-K03149-CRJ-RFI-CW-0325-00</t>
  </si>
  <si>
    <t>CCCEGY-RFI-000366</t>
  </si>
  <si>
    <t>REH-P1003-K03149-CRJ-RFI-CW-0325-00, Subject: SP09 - Part01 – Basement Slab - Structural Beam and Core Wall Intersect</t>
  </si>
  <si>
    <t>HillInt-RFI-000760</t>
  </si>
  <si>
    <t>DAE-RTRFI-000334</t>
  </si>
  <si>
    <t>HillInt-RTRFI-000880</t>
  </si>
  <si>
    <t>REH-P1003-K03149-CRJ-RFI-CW-0326-00</t>
  </si>
  <si>
    <t>CCCEGY-RFI-000376</t>
  </si>
  <si>
    <t>REH-P1003-K03149-CRJ-RFI-CW-0326-00, Subject: SP09 - Wall Opening Dimensions Clarification</t>
  </si>
  <si>
    <t>HillInt-RFI-000770</t>
  </si>
  <si>
    <t>DAE-RTRFI-000337</t>
  </si>
  <si>
    <t>HillInt-RTRFI-000913</t>
  </si>
  <si>
    <t>REH-P1003-K03149-CRJ-RFI-CW-0-00327</t>
  </si>
  <si>
    <t>CCCEGY-RFI-000422</t>
  </si>
  <si>
    <t>REH-P1003-K03149-CRJ-RFI-CW-0-00327, Subject: SP04 -Lower Ground - Part 06 -Vertical Elements Queries</t>
  </si>
  <si>
    <t>HillInt-RFI-000859</t>
  </si>
  <si>
    <t>DAE-RTRFI-000369</t>
  </si>
  <si>
    <t>HillInt-RTRFI-001047</t>
  </si>
  <si>
    <t>REH-P1003-K03149-CRJ-RFI-CW-0-00328</t>
  </si>
  <si>
    <t>CCCEGY-RFI-000423</t>
  </si>
  <si>
    <t>REH-P1003-K03149-CRJ-RFI-CW-0-00328, Subject: SP04- Lower Ground - Part 06 - Queries</t>
  </si>
  <si>
    <t>HillInt-RFI-000863</t>
  </si>
  <si>
    <t>DAE-RTRFI-000371</t>
  </si>
  <si>
    <t>HillInt-RTRFI-001049</t>
  </si>
  <si>
    <t>REH-P1003-K03149-CRJ-RFI-CW-00329-00</t>
  </si>
  <si>
    <t>CCCEGY-RFI-000468</t>
  </si>
  <si>
    <t>REH-P1003-K03149-CRJ-RFI-CW-00329-00 ,Subject: SP04 – Lower Ground – Building 100 – Beams Queries</t>
  </si>
  <si>
    <t>HillInt-RFI-000993</t>
  </si>
  <si>
    <t>DAE-RTRFI-000391</t>
  </si>
  <si>
    <t>HillInt-RTRFI-001123</t>
  </si>
  <si>
    <t>REH-P1003-K03149-CRJ-RFI-CW-0-00330</t>
  </si>
  <si>
    <t>CCCEGY-RFI-000433</t>
  </si>
  <si>
    <t>REH-P1003-K03149-CRJ-RFI-CW-0-00330, Subject: SP04 - Lower Ground - Building 212 - Walls Clarifications</t>
  </si>
  <si>
    <t>HillInt-RFI-000856</t>
  </si>
  <si>
    <t>DAE-RTRFI-000366</t>
  </si>
  <si>
    <t>HillInt-RTRFI-001044</t>
  </si>
  <si>
    <t>REH-P1003-K03149-CRJ-RFI-CW-0331-00</t>
  </si>
  <si>
    <t>CCCEGY-RFI-000378</t>
  </si>
  <si>
    <t>REH-P1003-K03149-CRJ-RFI-CW-0331-00, Subject: SP10 - Part 05 - Basement 01 – Missing Beam Type</t>
  </si>
  <si>
    <t>HillInt-RFI-000783</t>
  </si>
  <si>
    <t>DAE-RTRFI-000340</t>
  </si>
  <si>
    <t>HillInt-RTRFI-000916</t>
  </si>
  <si>
    <t>REH-P1003-K03149-CRJ-RFI-CW-0332-00</t>
  </si>
  <si>
    <t>CCCEGY-RFI-000379</t>
  </si>
  <si>
    <t>REH-P1003-K03149-CRJ-RFI-CW-0332-00, Subject: SP07 - Wall Opening Dimensions Clarification.</t>
  </si>
  <si>
    <t>HillInt-RFI-000784</t>
  </si>
  <si>
    <t>DAE-RTRFI-000341</t>
  </si>
  <si>
    <t>HillInt-RTRFI-000917</t>
  </si>
  <si>
    <t>REH-P1003-K03149-CRJ-RFI-CW-0333-00</t>
  </si>
  <si>
    <t>CCCEGY-RFI-000384</t>
  </si>
  <si>
    <t>REH-P1003-K03149-CRJ-RFI-CW-0333-00, Subject: SP09 – Building 250 - Clarification in stairs Levels</t>
  </si>
  <si>
    <t>HillInt-RFI-000789</t>
  </si>
  <si>
    <t>DAE-RTRFI-000338</t>
  </si>
  <si>
    <t>HillInt-RTRFI-000914</t>
  </si>
  <si>
    <t>REH-P1003-K03149-CRJ-RFI-CW-0334-00</t>
  </si>
  <si>
    <t>CCCEGY-RFI-000380</t>
  </si>
  <si>
    <t>REH-P1003-K03149-CRJ-RFI-CW-0334-00, Subject: SP09 - Building 151 – Tank Wall Opening Dimensions Clarification</t>
  </si>
  <si>
    <t>HillInt-RFI-000785</t>
  </si>
  <si>
    <t>DAE-RTRFI-000339</t>
  </si>
  <si>
    <t>HillInt-RTRFI-000915</t>
  </si>
  <si>
    <t>REH-P1003-K03149-CRJ-RFI-CW-0335-00</t>
  </si>
  <si>
    <t>CCCEGY-RFI-000381</t>
  </si>
  <si>
    <t>REH-P1003-K03149-CRJ-RFI-CW-0335-00, Subject: SP08 – Missing SAFE Model for (Ground Floor) FROM IFC PACKAGE.</t>
  </si>
  <si>
    <t>HillInt-RFI-000786</t>
  </si>
  <si>
    <t>DAE-RTRFI-000344</t>
  </si>
  <si>
    <t>HillInt-RTRFI-000926</t>
  </si>
  <si>
    <t>REH-P1003-K03149-CRJ-RFI-CW-0336-00</t>
  </si>
  <si>
    <t>CCCEGY-RFI-000382</t>
  </si>
  <si>
    <t>Fwd: REH-P1003-K03149-CRJ-RFI-CW-0336-00, Subject: SP07 – Part 01 – Ground Slabs – Inquiries in framing plan</t>
  </si>
  <si>
    <t>HillInt-RFI-000787</t>
  </si>
  <si>
    <t>DAE-RTRFI-000345</t>
  </si>
  <si>
    <t>HillInt-RTRFI-000927</t>
  </si>
  <si>
    <t>REH-P1003-K03149-CRJ-RFI-CW-0337-00</t>
  </si>
  <si>
    <t>CCCEGY-RFI-000383</t>
  </si>
  <si>
    <t>REH-P1003-K03149-CRJ-RFI-CW-0337-00, Subject: SP05 - B255 - missing information in new package received</t>
  </si>
  <si>
    <t>HillInt-RFI-000788</t>
  </si>
  <si>
    <t>DAE-RTRFI-000343</t>
  </si>
  <si>
    <t>HillInt-RTRFI-000924</t>
  </si>
  <si>
    <t>REH-P1003-K03149-CRJ-RFI-CW-0338-00</t>
  </si>
  <si>
    <t>CCCEGY-RFI-000388</t>
  </si>
  <si>
    <t>REH-P1003-K03149-CRJ-RFI-CW-0338-00, Subject: SP10 - Part 02 – Fire Fighting Tank Access Hatch</t>
  </si>
  <si>
    <t>HillInt-RFI-000790</t>
  </si>
  <si>
    <t>DAE-RTRFI-000342</t>
  </si>
  <si>
    <t>HillInt-RTRFI-000918</t>
  </si>
  <si>
    <t>REH-P1003-K03149-CRJ-RFI-CW-00339-00</t>
  </si>
  <si>
    <t>CCCEGY-RFI-000424</t>
  </si>
  <si>
    <t>REH-P1003-K03149-CRJ-RFI-CW-0-00339, Subject: SP04 - Lower Ground -Part 12 -Trench and Wall Clarification</t>
  </si>
  <si>
    <t>HillInt-RFI-000864</t>
  </si>
  <si>
    <t>DAE-RTRFI-000380</t>
  </si>
  <si>
    <t>HillInt-RTRFI-001084</t>
  </si>
  <si>
    <t>REH-P1003-K03149-CRJ-RFI-CW-0339-01</t>
  </si>
  <si>
    <t>CCCEGY-GNC-000053</t>
  </si>
  <si>
    <t>SP04 - Lower Ground -Part 12 -Trench and Wall Clarification</t>
  </si>
  <si>
    <t>CCCEGY-RFI-000675</t>
  </si>
  <si>
    <t>HillInt-GNC-004071</t>
  </si>
  <si>
    <t>REH-P1003-K03149-CRJ-RFI-CW-00340-00</t>
  </si>
  <si>
    <t>CCCEGY-RFI-000425</t>
  </si>
  <si>
    <t>REH-P1003-K03149-CRJ-RFI-CW-0-00340, Subject: SP04- Lower Ground - Part 09 -Vertical Elements Queries</t>
  </si>
  <si>
    <t>HillInt-RFI-000865</t>
  </si>
  <si>
    <t>DAE-RTRFI-000372</t>
  </si>
  <si>
    <t>HillInt-RTRFI-001066</t>
  </si>
  <si>
    <t>REH-P1003-K03149-CRJ-RFI-CW-0341-00</t>
  </si>
  <si>
    <t>CCCEGY-RFI-000441</t>
  </si>
  <si>
    <t>REH-P1003-K03149-CRJ-RFI-CW-0341-00, Subject: SP04 – Lower Ground – Part 09 – Framing Plan Clarifications</t>
  </si>
  <si>
    <t>HillInt-RFI-000928</t>
  </si>
  <si>
    <t>DAE-RTRFI-000414</t>
  </si>
  <si>
    <t>HillInt-RTRFI-001148</t>
  </si>
  <si>
    <t>REH-P1003-K03149-CRJ-RFI-CW-00342-00</t>
  </si>
  <si>
    <t>CCCEGY-RFI-000426</t>
  </si>
  <si>
    <t>REH-P1003-K03149-CRJ-RFI-CW-0-00342, Subject: SP04 - Lower Ground - Part 12 - Vertical Elements Queries</t>
  </si>
  <si>
    <t>HillInt-RFI-000866</t>
  </si>
  <si>
    <t>DAE-RTRFI-000373</t>
  </si>
  <si>
    <t>HillInt-RTRFI-001067</t>
  </si>
  <si>
    <t>REH-P1003-K03149-CRJ-RFI-CW-00343-00</t>
  </si>
  <si>
    <t>CCCEGY-RFI-000427</t>
  </si>
  <si>
    <t>REH-P1003-K03149-CRJ-RFI-CW-0-00343, Subject: SP04 - Lower Ground - Part 12- Framing Plan Clarifications</t>
  </si>
  <si>
    <t>HillInt-RFI-000867</t>
  </si>
  <si>
    <t>DAE-RTRFI-000374</t>
  </si>
  <si>
    <t>HillInt-RTRFI-001068</t>
  </si>
  <si>
    <t>REH-P1003-K03149-CRJ-RFI-CW-0344-00</t>
  </si>
  <si>
    <t>CCCEGY-RFI-000393</t>
  </si>
  <si>
    <t>REH-P1003-K03149-CRJ-RFI-CW-0344-00, Subject: SP05 - B255 - missing information in new package received</t>
  </si>
  <si>
    <t>HillInt-RFI-000805</t>
  </si>
  <si>
    <t>DAE-RTRFI-000346</t>
  </si>
  <si>
    <t>HillInt-RTRFI-000934</t>
  </si>
  <si>
    <t>REH-P1003-K03149-CRJ-RFI-CW-0344-01</t>
  </si>
  <si>
    <t>CCCEGY-RFI-000453</t>
  </si>
  <si>
    <t>Re: REH-P1003-K03149-CRJ-RFI-CW-0344-01, Subject: Clarification SP05-P05 of Lower Slab TOC / FFL Level of Elevated Tank</t>
  </si>
  <si>
    <t>HillInt-RFI-000930</t>
  </si>
  <si>
    <t>DAE-RTRFI-000419</t>
  </si>
  <si>
    <t>HillInt-RTRFI-001153</t>
  </si>
  <si>
    <t>REH-P1003-K03149-CRJ-RFI-CW-0345-00</t>
  </si>
  <si>
    <t>CCCEGY-RFI-000391</t>
  </si>
  <si>
    <t>REH-P1003-K03149-CRJ-RFI-CW-0345-00, Subject: SP04 – Part 03 – Electrical Cable Trench</t>
  </si>
  <si>
    <t>HillInt-RFI-000803</t>
  </si>
  <si>
    <t>DAE-RTRFI-000348</t>
  </si>
  <si>
    <t>HillInt-RTRFI-000936</t>
  </si>
  <si>
    <t>REH-P1003-K03149-CRJ-RFI-CW-0346-00</t>
  </si>
  <si>
    <t>CCCEGY-RFI-000392</t>
  </si>
  <si>
    <t>REH-P1003-K03149-CRJ-RFI-CW-0346-00, Subject: SP05- Missing beam data</t>
  </si>
  <si>
    <t>HillInt-RFI-000804</t>
  </si>
  <si>
    <t>DAE-RTRFI-000347</t>
  </si>
  <si>
    <t>HillInt-RTRFI-000935</t>
  </si>
  <si>
    <t>REH-P1003-K03149-CRJ-RFI-CW-0347-00</t>
  </si>
  <si>
    <t>CCCEGY-RFI-000396</t>
  </si>
  <si>
    <t>REH-P1003-K03149-CRJ-RFI-CW-0347-00, Subject: SP08-Building 248-Ground Plan-Missing top end of tank wall</t>
  </si>
  <si>
    <t>HillInt-RFI-000810</t>
  </si>
  <si>
    <t>DAE-RTRFI-000349</t>
  </si>
  <si>
    <t>HillInt-RTRFI-000937</t>
  </si>
  <si>
    <t>REH-P1003-K03149-CRJ-RFI-CW-0348-00</t>
  </si>
  <si>
    <t>CCCEGY-RFI-000397</t>
  </si>
  <si>
    <t>REH-P1003-K03149-CRJ-RFI-CW-0348-00, Subject: Relocation of Access Door and Ladder for Water Tank</t>
  </si>
  <si>
    <t>HillInt-RFI-000811</t>
  </si>
  <si>
    <t>DAE-RTRFI-000350</t>
  </si>
  <si>
    <t>HillInt-RTRFI-000938</t>
  </si>
  <si>
    <t>REH-P1003-K03149-CRJ-RFI-CW-0349-00</t>
  </si>
  <si>
    <t>CCCEGY-RFI-000395</t>
  </si>
  <si>
    <t>REH-P1003-K03149-CRJ-RFI-CW-0349-00, Subject: SP08-PART03&amp;Building 248 Ground-IFC doesn’t clarify top level of column</t>
  </si>
  <si>
    <t>HillInt-RFI-000809</t>
  </si>
  <si>
    <t>DAE-RTRFI-000352</t>
  </si>
  <si>
    <t>HillInt-RTRFI-000956</t>
  </si>
  <si>
    <t>REH-P1003-K03149-CRJ-RFI-CW-0350-00</t>
  </si>
  <si>
    <t>REH-P1003-K03149-CRJ-RFI-CW-0351-00</t>
  </si>
  <si>
    <t>CCCEGY-RFI-000442</t>
  </si>
  <si>
    <t>REH-P1003-K03149-CRJ-RFI-CW-0351-00, Subject: SP 04 – Ground Floor - Tank Wall Coordination – Part 05&amp;08</t>
  </si>
  <si>
    <t>HillInt-RFI-000932</t>
  </si>
  <si>
    <t>DAE-RTRFI-000415</t>
  </si>
  <si>
    <t>HillInt-RTRFI-001149</t>
  </si>
  <si>
    <t>REH-P1003-K03149-CRJ-RFI-CW-0352-00</t>
  </si>
  <si>
    <t>CCCEGY-RFI-000455</t>
  </si>
  <si>
    <t>REH-P1003-K03149-CRJ-RFI-CW-0352-00 ,Subject: SP04 – Lower Ground – Building 100 – Columns Inquires</t>
  </si>
  <si>
    <t>HillInt-RFI-000931</t>
  </si>
  <si>
    <t>DAE-RTRFI-000416</t>
  </si>
  <si>
    <t>HillInt-RTRFI-001150</t>
  </si>
  <si>
    <t>REH-P1003-K03149-CRJ-RFI-CW-0-00353</t>
  </si>
  <si>
    <t>CCCEGY-RFI-000428</t>
  </si>
  <si>
    <t>REH-P1003-K03149-CRJ-RFI-CW-0-00353, Subject: SP04 - Lower Ground - Building 112 - Beams schedule (LGR-B05)</t>
  </si>
  <si>
    <t>HillInt-RFI-000869</t>
  </si>
  <si>
    <t>DAE-RTRFI-000375</t>
  </si>
  <si>
    <t>HillInt-RTRFI-001069</t>
  </si>
  <si>
    <t>REH-P1003-K03149-CRJ-RFI-CW-0354-00</t>
  </si>
  <si>
    <t>CCCEGY-RFI-000400</t>
  </si>
  <si>
    <t>REH-P1003-K03149-CRJ-RFI-CW-0354-00, Subject: Issues with Water Tank Walls with Other Core Walls or Retaining Walls in all plots</t>
  </si>
  <si>
    <t>HillInt-RFI-000820</t>
  </si>
  <si>
    <t>DAE-RTRFI-000353</t>
  </si>
  <si>
    <t>HillInt-RTRFI-000957</t>
  </si>
  <si>
    <t>REH-P1003-K03149-CRJ-RFI-CW-0355-00</t>
  </si>
  <si>
    <t>CCCEGY-RFI-000401</t>
  </si>
  <si>
    <t>REH-P1003-K03149-CRJ-RFI-CW-0355-00, Subject: : SP08-Basement 02 Foundation &amp; Basement 01 Slab – Discrepancy in columns mark at same Place at B02 &amp; B01</t>
  </si>
  <si>
    <t>HillInt-RFI-000821</t>
  </si>
  <si>
    <t>DAE-RTRFI-000354</t>
  </si>
  <si>
    <t>HillInt-RTRFI-000975</t>
  </si>
  <si>
    <t>REH-P1003-K03149-CRJ-RFI-CW-0-00356-00</t>
  </si>
  <si>
    <t>CCCEGY-RFI-000429</t>
  </si>
  <si>
    <t>REH-P1003-K03149-CRJ-RFI-CW-0-00356, Subject: SP04 - Lower Ground - Part 03 - Building 112 - minimum width for folded slab</t>
  </si>
  <si>
    <t>HillInt-RFI-000870</t>
  </si>
  <si>
    <t>DAE-RTRFI-000376</t>
  </si>
  <si>
    <t>HillInt-RTRFI-001076</t>
  </si>
  <si>
    <t>REH-P1003-K03149-CRJ-RFI-CW-0-00356-01</t>
  </si>
  <si>
    <t>CCCEGY-RFI-000677</t>
  </si>
  <si>
    <t>SP04 - Lower Ground - Part 03 - Building 112 - minimum width for folded slab Best Regards</t>
  </si>
  <si>
    <t>HillInt-GNC-004113</t>
  </si>
  <si>
    <t>Reh-P1003-K03149-Crj-Rfi-Cw-0357-00</t>
  </si>
  <si>
    <t>CCCEGY-RFI-000443</t>
  </si>
  <si>
    <t>Reh-P1003-K03149-Crj-Rfi-Cw-0357-00, Subject: Sp09 – Part 06 – Building 251 – Column Discrepancy</t>
  </si>
  <si>
    <t>HillInt-RFI-000933</t>
  </si>
  <si>
    <t>DAE-RTRFI-000405</t>
  </si>
  <si>
    <t>HillInt-RTRFI-001139</t>
  </si>
  <si>
    <t>REH-P1003-K03149-CRJ-RFI-CW-0358-00</t>
  </si>
  <si>
    <t>CCCEGY-RFI-000417</t>
  </si>
  <si>
    <t>REH-P1003-K03149-CRJ-RFI-CW-0358-00, Subject: SP09 – PART 05 - Clarification of Wall Opening (351-CW 03)</t>
  </si>
  <si>
    <t>HillInt-RFI-000860</t>
  </si>
  <si>
    <t>DAE-RTRFI-000358</t>
  </si>
  <si>
    <t>HillInt-RTRFI-000996</t>
  </si>
  <si>
    <t>REH-P1003-K03149-CRJ-RFI-CW-0359-00</t>
  </si>
  <si>
    <t>CCCEGY-RFI-000418</t>
  </si>
  <si>
    <t>REH-P1003-K03149-CRJ-RFI-CW-0359-00, Subject: SP04 – Basement 02 Tanks – Top Level Coordination</t>
  </si>
  <si>
    <t>HillInt-RFI-000861</t>
  </si>
  <si>
    <t>DAE-RTRFI-000370</t>
  </si>
  <si>
    <t>HillInt-RTRFI-001048</t>
  </si>
  <si>
    <t>REH-P1003-K03149-CRJ-RFI-CW-00360-00</t>
  </si>
  <si>
    <t>CCCEGY-RFI-000470</t>
  </si>
  <si>
    <t>REH-P1003-K03149-CRJ-RFI-CW-00360-00 ,Subject: SP09 – Building 250 - Clarification in stairs Levels</t>
  </si>
  <si>
    <t>HillInt-RFI-000995</t>
  </si>
  <si>
    <t>DAE-RTRFI-000421</t>
  </si>
  <si>
    <t>HillInt-RTRFI-001155</t>
  </si>
  <si>
    <t>REH-P1003-K03149-CRJ-RFI-CW-00361-00</t>
  </si>
  <si>
    <t>CCCEGY-RFI-000430</t>
  </si>
  <si>
    <t>REH-P1003-K03149-CRJ-RFI-CW-0-00361, Subject: SP04 - Lower Ground - Part 03 - Swimming Pool 03 - beams levels</t>
  </si>
  <si>
    <t>HillInt-RFI-000871</t>
  </si>
  <si>
    <t>DAE-RTRFI-000377</t>
  </si>
  <si>
    <t>HillInt-RTRFI-001077</t>
  </si>
  <si>
    <t>REH-P1003-K03149-CRJ-RFI-CW-00362-00</t>
  </si>
  <si>
    <t>CCCEGY-RFI-000471</t>
  </si>
  <si>
    <t>REH-P1003-K03149-CRJ-RFI-CW-00362-00 ,Subject: SP04 – BUILDING 112 - Lower Ground – Stair 01- Missing Beam Type</t>
  </si>
  <si>
    <t>HillInt-RFI-000996</t>
  </si>
  <si>
    <t>DAE-RTRFI-000393</t>
  </si>
  <si>
    <t>HillInt-RTRFI-001125</t>
  </si>
  <si>
    <t>REH-P1003-K03149-CRJ-RFI-CW-00363-00</t>
  </si>
  <si>
    <t>CCCEGY-RFI-000431</t>
  </si>
  <si>
    <t>REH-P1003-K03149-CRJ-RFI-CW-0-00363, Subject: SP04 - BUILDING 112 - Lower Ground - Stair 02- Missing Beam Type</t>
  </si>
  <si>
    <t>HillInt-RFI-000872</t>
  </si>
  <si>
    <t>DAE-RTRFI-000378</t>
  </si>
  <si>
    <t>HillInt-RTRFI-001078</t>
  </si>
  <si>
    <t>REH-P1003-K03149-CRJ-RFI-CW-0364-00</t>
  </si>
  <si>
    <t>CCCEGY-RFI-000419</t>
  </si>
  <si>
    <t>REH-P1003-K03149-CRJ-RFI-CW-0364-00, Subject: Missing Beam Tag/Schedule for the highlighted beam</t>
  </si>
  <si>
    <t>HillInt-RFI-000862</t>
  </si>
  <si>
    <t>DAE-RTRFI-000381</t>
  </si>
  <si>
    <t>HillInt-RTRFI-001085</t>
  </si>
  <si>
    <t>REH-P1003-K03149-CRJ-RFI-CW-00365-00</t>
  </si>
  <si>
    <t>CCCEGY-RFI-000472</t>
  </si>
  <si>
    <t>REH-P1003-K03149-CRJ-RFI-CW-00365-00 ,Subject: SP09 – Building 351 - Clarification in stairs Levels</t>
  </si>
  <si>
    <t>HillInt-RFI-000997</t>
  </si>
  <si>
    <t>DAE-RTRFI-000422</t>
  </si>
  <si>
    <t>HillInt-RTRFI-001156</t>
  </si>
  <si>
    <t>REH-P1003-K03149-CRJ-RFI-CW-0-00366</t>
  </si>
  <si>
    <t>CCCEGY-RFI-000432</t>
  </si>
  <si>
    <t>REH-P1003-K03149-CRJ-RFI-CW-0-00366, Subject: SP04 - Lower Ground - Building 212 - Columns Setting out</t>
  </si>
  <si>
    <t>HillInt-RFI-000873</t>
  </si>
  <si>
    <t>DAE-RTRFI-000379</t>
  </si>
  <si>
    <t>HillInt-RTRFI-001079</t>
  </si>
  <si>
    <t>REH-P1003-K03149-CRJ-RFI-CW-00367-00</t>
  </si>
  <si>
    <t>CCCEGY-RFI-000504</t>
  </si>
  <si>
    <t>REH-P1003-K03149-CRJ-RFI-CW-00367-00 ,Subject: SP04 – General – Blocked Shafts at basement</t>
  </si>
  <si>
    <t>HillInt-RFI-001033</t>
  </si>
  <si>
    <t>DAE-RTRFI-000442</t>
  </si>
  <si>
    <t>HillInt-RTRFI-001222</t>
  </si>
  <si>
    <t>REH-P1003-K03149-CRJ-RFI-CW-0368-00</t>
  </si>
  <si>
    <t>CCCEGY-RFI-000456</t>
  </si>
  <si>
    <t>REH-P1003-K03149-CRJ-RFI-CW-0368-00 ,Subject: SP04 – Lower Ground – Typical Staircase Details Clarification</t>
  </si>
  <si>
    <t>HillInt-RFI-000942</t>
  </si>
  <si>
    <t>DAE-RTRFI-000390</t>
  </si>
  <si>
    <t>HillInt-RTRFI-001122</t>
  </si>
  <si>
    <t>REH-P1003-K03149-CRJ-RFI-CW-00369-00</t>
  </si>
  <si>
    <t>CCCEGY-RFI-000473</t>
  </si>
  <si>
    <t>REH-P1003-K03149-CRJ-RFI-CW-00369-00 ,Subject: GENERAL – ATTIC SLAB REINFORCEMENT</t>
  </si>
  <si>
    <t>HillInt-RFI-000998</t>
  </si>
  <si>
    <t>DAE-RTRFI-000383</t>
  </si>
  <si>
    <t>HillInt-RTRFI-001104</t>
  </si>
  <si>
    <t>REH-P1003-K03149-CRJ-RFI-CW-0370-00</t>
  </si>
  <si>
    <t>CCCEGY-RFI-000444</t>
  </si>
  <si>
    <t>REH-P1003-K03149-CRJ-RFI-CW-0370-00, Subject: SP 03 -Ground Floor - Slab and Stair Coordination - Part 01,02,03</t>
  </si>
  <si>
    <t>HillInt-RFI-000934</t>
  </si>
  <si>
    <t>DAE-RTRFI-000384</t>
  </si>
  <si>
    <t>HillInt-RTRFI-001105</t>
  </si>
  <si>
    <t>REH-P1003-K03149-CRJ-RFI-CW-0371-00</t>
  </si>
  <si>
    <t>CCCEGY-RFI-000445</t>
  </si>
  <si>
    <t>REH-P1003-K03149-CRJ-RFI-CW-0371-00, Subject: SP 03 - Ground Floor - Attic Slab at Stair Coordination - Part 01,02,03</t>
  </si>
  <si>
    <t>HillInt-RFI-000935</t>
  </si>
  <si>
    <t>DAE-RTRFI-000385</t>
  </si>
  <si>
    <t>HillInt-RTRFI-001106</t>
  </si>
  <si>
    <t>REH-P1003-K03149-CRJ-RFI-CW-0372-00</t>
  </si>
  <si>
    <t>CCCEGY-RFI-000446</t>
  </si>
  <si>
    <t>REH-P1003-K03149-CRJ-RFI-CW-0372-00, Subject: SP 03 - Ground Floor - Stair Coordination Part 01,02,03</t>
  </si>
  <si>
    <t>HillInt-RFI-000936</t>
  </si>
  <si>
    <t>DAE-RTRFI-000386</t>
  </si>
  <si>
    <t>HillInt-RTRFI-001107</t>
  </si>
  <si>
    <t>REH-P1003-K03149-CRJ-RFI-CW-0373-00</t>
  </si>
  <si>
    <t>CCCEGY-RFI-000447</t>
  </si>
  <si>
    <t>REH-P1003-K03149-CRJ-RFI-CW-0373-00, Subject: SP 03 - Ground Floor - Attic Slab access hath - Part 01,02,03</t>
  </si>
  <si>
    <t>HillInt-RFI-000937</t>
  </si>
  <si>
    <t>DAE-RTRFI-000420</t>
  </si>
  <si>
    <t>HillInt-RTRFI-001154</t>
  </si>
  <si>
    <t>REH-P1003-K03149-CRJ-RFI-CW-0374-00</t>
  </si>
  <si>
    <t>CCCEGY-RFI-000448</t>
  </si>
  <si>
    <t>REH-P1003-K03149-CRJ-RFI-CW-0374-00, Subject: SP 03 - Ground Floor - Moment Connection of Slab - Part 01,02,03</t>
  </si>
  <si>
    <t>HillInt-GNC-003906</t>
  </si>
  <si>
    <t>REH-P1003-K03149-CRJ-RFI-ME-0375-00</t>
  </si>
  <si>
    <t>CCCEGY-RFI-000434</t>
  </si>
  <si>
    <t>REH-P1003-K03149-CRJ-RFI-ME-0375, Subject: Smoke Extract Fan Discharge Arrangement</t>
  </si>
  <si>
    <t>HillInt-RFI-000874</t>
  </si>
  <si>
    <t>DAE-RTRFI-000363</t>
  </si>
  <si>
    <t>HillInt-RTRFI-001023</t>
  </si>
  <si>
    <t>REH-P1003-K03149-CRJ-RFI-CW-0376-00</t>
  </si>
  <si>
    <t>CCCEGY-RFI-000457</t>
  </si>
  <si>
    <t>REH-P1003-K03149-CRJ-RFI-CW-0376-00 ,Subject: SP04 – Lower Ground – General – Attic Slab Upstand Walls Spacings</t>
  </si>
  <si>
    <t>HillInt-RFI-000939</t>
  </si>
  <si>
    <t>DAE-RTRFI-000418</t>
  </si>
  <si>
    <t>HillInt-RTRFI-001152</t>
  </si>
  <si>
    <t>REH-P1003-K03149-CRJ-RFI-CW-0377-00</t>
  </si>
  <si>
    <t>CCCEGY-RFI-000458</t>
  </si>
  <si>
    <t>REH-P1003-K03149-CRJ-RFI-CW-0377-00 ,Subject: SP04 – B212 – Discrepancy between Arch &amp; Str axes</t>
  </si>
  <si>
    <t>HillInt-RFI-000938</t>
  </si>
  <si>
    <t>DAE-RTRFI-000417</t>
  </si>
  <si>
    <t>HillInt-RTRFI-001151</t>
  </si>
  <si>
    <t>REH-P1003-K03149-CRJ-RFI-CW-0378-00</t>
  </si>
  <si>
    <t>CCCEGY-RFI-000438</t>
  </si>
  <si>
    <t>REH-P1003-K03149-CRJ-RFI-CW-0378-00, Subject: : SP04 - Missing Opening Above Lower Ground &amp; Ground Floor Slabs.</t>
  </si>
  <si>
    <t>HillInt-RFI-000949</t>
  </si>
  <si>
    <t>DAE-RTRFI-000425</t>
  </si>
  <si>
    <t>HillInt-RTRFI-001159</t>
  </si>
  <si>
    <t>HillInt-GNC-002602
not signed</t>
  </si>
  <si>
    <t>REH-P1003-K03149-CRJ-RFI-CW-0379-00</t>
  </si>
  <si>
    <t>CCCEGY-RFI-000449</t>
  </si>
  <si>
    <t>REH-P1003-K03149-CRJ-RFI-CW-0379-00, Subject: SP04 – BEAM TYPE DISCREPANCY BETWEEN PART 01 PODIUM GROUND FLOOR &amp; BUILDING (111) GROUND FLOOR</t>
  </si>
  <si>
    <t>HillInt-RFI-000940</t>
  </si>
  <si>
    <t>DAE-RTRFI-000389</t>
  </si>
  <si>
    <t>HillInt-RTRFI-001121</t>
  </si>
  <si>
    <t>REH-P1003-K03149-CRJ-RFI-CW-0380-00</t>
  </si>
  <si>
    <t>REH-P1003-K03149-CRJ-RFI-CW-00381-00</t>
  </si>
  <si>
    <t>CCCEGY-RFI-000492</t>
  </si>
  <si>
    <t>REH-P1003-K03149-CRJ-RFI-CW-00381-00 ,Subject: SP 07 - Part 02 – Confirm for Core wall opening levels</t>
  </si>
  <si>
    <t>HillInt-RFI-001027</t>
  </si>
  <si>
    <t>DAE-RTRFI-000440</t>
  </si>
  <si>
    <t>HillInt-RTRFI-001220</t>
  </si>
  <si>
    <t>REH-P1003-K03149-CRJ-RFI-CW-0382-00</t>
  </si>
  <si>
    <t>CCCEGY-RFI-000436</t>
  </si>
  <si>
    <t>REH-P1003-K03149-CRJ-RFI-CW-0382, Subject: SP05 – B355 – SLAB EDGE +28.15 , CONFLICT BETWEEN ARCH &amp; CIVIL</t>
  </si>
  <si>
    <t>HillInt-GNC-002485</t>
  </si>
  <si>
    <t xml:space="preserve">Rejected </t>
  </si>
  <si>
    <t xml:space="preserve">RFI numbering </t>
  </si>
  <si>
    <t>REH-P1003-K03149-CRJ-RFI-CW-00383-00</t>
  </si>
  <si>
    <t>CCCEGY-RFI-000507</t>
  </si>
  <si>
    <t>REH-P1003-K03149-CRJ-RFI-CW-00383-00 ,Subject: SP07 – Part 02 – Ground Slabs – Inquiries in framing plan</t>
  </si>
  <si>
    <t>HillInt-RFI-001036</t>
  </si>
  <si>
    <t>DAE-RTRFI-000431</t>
  </si>
  <si>
    <t>HillInt-RTRFI-001206</t>
  </si>
  <si>
    <t>REH-P1003-K03149-CRJ-RFI-CW-0384-00</t>
  </si>
  <si>
    <t>CCCEGY-RFI-000450</t>
  </si>
  <si>
    <t>REH-P1003-K03149-CRJ-RFI-CW-0384-00 ,Subject: SP 07 - Part 01 - Core wall opening at ground floor</t>
  </si>
  <si>
    <t>HillInt-RFI-000941</t>
  </si>
  <si>
    <t>DAE-RTRFI-000365</t>
  </si>
  <si>
    <t>HillInt-RTRFI-001039</t>
  </si>
  <si>
    <t>REH-P1003-K03149-CRJ-RFI-CW-00385-00</t>
  </si>
  <si>
    <t>CCCEGY-RFI-000474</t>
  </si>
  <si>
    <t>REH-P1003-K03149-CRJ-RFI-CW-00385-00 ,Subject: SP04 – Part 01 – Ground floor – Cable Trench Path Coordination</t>
  </si>
  <si>
    <t>HillInt-RFI-000999</t>
  </si>
  <si>
    <t>DAE-RTRFI-000392</t>
  </si>
  <si>
    <t>HillInt-RTRFI-001124</t>
  </si>
  <si>
    <t>REH-P1003-K03149-CRJ-RFI-CW-00385-01</t>
  </si>
  <si>
    <t>CCCEGY-RFI-000586</t>
  </si>
  <si>
    <t>SP04 – Part 01 – Ground floor – Cable Trench Path Coordination</t>
  </si>
  <si>
    <t>HillInt-GNC-003278</t>
  </si>
  <si>
    <t>DAE-RTRFI-000472</t>
  </si>
  <si>
    <t>HillInt-GNC-003688</t>
  </si>
  <si>
    <t xml:space="preserve">REH-P1003-K03149-CRJ-RFI-CW-00385-02 </t>
  </si>
  <si>
    <t>CCCEGY-RFI-000691</t>
  </si>
  <si>
    <t>HillInt-GNC-004318</t>
  </si>
  <si>
    <t>REH-P1003-K03149-CRJ-RFI-CW-0386-00</t>
  </si>
  <si>
    <t>CCCEGY-RFI-000451</t>
  </si>
  <si>
    <t>REH-P1003-K03149-CRJ-RFI-CW-0386-00 ,Subject: SP09 – Building 151 – Missing details</t>
  </si>
  <si>
    <t>HillInt-RFI-000943</t>
  </si>
  <si>
    <t>DAE-RTRFI-000406</t>
  </si>
  <si>
    <t>HillInt-RTRFI-001140</t>
  </si>
  <si>
    <t>REH-P1003-K03149-CRJ-RFI-CW-0387-00</t>
  </si>
  <si>
    <t>CCCEGY-RFI-000452</t>
  </si>
  <si>
    <t>REH-P1003-K03149-CRJ-RFI-CW-0387-00 ,Subject: SP09 – Building 251 – Lower ground</t>
  </si>
  <si>
    <t>HillInt-RFI-000944</t>
  </si>
  <si>
    <t>DAE-RTRFI-000407</t>
  </si>
  <si>
    <t>HillInt-RTRFI-001141</t>
  </si>
  <si>
    <t>REH-P1003-K03149-CRJ-RFI-CW-0388-00</t>
  </si>
  <si>
    <t>REH-P1003-K03149-CRJ-RFI-ME-0389-00</t>
  </si>
  <si>
    <t>CCCEGY-RFI-000459</t>
  </si>
  <si>
    <t>REH-P1003-K03149-CRJ-RFI-ME-0389-00 ,Subject: Clarification of Water Tank Access Door Location</t>
  </si>
  <si>
    <t>HillInt-RFI-000945</t>
  </si>
  <si>
    <t>DAE-RTRFI-000382</t>
  </si>
  <si>
    <t>HillInt-RTRFI-001099</t>
  </si>
  <si>
    <t>REH-P1003-K03149-CRJ-RFI-ME-0389-01</t>
  </si>
  <si>
    <t>CCCEGY-RFI-000541</t>
  </si>
  <si>
    <t>Re: REH-P1003-K03149-CRJ-RFI-ME-0389-01 ,Subject: Clarification of Water Tank Access Door Location</t>
  </si>
  <si>
    <t>HillInt-RFI-001125</t>
  </si>
  <si>
    <t>DAE-GNC-000193</t>
  </si>
  <si>
    <t>HillInt-GNC-003309</t>
  </si>
  <si>
    <t>REH-P1003-K03149-CRJ-RFI-CW-00390-00</t>
  </si>
  <si>
    <t>CCCEGY-RFI-000505</t>
  </si>
  <si>
    <t>REH-P1003-K03149-CRJ-RFI-CW-00390-00 ,Subject: SP04 –General – Slab Edge at Stone Cladding</t>
  </si>
  <si>
    <t>HillInt-RFI-001034</t>
  </si>
  <si>
    <t>DAE-RTRFI-000441</t>
  </si>
  <si>
    <t>HillInt-RTRFI-001221</t>
  </si>
  <si>
    <t>REH-P1003-K03149-CRJ-RFI-CW-00391-00</t>
  </si>
  <si>
    <t>CCCEGY-RFI-000506</t>
  </si>
  <si>
    <t>REH-P1003-K03149-CRJ-RFI-CW-00391-00 ,Subject: SP04 – RMU Rooms</t>
  </si>
  <si>
    <t>HillInt-RFI-001035</t>
  </si>
  <si>
    <t>DAE-RTRFI-000437</t>
  </si>
  <si>
    <t>HillInt-RTRFI-001212</t>
  </si>
  <si>
    <t>REH-P1003-K03149-CRJ-RFI-CW-00392-00</t>
  </si>
  <si>
    <t>CCCEGY-RFI-000475</t>
  </si>
  <si>
    <t>REH-P1003-K03149-CRJ-RFI-CW-00392-00 ,Subject: SP09 –Ground – Part 01 – Slab missing data</t>
  </si>
  <si>
    <t>HillInt-RFI-001000</t>
  </si>
  <si>
    <t>DAE-RTRFI-000408</t>
  </si>
  <si>
    <t>HillInt-RTRFI-001142</t>
  </si>
  <si>
    <t>REH-P1003-K03149-CRJ-RFI-CW-0393-00</t>
  </si>
  <si>
    <t>CCCEGY-RFI-000531</t>
  </si>
  <si>
    <t>REH-P1003-K03149-CRJ-RFI-CW-0393-00 - SP04 – Lower Ground – Building 112</t>
  </si>
  <si>
    <t>HillInt-RFI-001090</t>
  </si>
  <si>
    <t>DAE-GNC-000192</t>
  </si>
  <si>
    <t>HillInt-GNC-003310</t>
  </si>
  <si>
    <t>REH-P1003-K03149-CRJ-RFI-CW-00394-00</t>
  </si>
  <si>
    <t>CCCEGY-RFI-000476</t>
  </si>
  <si>
    <t>REH-P1003-K03149-CRJ-RFI-CW-00394-00 ,Subject: General - Missing Stirrups Slab Stepping Reinforcement</t>
  </si>
  <si>
    <t>HillInt-RFI-001001</t>
  </si>
  <si>
    <t>DAE-RTRFI-000423</t>
  </si>
  <si>
    <t>HillInt-RTRFI-001157</t>
  </si>
  <si>
    <t>REH-P1003-K03149-CRJ-RFI-CW-00395-00</t>
  </si>
  <si>
    <t>CCCEGY-RFI-000477</t>
  </si>
  <si>
    <t>REH-P1003-K03149-CRJ-RFI-CW-00395-00 ,Subject: SP04 – Lower Ground – Building 300 – Framing Plan Queries</t>
  </si>
  <si>
    <t>HillInt-RFI-001002</t>
  </si>
  <si>
    <t>DAE-RTRFI-000404</t>
  </si>
  <si>
    <t>HillInt-RTRFI-001138</t>
  </si>
  <si>
    <t>REH-P1003-K03149-CRJ-RFI-CW-00396-00</t>
  </si>
  <si>
    <t>CCCEGY-RFI-000551</t>
  </si>
  <si>
    <t>REH-P1003-K03149-CRJ-RFI-CW-00396-00 ,Subject: SP09 –Ground – Part 01/Part 02 – Slab Reinforcement Discrepancy</t>
  </si>
  <si>
    <t>HillInt-RFI-001159</t>
  </si>
  <si>
    <t>DAE-GNC-000199</t>
  </si>
  <si>
    <t>HillInt-GNC-003312</t>
  </si>
  <si>
    <t>REH-P1003-K03149-CRJ-RFI-CW-00397-00</t>
  </si>
  <si>
    <t>CCCEGY-RFI-000552</t>
  </si>
  <si>
    <t>REH-P1003-K03149-CRJ-RFI-CW-00397-00 ,SP04 – General – Garbage Chute Sizes</t>
  </si>
  <si>
    <t>HillInt-RFI-001160</t>
  </si>
  <si>
    <t>DAE-GNC-000212</t>
  </si>
  <si>
    <t>HillInt-GNC-003690</t>
  </si>
  <si>
    <t>REH-P1003-K03149-CRJ-RFI-CW-00398-00</t>
  </si>
  <si>
    <t>CCCEGY-RFI-000478</t>
  </si>
  <si>
    <t>REH-P1003-K03149-CRJ-RFI-CW-00398-00 ,Subject: SP04 – Lower Ground – Building 212 – Stairs</t>
  </si>
  <si>
    <t>HillInt-RFI-001003</t>
  </si>
  <si>
    <t>DAE-RTRFI-000403</t>
  </si>
  <si>
    <t>HillInt-RTRFI-001137</t>
  </si>
  <si>
    <t>REH-P1003-K03149-CRJ-RFI-CW-00399-00</t>
  </si>
  <si>
    <t>CCCEGY-RFI-000479</t>
  </si>
  <si>
    <t>REH-P1003-K03149-CRJ-RFI-CW-00399-00 ,Subject: SP04 – Lower Ground – Building 100 – Stairs</t>
  </si>
  <si>
    <t>HillInt-RFI-001004</t>
  </si>
  <si>
    <t>DAE-RTRFI-000402</t>
  </si>
  <si>
    <t>HillInt-RTRFI-001136</t>
  </si>
  <si>
    <t>REH-P1003-K03149-CRJ-RFI-CW-00400-00</t>
  </si>
  <si>
    <t>CCCEGY-RFI-000480</t>
  </si>
  <si>
    <t>REH-P1003-K03149-CRJ-RFI-CW-00400-00 ,Subject: SP04 – Lower Ground – Beams Contradictions with Elevator Door Opening at Basement Level</t>
  </si>
  <si>
    <t>HillInt-RFI-001005</t>
  </si>
  <si>
    <t>DAE-RTRFI-000401</t>
  </si>
  <si>
    <t>HillInt-RTRFI-001135</t>
  </si>
  <si>
    <t>REH-P1003-K03149-CRJ-RFI-CW-0401-00</t>
  </si>
  <si>
    <t>CCCEGY-RFI-000532</t>
  </si>
  <si>
    <t>REH-P1003-K03149-CRJ-RFI-CW-0401-00 SP09 – Ground – Missing Additional Reinforcement Information.</t>
  </si>
  <si>
    <t>HillInt-RFI-001091</t>
  </si>
  <si>
    <t>DAE-GNC-000198</t>
  </si>
  <si>
    <t>HillInt-GNC-003313</t>
  </si>
  <si>
    <t>REH-P1003-K03149-CRJ-RFI-CW-00402-00</t>
  </si>
  <si>
    <t>CCCEGY-RFI-000508</t>
  </si>
  <si>
    <t>REH-P1003-K03149-CRJ-RFI-CW-00402-00 ,Subject: SP04 – Arch Openings Clearance</t>
  </si>
  <si>
    <t>HillInt-RFI-001037</t>
  </si>
  <si>
    <t>DAE-RTRFI-000426</t>
  </si>
  <si>
    <t>HillInt-RTRFI-001160</t>
  </si>
  <si>
    <t>REH-P1003-K03149-CRJ-RFI-ME-0403-00</t>
  </si>
  <si>
    <t>CCCEGY-RFI-000509</t>
  </si>
  <si>
    <t>REH-P1003-K03149-CRJ-RFI-CW-00403-00 ,Subject: SP04 – Building 300 - Lower Ground – Discrepancy between Str and Arch in Elevation</t>
  </si>
  <si>
    <t>HillInt-RFI-001038</t>
  </si>
  <si>
    <t>DAE-RTRFI-000438</t>
  </si>
  <si>
    <t>HillInt-RTRFI-001213</t>
  </si>
  <si>
    <t>REH-P1003-K03149-CRJ-RFI-CW-00404-00</t>
  </si>
  <si>
    <t>CCCEGY-RFI-000481</t>
  </si>
  <si>
    <t>REH-P1003-K03149-CRJ-RFI-CW-00404-00 ,Subject: SP04 – Part 02&amp;05-Building 211-Opening Dimension Discrepancy Between STR&amp;ARCH Drawings</t>
  </si>
  <si>
    <t>HillInt-RFI-001006</t>
  </si>
  <si>
    <t>DAE-RTRFI-000396</t>
  </si>
  <si>
    <t>HillInt-RTRFI-001130</t>
  </si>
  <si>
    <t>REH-P1003-K03149-CRJ-RFI-CW-00405-00</t>
  </si>
  <si>
    <t>CCCEGY-RFI-000486</t>
  </si>
  <si>
    <t>REH-P1003-K03149-CRJ-RFI-CW-00405-00 ,Subject: SP09 – PART 03 - Confirmation of Ramp Wall Thickness and Architectural Coordination</t>
  </si>
  <si>
    <t>HillInt-RFI-001007</t>
  </si>
  <si>
    <t>DAE-RTRFI-000409</t>
  </si>
  <si>
    <t>HillInt-RTRFI-001143</t>
  </si>
  <si>
    <t>REH-P1003-K03149-CRJ-RFI-CW-00406-00</t>
  </si>
  <si>
    <t>CCCEGY-RFI-000482</t>
  </si>
  <si>
    <t>REH-P1003-K03149-CRJ-RFI-CW-00406-00 ,Subject: SP09 – Building 351 – Coordination of Architectural and Structural Openings</t>
  </si>
  <si>
    <t>HillInt-RFI-001008</t>
  </si>
  <si>
    <t>DAE-RTRFI-000410</t>
  </si>
  <si>
    <t>HillInt-RTRFI-001144</t>
  </si>
  <si>
    <t>REH-P1003-K03149-CRJ-RFI-CW-00407-00</t>
  </si>
  <si>
    <t>CCCEGY-RFI-000483</t>
  </si>
  <si>
    <t>REH-P1003-K03149-CRJ-RFI-CW-00407-00 ,Subject: SP05 – B1 – SLAB +26.15 , CONFLICT BETWEEN ARCH &amp; CIVIL</t>
  </si>
  <si>
    <t>HillInt-RFI-001009</t>
  </si>
  <si>
    <t>DAE-RTRFI-000398</t>
  </si>
  <si>
    <t>HillInt-RTRFI-001132</t>
  </si>
  <si>
    <t>REH-P1003-K03149-CRJ-RFI-CW-00408-00</t>
  </si>
  <si>
    <t>CCCEGY-RFI-000484</t>
  </si>
  <si>
    <t>REH-P1003-K03149-CRJ-RFI-CW-00408-00 ,Subject: SP05 – P.02 – TANK ATTIC SLAB OPENING DIM</t>
  </si>
  <si>
    <t>HillInt-RFI-001010</t>
  </si>
  <si>
    <t>DAE-RTRFI-000399</t>
  </si>
  <si>
    <t>HillInt-RTRFI-001133</t>
  </si>
  <si>
    <t>REH-P1003-K03149-CRJ-RFI-CW-00408-01</t>
  </si>
  <si>
    <t>CCCEGY-RFI-000577</t>
  </si>
  <si>
    <t>SP05 – P.02 – TANK ATTIC SLAB OPENING DIM</t>
  </si>
  <si>
    <t>HillInt-GNC-003268</t>
  </si>
  <si>
    <t>DAE-RTRFI-000447</t>
  </si>
  <si>
    <t>HillInt-GNC-003592</t>
  </si>
  <si>
    <t>REH-P1003-K03149-CRJ-RFI-CW-00409-00</t>
  </si>
  <si>
    <t>CCCEGY-RFI-000485</t>
  </si>
  <si>
    <t>REH-P1003-K03149-CRJ-RFI-CW-00409-00 ,Subject: SP05-Part 5 Elevated Tank Connectivity with SP05 Raft underneath</t>
  </si>
  <si>
    <t>HillInt-RFI-001011</t>
  </si>
  <si>
    <t>DAE-RTRFI-000400</t>
  </si>
  <si>
    <t>HillInt-RTRFI-001134</t>
  </si>
  <si>
    <t>REH-P1003-K03149-CRJ-RFI-CW-00410-00</t>
  </si>
  <si>
    <t>CCCEGY-RFI-000487</t>
  </si>
  <si>
    <t>REH-P1003-K03149-CRJ-RFI-CW-00410-00 ,Subject: SP05 – P.03 – LG – SLAB OPENING CONFLICT BETWEEN ARCH. &amp; CIVIL</t>
  </si>
  <si>
    <t>HillInt-RFI-001012</t>
  </si>
  <si>
    <t>DAE-RTRFI-000395</t>
  </si>
  <si>
    <t>HillInt-RTRFI-001129</t>
  </si>
  <si>
    <t xml:space="preserve">CCCEGY-RFI-000497 </t>
  </si>
  <si>
    <t>REH-P1003-K03149-CRJ-RFI-CW-00411-00</t>
  </si>
  <si>
    <t>CCCEGY-RFI-000488</t>
  </si>
  <si>
    <t>REH-P1003-K03149-CRJ-RFI-CW-00411-00 ,Subject: SP 10 - Part 01 &amp; 02 – STR / ARC Floor Opening Clash</t>
  </si>
  <si>
    <t>HillInt-RFI-001022</t>
  </si>
  <si>
    <t>DAE-RTRFI-000411</t>
  </si>
  <si>
    <t>HillInt-RTRFI-001145</t>
  </si>
  <si>
    <t>REH-P1003-K03149-CRJ-RFI-ME-00412-00</t>
  </si>
  <si>
    <t>CCCEGY-RFI-000494</t>
  </si>
  <si>
    <t>REH-P1003-K03149-CRJ-RFI-ME-00412-00 ,Subject: Clarification of Automatic Sprinkler System – Super Plots 06 &amp; 10</t>
  </si>
  <si>
    <t>HillInt-RFI-001028</t>
  </si>
  <si>
    <t>DAE-RTRFI-000424</t>
  </si>
  <si>
    <t>HillInt-RTRFI-001158</t>
  </si>
  <si>
    <t>REH-P1003-K03149-CRJ-RFI-CW-00413-00</t>
  </si>
  <si>
    <t>CCCEGY-RFI-000495</t>
  </si>
  <si>
    <t>REH-P1003-K03149-CRJ-RFI-CW-00413-00 ,Subject: SP05- MISSING ACCESS POINT</t>
  </si>
  <si>
    <t>HillInt-RFI-001029</t>
  </si>
  <si>
    <t>DAE-RTRFI-000429</t>
  </si>
  <si>
    <t>HillInt-RTRFI-001197</t>
  </si>
  <si>
    <t>REH-P1003-K03149-CRJ-RFI-CW-00414-00</t>
  </si>
  <si>
    <t>CCCEGY-RFI-000496</t>
  </si>
  <si>
    <t>REH-P1003-K03149-CRJ-RFI-CW-00414-00 ,Subject: SP01- MISSING BEAMS DETAILS</t>
  </si>
  <si>
    <t>HillInt-RFI-001030</t>
  </si>
  <si>
    <t>DAE-RTRFI-000428</t>
  </si>
  <si>
    <t>HillInt-RTRFI-001196</t>
  </si>
  <si>
    <t>REH-P1003-K03149-CRJ-RFI-CW-0415-00</t>
  </si>
  <si>
    <t>CCCEGY-RFI-000514</t>
  </si>
  <si>
    <t>REH-P1003-K03149-CRJ-RFI-CW-0415-00 ,Subject: SP05- Level discrepancy between structural and architectural drawings</t>
  </si>
  <si>
    <t>HillInt-RFI-001044</t>
  </si>
  <si>
    <t>DAE-RTRFI-000387</t>
  </si>
  <si>
    <t>HillInt-GNC-003316</t>
  </si>
  <si>
    <t>REH-P1003-K03149-CRJ-RFI-CW-00416-00</t>
  </si>
  <si>
    <t>CCCEGY-RFI-000510</t>
  </si>
  <si>
    <t>REH-P1003-K03149-CRJ-RFI-CW-00416-00 ,Subject: SP04 – Coordination clashes between ARCH &amp; STR drawings in buildings 101&amp;201</t>
  </si>
  <si>
    <t>HillInt-RFI-001039</t>
  </si>
  <si>
    <t>DAE-RTRFI-000443</t>
  </si>
  <si>
    <t>HillInt-RTRFI-001223</t>
  </si>
  <si>
    <t>REH-P1003-K03149-CRJ-RFI-CW-0417-00</t>
  </si>
  <si>
    <t>CCCEGY-RFI-000513</t>
  </si>
  <si>
    <t>REH-P1003-K03149-CRJ-RFI-CW-0417-00 ,Subject: SP10-PART 05 - Confirmation of Beam Depth Reduction</t>
  </si>
  <si>
    <t>HillInt-RFI-001043</t>
  </si>
  <si>
    <t>DAE-RTRFI-000412</t>
  </si>
  <si>
    <t>HillInt-RTRFI-001146</t>
  </si>
  <si>
    <t>REH-P1003-K03149-CRJ-RFI-CW-0418-00</t>
  </si>
  <si>
    <t>CCCEGY-RFI-000515</t>
  </si>
  <si>
    <t>REH-P1003-K03149-CRJ-RFI-CW-0418-00 ,Subject: SP05 - P.04 - LG - Columns Cut-off at incorrect level (+28.15)</t>
  </si>
  <si>
    <t>HillInt-RFI-001045</t>
  </si>
  <si>
    <t>DAE-RTRFI-000427</t>
  </si>
  <si>
    <t>HillInt-RTRFI-001195</t>
  </si>
  <si>
    <t>REH-P1003-K03149-CRJ-RFI-CW-0419-00</t>
  </si>
  <si>
    <t>CCCEGY-RFI-000542</t>
  </si>
  <si>
    <t>REH-P1003-K03149-CRJ-RFI-CW-0419-00 , Subject: SP10-PART 04 - Confirmation of Beam Depth Reduction.</t>
  </si>
  <si>
    <t>HillInt-RFI-001126</t>
  </si>
  <si>
    <t>DAE-GNC-000202</t>
  </si>
  <si>
    <t>HillInt-GNC-003319</t>
  </si>
  <si>
    <t>REH-P1003-K03149-CRJ-RFI-CW-0420</t>
  </si>
  <si>
    <t>CCCEGY-RFI-000533</t>
  </si>
  <si>
    <t>REH-P1003-K03149-CRJ-RFI-CW-0420 / SP06-Part 05-Missing Lift Pit in Arch and Str IFC Drawing</t>
  </si>
  <si>
    <t>HillInt-RFI-001092</t>
  </si>
  <si>
    <t>DAE-RTRFI-000444</t>
  </si>
  <si>
    <t>HillInt-RTRFI-001230</t>
  </si>
  <si>
    <t>REH-P1003-K03149-CRJ-RFI-CW-00421-00</t>
  </si>
  <si>
    <t>CCCEGY-RFI-000511</t>
  </si>
  <si>
    <t>REH-P1003-K03149-CRJ-RFI-CW-00421-00 ,Subject: SP 04 - Part 07 – Confirmation of Beam Type and Top of Beam Level</t>
  </si>
  <si>
    <t>HillInt-RFI-001040</t>
  </si>
  <si>
    <t>DAE-RTRFI-000435</t>
  </si>
  <si>
    <t>HillInt-RTRFI-001210</t>
  </si>
  <si>
    <t>REH-P1003-K03149-CRJ-RFI-CW-00422-00</t>
  </si>
  <si>
    <t>CCCEGY-RFI-000512</t>
  </si>
  <si>
    <t>REH-P1003-K03149-CRJ-RFI-CW-00422-00 ,Subject: SP05 – P.03 – LG – SLAB OPENING CONFLICT BETWEEN ARCH &amp; CIVIL and TRENCHS issues at Lower Ground</t>
  </si>
  <si>
    <t>HillInt-RFI-001041</t>
  </si>
  <si>
    <t>DAE-RTRFI-000430</t>
  </si>
  <si>
    <t>HillInt-RTRFI-001202</t>
  </si>
  <si>
    <t>REH-P1003-K03149-CRJ-RFI-CW-0423-00</t>
  </si>
  <si>
    <t>CCCEGY-RFI-000534</t>
  </si>
  <si>
    <t>REH-P1003-K03149-CRJ-RFI-CW-0423-00 CONFLICT BETWEEN ARCH &amp; CIVIL – Slab Edge in All Plots .</t>
  </si>
  <si>
    <t>HillInt-RFI-001093</t>
  </si>
  <si>
    <t>DAE-GNC-000208</t>
  </si>
  <si>
    <t>HillInt-GNC-003593</t>
  </si>
  <si>
    <t>REH-P1003-K03149-CRJ-RFI-CW-0424-00</t>
  </si>
  <si>
    <t>REH-P1003-K03149-CRJ-RFI-CW-0424-00 ,Subject: SP10 - Confirmation of Link Beam Stirrup Reinforcement at Basement 01</t>
  </si>
  <si>
    <t>HillInt-RFI-001127</t>
  </si>
  <si>
    <t>DAE-GNC-000203</t>
  </si>
  <si>
    <t>HillInt-GNC-003318</t>
  </si>
  <si>
    <t>REH-P1003-K03149-CRJ-RFI-CW-0425-00</t>
  </si>
  <si>
    <t>CCCEGY-RFI-000544</t>
  </si>
  <si>
    <t>REH-P1003-K03149-CRJ-RFI-CW-0425-00 ,Subject: SP 04 - Building 211 – Confirmation of Expansion Joint</t>
  </si>
  <si>
    <t>HillInt-RFI-001128</t>
  </si>
  <si>
    <t>DAE-GNC-000196</t>
  </si>
  <si>
    <t>HillInt-GNC-003320</t>
  </si>
  <si>
    <t>REH-P1003-K03149-CRJ-RFI-CW-0426-00</t>
  </si>
  <si>
    <t>CCCEGY-RFI-000545</t>
  </si>
  <si>
    <t>REH-P1003-K03149-CRJ-RFI-CW-0426-00 , Subject: SP05 – B1 – SLAB +26.150, MESS MATCHING BETWEEN ARCH &amp; CIVIL</t>
  </si>
  <si>
    <t>HillInt-RFI-001129</t>
  </si>
  <si>
    <t>DAE-GNC-000210</t>
  </si>
  <si>
    <t>HillInt-GNC-003691</t>
  </si>
  <si>
    <t>REH-P1003-K03149-CRJ-RFI-CW-00427-00</t>
  </si>
  <si>
    <t>CCCEGY-RFI-000566</t>
  </si>
  <si>
    <t>SP04 – Lower Ground – Building 200 – Stairs</t>
  </si>
  <si>
    <t>HillInt-GNC-003242</t>
  </si>
  <si>
    <t>DAE-RTRFI-000466</t>
  </si>
  <si>
    <t>HillInt-GNC-003693</t>
  </si>
  <si>
    <t>REH-P1003-K03149-CRJ-RFI-CW-00428-00</t>
  </si>
  <si>
    <t>CCCEGY-RFI-000567</t>
  </si>
  <si>
    <t>Subject: SP04 – Lower Ground – Building 300 – Stairs</t>
  </si>
  <si>
    <t>HillInt-GNC-003243</t>
  </si>
  <si>
    <t>DAE-RTRFI-000467</t>
  </si>
  <si>
    <t>HillInt-GNC-003695</t>
  </si>
  <si>
    <t>REH-P1003-K03149-CRJ-RFI-CW-0429-00</t>
  </si>
  <si>
    <t>CCCEGY-RFI-000578</t>
  </si>
  <si>
    <t>SP09 – Ground – Part 01 – Framing Plan Querie</t>
  </si>
  <si>
    <t>HillInt-GNC-003270</t>
  </si>
  <si>
    <t>DAE-RTRFI-000459</t>
  </si>
  <si>
    <t>HillInt-GNC-003697</t>
  </si>
  <si>
    <t>REH-P1003-K03149-CRJ-RFI-CW-0430-00</t>
  </si>
  <si>
    <t>CCCEGY-RFI-000579</t>
  </si>
  <si>
    <t>SP09 –Ground – Part 01 – Columns Inquires</t>
  </si>
  <si>
    <t>HillInt-GNC-003272</t>
  </si>
  <si>
    <t>DAE-RTRFI-000460</t>
  </si>
  <si>
    <t>HillInt-GNC-003698</t>
  </si>
  <si>
    <t>REH-P1003-K03149-CRJ-RFI-CW-0431-00</t>
  </si>
  <si>
    <t>CCCEGY-RFI-000580</t>
  </si>
  <si>
    <t>SP09 –Ground – Building 150 – Framing Plan Queries</t>
  </si>
  <si>
    <t>HillInt-GNC-003273</t>
  </si>
  <si>
    <t>DAE-RTRFI-000473</t>
  </si>
  <si>
    <t>HillInt-GNC-003699</t>
  </si>
  <si>
    <t>REH-P1003-K03149-CRJ-RFI-CW-0432-00</t>
  </si>
  <si>
    <t>CCCEGY-RFI-000554</t>
  </si>
  <si>
    <t>REH-P1003-K03149-CRJ-RFI-CW-0432-00 , SP04 – CONFLICT IN STARTER LOCATION BET ARCH &amp; STR DRAWINGS.</t>
  </si>
  <si>
    <t>HillInt-RFI-001164</t>
  </si>
  <si>
    <t>DAE-GNC-000195</t>
  </si>
  <si>
    <t>HillInt-GNC-003321</t>
  </si>
  <si>
    <t>REH-P1003-K03149-CRJ-RFI-CW-0433-00</t>
  </si>
  <si>
    <t>CCCEGY-RFI-000555</t>
  </si>
  <si>
    <t>REH-P1003-K03149-CRJ-RFI-CW-0433-00 , SP03 – CONFLICT IN STARTER LOCATION BET ARCH &amp; STR DRAWINGS.</t>
  </si>
  <si>
    <t>HillInt-RFI-001165</t>
  </si>
  <si>
    <t>DAE-GNC-000194</t>
  </si>
  <si>
    <t>HillInt-GNC-003322</t>
  </si>
  <si>
    <t>REH-P1003-K03149-CRJ-RFI-CW-0434-00</t>
  </si>
  <si>
    <t>CCCEGY-RFI-000589</t>
  </si>
  <si>
    <t>SP04 – Building C00 – Stair width</t>
  </si>
  <si>
    <t>HillInt-GNC-003281</t>
  </si>
  <si>
    <t>DAE-RTRFI-000468</t>
  </si>
  <si>
    <t>HillInt-GNC-003701</t>
  </si>
  <si>
    <t>REH-P1003-K03149-CRJ-RFI-CW-0435-00</t>
  </si>
  <si>
    <t>CCCEGY-RFI-000595</t>
  </si>
  <si>
    <t>SP-09 – A50 - Upper Ground – Stair and Landscape Level Differenc</t>
  </si>
  <si>
    <t>HillInt-GNC-003327</t>
  </si>
  <si>
    <t>DAE-RTRFI-000475</t>
  </si>
  <si>
    <t>HillInt-GNC-003704</t>
  </si>
  <si>
    <t>REH-P1003-K03149-CRJ-RFI-CW-0436-00</t>
  </si>
  <si>
    <t>CCCEGY-RFI-000596</t>
  </si>
  <si>
    <t>General – Undefined Area Between Building Slab and Plot Slab</t>
  </si>
  <si>
    <t>HillInt-GNC-003328</t>
  </si>
  <si>
    <t>DAE-RTRFI-000451</t>
  </si>
  <si>
    <t>HillInt-GNC-003458</t>
  </si>
  <si>
    <t>REH-P1003-K03149-CRJ-RFI-CW-0437-00</t>
  </si>
  <si>
    <t>CCCEGY-RFI-000556</t>
  </si>
  <si>
    <t>REH-P1003-K03149-CRJ-RFI-CW-0437-00 , SP05- Slab Edge Conflict</t>
  </si>
  <si>
    <t>HillInt-RFI-001167</t>
  </si>
  <si>
    <t>DAE-GNC-000213</t>
  </si>
  <si>
    <t>HillInt-GNC-003705</t>
  </si>
  <si>
    <t>REH-P1003-K03149-CRJ-RFI-CW-0438-00</t>
  </si>
  <si>
    <t>CCCEGY-RFI-000557</t>
  </si>
  <si>
    <t>REH-P1003-K03149-CRJ-RFI-CW-0438-00 , Confirmation of Top of Beam Level at Ground Floor – Stair 01-(A15)</t>
  </si>
  <si>
    <t>HillInt-RFI-001168</t>
  </si>
  <si>
    <t>DAE-GNC-000200</t>
  </si>
  <si>
    <t>HillInt-GNC-003324</t>
  </si>
  <si>
    <t>REH-P1003-K03149-CRJ-RFI-CW-0439</t>
  </si>
  <si>
    <t>CCCEGY-RFI-000558</t>
  </si>
  <si>
    <t>REH-P1003-K03149-CRJ-RFI-CW-0439 , SP03 – SP10 - Lower Ground - Framing Plan - Part 05 – Beam Confirmation.</t>
  </si>
  <si>
    <t>HillInt-RFI-001169</t>
  </si>
  <si>
    <t>DAE-GNC-000201</t>
  </si>
  <si>
    <t>HillInt-GNC-003326</t>
  </si>
  <si>
    <t>REH-P1003-K03149-CRJ-RFI-CW-0440-00</t>
  </si>
  <si>
    <t>CCCEGY-RFI-000559</t>
  </si>
  <si>
    <t>REH-P1003-K03149-CRJ-RFI-CW-0440-00 , SP05-Part 06- Beam Top Level .</t>
  </si>
  <si>
    <t>HillInt-RFI-001170</t>
  </si>
  <si>
    <t>DAE-GNC-000205</t>
  </si>
  <si>
    <t>HillInt-GNC-003459</t>
  </si>
  <si>
    <t>REH-P1003-K03149-CRJ-RFI-CW-0441-00</t>
  </si>
  <si>
    <t>CCCEGY-RFI-000560</t>
  </si>
  <si>
    <t>REH-P1003-K03149-CRJ-RFI-CW-0441-00 , SP 06 – Part 01 &amp; Building 153 – Confirmation of Ground Slab Level.</t>
  </si>
  <si>
    <t>HillInt-RFI-001171</t>
  </si>
  <si>
    <t>DAE-GNC-000211</t>
  </si>
  <si>
    <t>HillInt-GNC-003708</t>
  </si>
  <si>
    <t>REH-P1003-K03149-CRJ-RFI-CW-00442-00</t>
  </si>
  <si>
    <t>CCCEGY-RFI-000568</t>
  </si>
  <si>
    <t>SP 08 – Part 06 – Confirmation of Ground Slab Thickness</t>
  </si>
  <si>
    <t>HillInt-GNC-003246</t>
  </si>
  <si>
    <t>DAE-RTRFI-000449</t>
  </si>
  <si>
    <t>HillInt-GNC-003462</t>
  </si>
  <si>
    <t>REH-P1003-K03149-CRJ-RFI-CW-00443-00</t>
  </si>
  <si>
    <t>CCCEGY-RFI-000569</t>
  </si>
  <si>
    <t>SP10-PART 02 – Basement01 - Confirmation of Beam Depth Reduction</t>
  </si>
  <si>
    <t>HillInt-GNC-003257</t>
  </si>
  <si>
    <t>DAE-RTRFI-000463</t>
  </si>
  <si>
    <t>HillInt-GNC-003710</t>
  </si>
  <si>
    <t>REH-P1003-K03149-CRJ-RFI-CW-00444-00</t>
  </si>
  <si>
    <t>CCCEGY-RFI-000570</t>
  </si>
  <si>
    <t>Coordination between opening in arch &amp; str drawings</t>
  </si>
  <si>
    <t>HillInt-GNC-003258</t>
  </si>
  <si>
    <t>DAE-RTRFI-000476</t>
  </si>
  <si>
    <t>HillInt-GNC-004006</t>
  </si>
  <si>
    <t>REH-P1003-K03149-CRJ-RFI-CW-00445-00</t>
  </si>
  <si>
    <t>CCCEGY-RFI-000572</t>
  </si>
  <si>
    <t>SP09 – Part 5 &amp; 6</t>
  </si>
  <si>
    <t>HillInt-GNC-003260</t>
  </si>
  <si>
    <t>DAE-RTRFI-000457</t>
  </si>
  <si>
    <t>HillInt-GNC-003711</t>
  </si>
  <si>
    <t>REH-P1003-K03149-CRJ-RFI-CW-00446-00</t>
  </si>
  <si>
    <t>CCCEGY-RFI-000573</t>
  </si>
  <si>
    <t>SP 09 – Part 01 – Discrepancy between Beam Depth and Drop Panel Soffit Level</t>
  </si>
  <si>
    <t>HillInt-GNC-003261</t>
  </si>
  <si>
    <t>DAE-RTRFI-000458</t>
  </si>
  <si>
    <t>HillInt-GNC-003712</t>
  </si>
  <si>
    <t>REH-P1003-K03149-CRJ-RFI-CW-00447-00</t>
  </si>
  <si>
    <t>CCCEGY-RFI-000574</t>
  </si>
  <si>
    <t>SP05 – Ground - Building 355-Discrepancies between Structure and Mech Opening drawings</t>
  </si>
  <si>
    <t>HillInt-GNC-003265</t>
  </si>
  <si>
    <t>DAE-RTRFI-000445</t>
  </si>
  <si>
    <t>HillInt-GNC-003463</t>
  </si>
  <si>
    <t>REH-P1003-K03149-CRJ-RFI-CW-00448-00</t>
  </si>
  <si>
    <t>CCCEGY-RFI-000576</t>
  </si>
  <si>
    <t>HillInt-GNC-003259</t>
  </si>
  <si>
    <t>DAE-RTRFI-000446</t>
  </si>
  <si>
    <t>HillInt-GNC-003464</t>
  </si>
  <si>
    <t>REH-P1003-K03149-CRJ-RFI-CW-00449-00</t>
  </si>
  <si>
    <t>CCCEGY-RFI-000575</t>
  </si>
  <si>
    <t>Beam conflict on SP10-PART 04</t>
  </si>
  <si>
    <t>HillInt-GNC-003266</t>
  </si>
  <si>
    <t>DAE-RTRFI-000471</t>
  </si>
  <si>
    <t>HillInt-GNC-003714</t>
  </si>
  <si>
    <t>9/15/2026.</t>
  </si>
  <si>
    <t>REH-P1003-K03149-CRJ-RFI-CW-0450-00</t>
  </si>
  <si>
    <t>CCCEGY-RFI-000581</t>
  </si>
  <si>
    <t>Clarification Required – Stair 01 Riser Height-(A16)</t>
  </si>
  <si>
    <t>HillInt-GNC-003276</t>
  </si>
  <si>
    <t>DAE-RTRFI-000453</t>
  </si>
  <si>
    <t>HillInt-GNC-003715</t>
  </si>
  <si>
    <t>REH-P1003-K03149-CRJ-RFI-CW-0451-00</t>
  </si>
  <si>
    <t>CCCEGY-RFI-000585</t>
  </si>
  <si>
    <t>SP 09 – Building 151 – Confirmation of Column Extension to Slab Building</t>
  </si>
  <si>
    <t>HillInt-GNC-003277</t>
  </si>
  <si>
    <t>DAE-RTRFI-000461</t>
  </si>
  <si>
    <t>HillInt-GNC-003716</t>
  </si>
  <si>
    <t>REH-P1003-K03149-CRJ-RFI-CW-0452-00</t>
  </si>
  <si>
    <t>CCCEGY-RFI-000587</t>
  </si>
  <si>
    <t>SP02 – Part 07 - Ground – Column Termination Level Clarification</t>
  </si>
  <si>
    <t>HillInt-GNC-003279</t>
  </si>
  <si>
    <t>DAE-RTRFI-000465</t>
  </si>
  <si>
    <t>HillInt-GNC-003717</t>
  </si>
  <si>
    <t>REH-P1003-K03149-CRJ-RFI-CW-0453-00</t>
  </si>
  <si>
    <t>CCCEGY-RFI-000590</t>
  </si>
  <si>
    <t>SP04 – Lower Ground – Building 112 – Columns Termination Level</t>
  </si>
  <si>
    <t>HillInt-GNC-003282</t>
  </si>
  <si>
    <t>DAE-RTRFI-000469</t>
  </si>
  <si>
    <t>HillInt-GNC-003719</t>
  </si>
  <si>
    <t>REH-P1003-K03149-CRJ-RFI-CW-0453-01</t>
  </si>
  <si>
    <t>CCCEGY-RFI-000637</t>
  </si>
  <si>
    <t>HillInt-GNC-003844</t>
  </si>
  <si>
    <t>REH-P1003-K03149-CRJ-RFI-CW-0454-00</t>
  </si>
  <si>
    <t>CCCEGY-RFI-000588</t>
  </si>
  <si>
    <t>SP04 – PART 10 – BUILDING 301 - Architectural &amp; Structural Coordination Discrepancies</t>
  </si>
  <si>
    <t>HillInt-GNC-003280</t>
  </si>
  <si>
    <t>REH-P1003-K03149-CRJ-RFI-CW-0455-00</t>
  </si>
  <si>
    <t>CCCEGY-RFI-000591</t>
  </si>
  <si>
    <t>SP09 – Part 04 – Access Hatch for Attic Slab</t>
  </si>
  <si>
    <t>HillInt-GNC-003283</t>
  </si>
  <si>
    <t>DAE-RTRFI-000462</t>
  </si>
  <si>
    <t>HillInt-GNC-003722</t>
  </si>
  <si>
    <t>REH-P1003-K03149-CRJ-RFI-CW-0456-00</t>
  </si>
  <si>
    <t>CCCEGY-RFI-000592</t>
  </si>
  <si>
    <t>Insulation below Tanks Floor</t>
  </si>
  <si>
    <t>HillInt-GNC-003284</t>
  </si>
  <si>
    <t>DAE-RTRFI-000474</t>
  </si>
  <si>
    <t>HillInt-GNC-003723</t>
  </si>
  <si>
    <t>REH-P1003-K03149-CRJ-RFI-CW-0457-00</t>
  </si>
  <si>
    <t>CCCEGY-RFI-000593</t>
  </si>
  <si>
    <t>SP05-Part 01 – Basement 01 To Ground Floor - Discrepancies Between Drawings and Column Schedule</t>
  </si>
  <si>
    <t>HillInt-GNC-003285</t>
  </si>
  <si>
    <t>DAE-RTRFI-000448</t>
  </si>
  <si>
    <t>HillInt-GNC-003465</t>
  </si>
  <si>
    <t>REH-P1003-K03149-CRJ-RFI-CW-0458-00</t>
  </si>
  <si>
    <t>CCCEGY-RFI-000597</t>
  </si>
  <si>
    <t>SP09 – Part 06 – Retaining Wall top level</t>
  </si>
  <si>
    <t>HillInt-GNC-003329</t>
  </si>
  <si>
    <t>DAE-RTRFI-000450</t>
  </si>
  <si>
    <t>HillInt-GNC-003466</t>
  </si>
  <si>
    <t>REH-P1003-K03149-CRJ-RFI-CW-0459-00</t>
  </si>
  <si>
    <t>CCCEGY-RFI-000598</t>
  </si>
  <si>
    <t>SP05 – Part 06 – Building 254 – Lower Ground – Conflict between attic slab at IFC and 3D model</t>
  </si>
  <si>
    <t>HillInt-GNC-003330</t>
  </si>
  <si>
    <t>DAE-RTRFI-000456</t>
  </si>
  <si>
    <t>HillInt-GNC-003725</t>
  </si>
  <si>
    <t>REH-P1003-K03149-CRJ-RFI-CW-0460-00</t>
  </si>
  <si>
    <t>CCCEGY-RFI-000599</t>
  </si>
  <si>
    <t>SP0 5– Part 06 – Building 254 – Lower Ground - Beam Side Bars Confirmation</t>
  </si>
  <si>
    <t>HillInt-GNC-003331</t>
  </si>
  <si>
    <t>DAE-RTRFI-000455</t>
  </si>
  <si>
    <t>HillInt-GNC-003727</t>
  </si>
  <si>
    <t>REH-P1003-K03149-CRJ-RFI-CW-0461-00</t>
  </si>
  <si>
    <t>CCCEGY-RFI-000600</t>
  </si>
  <si>
    <t>SP05- Building 255 – Lower Ground &amp; Building 355 - Ground – Beam level confirmation-Missing beam code</t>
  </si>
  <si>
    <t>HillInt-GNC-003332</t>
  </si>
  <si>
    <t>DAE-RTRFI-000454</t>
  </si>
  <si>
    <t>HillInt-GNC-003728</t>
  </si>
  <si>
    <t>REH-P1003-K03149-CRJ-RFI-CW-0462-00</t>
  </si>
  <si>
    <t>CCCEGY-RFI-000601</t>
  </si>
  <si>
    <t>SP04 – Columns deduction reinforcement detail</t>
  </si>
  <si>
    <t>HillInt-GNC-003333</t>
  </si>
  <si>
    <t>DAE-RTRFI-000470</t>
  </si>
  <si>
    <t>HillInt-GNC-003729</t>
  </si>
  <si>
    <t>REH-P1003-K03149-CRJ-RFI-CW-0463-00</t>
  </si>
  <si>
    <t>CCCEGY-RFI-000604</t>
  </si>
  <si>
    <t>SP 07 - Part 01 – Confirm for Core wall opening levels</t>
  </si>
  <si>
    <t>HillInt-GNC-003407</t>
  </si>
  <si>
    <t>DAE-RTRFI-000490</t>
  </si>
  <si>
    <t>HillInt-GNC-004044</t>
  </si>
  <si>
    <t>REH-P1003-K03149-CRJ-RFI-CW-0464-00</t>
  </si>
  <si>
    <t>CCCEGY-RFI-000605</t>
  </si>
  <si>
    <t>SP07 – Part 01 – BASMENT SLAB – Inquiries in framing plan</t>
  </si>
  <si>
    <t>HillInt-GNC-003408</t>
  </si>
  <si>
    <t>DAE-RTRFI-000489</t>
  </si>
  <si>
    <t>HillInt-GNC-004046</t>
  </si>
  <si>
    <t>REH-P1003-K03149-CRJ-RFI-CW-0465-00</t>
  </si>
  <si>
    <t>CCCEGY-RFI-000606</t>
  </si>
  <si>
    <t>SP04 -PART 07- Clarification Required for Vertically Stacked Beams and Beam Bottom Levels</t>
  </si>
  <si>
    <t>HillInt-GNC-003409</t>
  </si>
  <si>
    <t>DAE-RTRFI-000477</t>
  </si>
  <si>
    <t>HillInt-GNC-004005</t>
  </si>
  <si>
    <t>REH-P1003-K03149-CRJ-RFI-CW-0466-00</t>
  </si>
  <si>
    <t>CCCEGY-RFI-000607</t>
  </si>
  <si>
    <t>All PLOTS – GROUND FLOOR - CONFLICT BETWEEN IFC LANDSCAPE &amp; MODELS – (PLANTERS)</t>
  </si>
  <si>
    <t>HillInt-GNC-003450</t>
  </si>
  <si>
    <t>REH-P1003-K03149-CRJ-RFI-CW-0467-00</t>
  </si>
  <si>
    <t>CCCEGY-RFI-000608</t>
  </si>
  <si>
    <t>SP 07 - Part 01 – Confirm for Core wall opening levels FOR DOORS</t>
  </si>
  <si>
    <t>HillInt-GNC-003451</t>
  </si>
  <si>
    <t>DAE-RTRFI-000478</t>
  </si>
  <si>
    <t>HillInt-GNC-004007</t>
  </si>
  <si>
    <t>REH-P1003-K03149-CRJ-RFI-CW-0468-00</t>
  </si>
  <si>
    <t>CCCEGY-RFI-000609</t>
  </si>
  <si>
    <t>SP08 – PART03-B02 RAFT-MISSING DATA FOR ADD TOP RFT</t>
  </si>
  <si>
    <t>HillInt-GNC-003452</t>
  </si>
  <si>
    <t>DAE-RTRFI-000479</t>
  </si>
  <si>
    <t>HillInt-GNC-004047</t>
  </si>
  <si>
    <t>REH-P1003-K03149-CRJ-RFI-CW-0469-00</t>
  </si>
  <si>
    <t>CCCEGY-RFI-000610</t>
  </si>
  <si>
    <t>SP10- Building 216 – Framing Plan - Confirmation of Beam Depth Reduction</t>
  </si>
  <si>
    <t>HillInt-GNC-003453</t>
  </si>
  <si>
    <t>DAE-RTRFI-000464</t>
  </si>
  <si>
    <t>HillInt-GNC-003731</t>
  </si>
  <si>
    <t>REH-P1003-K03149-CRJ-RFI-CW-0470-00</t>
  </si>
  <si>
    <t>CCCEGY-RFI-000611</t>
  </si>
  <si>
    <t>Subject: SP09 – Part 5 &amp; 6 - missing reinforcement data</t>
  </si>
  <si>
    <t>HillInt-GNC-003547</t>
  </si>
  <si>
    <t>DAE-RTRFI-000487</t>
  </si>
  <si>
    <t>HillInt-GNC-004048</t>
  </si>
  <si>
    <t>REH-P1003-K03149-CRJ-RFI-CW-0471-00</t>
  </si>
  <si>
    <t>CCCEGY-RFI-000617</t>
  </si>
  <si>
    <t xml:space="preserve"> SP09 – Building 150 – Ground Floor – Slab Reinforcement Queries</t>
  </si>
  <si>
    <t>HillInt-GNC-003548</t>
  </si>
  <si>
    <t>DAE-RTRFI-000488</t>
  </si>
  <si>
    <t>HillInt-GNC-004049</t>
  </si>
  <si>
    <t>REH-P1003-K03149-CRJ-RFI-CW-0472-00</t>
  </si>
  <si>
    <t>CCCEGY-RFI-000612</t>
  </si>
  <si>
    <t>: SP 08-Part01-Basement 01 slab-Concrete. Dim-Discrepancy in Openings between Arch &amp; Structure drawings</t>
  </si>
  <si>
    <t>HillInt-GNC-003549</t>
  </si>
  <si>
    <t>DAE-RTRFI-000485</t>
  </si>
  <si>
    <t>HillInt-GNC-004051</t>
  </si>
  <si>
    <t>REH-P1003-K03149-CRJ-RFI-CW-0473-00</t>
  </si>
  <si>
    <t>CCCEGY-RFI-000615</t>
  </si>
  <si>
    <t>SP 08 – Part 05 – Confirmation of Columns Cutting Level and Wall Existence</t>
  </si>
  <si>
    <t>HillInt-GNC-003553</t>
  </si>
  <si>
    <t>DAE-RTRFI-000486</t>
  </si>
  <si>
    <t>HillInt-GNC-004054</t>
  </si>
  <si>
    <t>REH-P1003-K03149-CRJ-RFI-CW-0474-00</t>
  </si>
  <si>
    <t>CCCEGY-RFI-000616</t>
  </si>
  <si>
    <t xml:space="preserve"> SP 01 – GROUND FLOOR - PART 04 - CONFLICT ATTIC SLAB WALLS SUPPORTER.</t>
  </si>
  <si>
    <t>HillInt-GNC-003551</t>
  </si>
  <si>
    <t>REH-P1003-K03149-CRJ-RFI-CW-0475-00</t>
  </si>
  <si>
    <t>CCCEGY-RFI-000624</t>
  </si>
  <si>
    <t>SP04 - SUPER STRUCTURE - GROUND - BUILDING 112 - COLUMNS</t>
  </si>
  <si>
    <t>HillInt-GNC-003732</t>
  </si>
  <si>
    <t>DAE-RTRFI-000491</t>
  </si>
  <si>
    <t>HillInt-GNC-004334</t>
  </si>
  <si>
    <t>REH-P1003-K03149-CRJ-RFI-CW-0476-00</t>
  </si>
  <si>
    <t>CCCEGY-RFI-000625</t>
  </si>
  <si>
    <t>A discrepancy between Structural &amp; Arch drawing – SP 05 – Building 355 – Ground floor</t>
  </si>
  <si>
    <t>HillInt-GNC-003733</t>
  </si>
  <si>
    <t>DAE-RTRFI-000480</t>
  </si>
  <si>
    <t>HillInt-GNC-004055</t>
  </si>
  <si>
    <t>REH-P1003-K03149-CRJ-RFI-CW-0477-00</t>
  </si>
  <si>
    <t>CCCEGY-RFI-000626</t>
  </si>
  <si>
    <t>SP04 – PART 10 – MISSING COLUMN TYPES</t>
  </si>
  <si>
    <t>HillInt-GNC-003734</t>
  </si>
  <si>
    <t>DAE-RTRFI-000492</t>
  </si>
  <si>
    <t>HillInt-GNC-004337</t>
  </si>
  <si>
    <t>REH-P1003-K03149-CRJ-RFI-CW-0478-00</t>
  </si>
  <si>
    <t>CCCEGY-RFI-000627</t>
  </si>
  <si>
    <t>SP05-Building 254-Lower Ground- Beam Side Bar Confirmation</t>
  </si>
  <si>
    <t>HillInt-GNC-003735</t>
  </si>
  <si>
    <t>DAE-RTRFI-000481</t>
  </si>
  <si>
    <t>HillInt-GNC-004056</t>
  </si>
  <si>
    <t>REH-P1003-K03149-CRJ-RFI-CW-0479-00</t>
  </si>
  <si>
    <t>CCCEGY-RFI-000628</t>
  </si>
  <si>
    <t>SP05 – Building 255 – Lower Ground – Discrepancy in Beam Between 3D Model and IFC Drawing</t>
  </si>
  <si>
    <t>HillInt-GNC-003736</t>
  </si>
  <si>
    <t>DAE-RTRFI-000482</t>
  </si>
  <si>
    <t>HillInt-GNC-004057</t>
  </si>
  <si>
    <t>REH-P1003-K03149-CRJ-RFI-CW-0480-00</t>
  </si>
  <si>
    <t>CCCEGY-RFI-000629</t>
  </si>
  <si>
    <t>SP05-Building 255 – Lower Ground - Beam level confirmation-SP05-Building 355 – Ground Missing type</t>
  </si>
  <si>
    <t>HillInt-GNC-003738</t>
  </si>
  <si>
    <t>DAE-RTRFI-000483</t>
  </si>
  <si>
    <t>HillInt-GNC-004061</t>
  </si>
  <si>
    <t>REH-P1003-K03149-CRJ-RFI-CW-0481-00</t>
  </si>
  <si>
    <t>CCCEGY-RFI-000630</t>
  </si>
  <si>
    <t>A discrepancy between Column dimension at plan and columns schedule – SP 05 – Par 04 – Basement 01</t>
  </si>
  <si>
    <t>HillInt-GNC-003739</t>
  </si>
  <si>
    <t>DAE-RTRFI-000484</t>
  </si>
  <si>
    <t>HillInt-GNC-004063</t>
  </si>
  <si>
    <t>REH-P1003-K03149-CRJ-RFI-CW-0482-00</t>
  </si>
  <si>
    <t>CCCEGY-RFI-000631</t>
  </si>
  <si>
    <t>SP-09 - Conflict between Attic Slab Access hatch and MECH HVAC</t>
  </si>
  <si>
    <t>HillInt-GNC-003740</t>
  </si>
  <si>
    <t>REH-P1003-K03149-CRJ-RFI-CW-0483-00</t>
  </si>
  <si>
    <t>CCCEGY-RFI-000632</t>
  </si>
  <si>
    <t>SP04 -Part 10-Building 301- Missing RFT DWG file</t>
  </si>
  <si>
    <t>HillInt-GNC-003741</t>
  </si>
  <si>
    <t>DAE-RTRFI-000493</t>
  </si>
  <si>
    <t>HillInt-GNC-004338</t>
  </si>
  <si>
    <t>REH-P1003-K03149-CRJ-RFI-CW-0484-00</t>
  </si>
  <si>
    <t>CCCEGY-RFI-000633</t>
  </si>
  <si>
    <t>SP09 – Building 150 – Discrepancies between ARCH &amp;STR Stair drawings</t>
  </si>
  <si>
    <t>HillInt-GNC-003840</t>
  </si>
  <si>
    <t>REH-P1003-K03149-CRJ-RFI-CW-0485-00</t>
  </si>
  <si>
    <t>CCCEGY-RFI-000636</t>
  </si>
  <si>
    <t>SP04 – P10- AXES DISCREPANCY</t>
  </si>
  <si>
    <t>HillInt-GNC-003841</t>
  </si>
  <si>
    <t>REH-P1003-K03149-CRJ-RFI-CW-0486-00</t>
  </si>
  <si>
    <t>CCCEGY-RFI-000634</t>
  </si>
  <si>
    <t>Confirmation of Area Steel Replacement</t>
  </si>
  <si>
    <t>HillInt-GNC-003842</t>
  </si>
  <si>
    <t>REH-P1003-K03149-CRJ-RFI-CW-0487-00</t>
  </si>
  <si>
    <t>CCCEGY-RFI-000635</t>
  </si>
  <si>
    <t>SP 04 – Part 03 – Planters</t>
  </si>
  <si>
    <t>HillInt-GNC-003843</t>
  </si>
  <si>
    <t>REH-P1003-K03149-CRJ-RFI-CW-0488-00</t>
  </si>
  <si>
    <t>CCCEGY-RFI-000642</t>
  </si>
  <si>
    <t>SP04- Building 112 – Ground- Shafts Discrepancies</t>
  </si>
  <si>
    <t>HillInt-GNC-003907</t>
  </si>
  <si>
    <t>REH-P1003-K03149-CRJ-RFI-CW-0489-00</t>
  </si>
  <si>
    <t>CCCEGY-RFI-000643</t>
  </si>
  <si>
    <t>SP04- Building 112 – Ground- Sunken Boundary Discrepancies</t>
  </si>
  <si>
    <t>HillInt-GNC-003913</t>
  </si>
  <si>
    <t>REH-P1003-K03149-CRJ-RFI-CW-0490-00</t>
  </si>
  <si>
    <t>CCCEGY-RFI-000644</t>
  </si>
  <si>
    <t>SP04- Building A12 – Ground- Beams clash with opening clearance</t>
  </si>
  <si>
    <t>HillInt-GNC-003914</t>
  </si>
  <si>
    <t>REH-P1003-K03149-CRJ-RFI-CW-0491-00</t>
  </si>
  <si>
    <t>CCCEGY-RFI-000645</t>
  </si>
  <si>
    <t>SP04- Building A12 – Ground- Arched Opening, Lintel and Cladding Coordination</t>
  </si>
  <si>
    <t>HillInt-GNC-003916</t>
  </si>
  <si>
    <t>REH-P1003-K03149-CRJ-RFI-CW-0492-00</t>
  </si>
  <si>
    <t>CCCEGY-RFI-000646</t>
  </si>
  <si>
    <t>SP04- Building A12 – Ground- Unsupported finishes</t>
  </si>
  <si>
    <t>HillInt-GNC-003918</t>
  </si>
  <si>
    <t>REH-P1003-K03149-CRJ-RFI-CW-0493-00</t>
  </si>
  <si>
    <t>CCCEGY-RFI-000647</t>
  </si>
  <si>
    <t>SP04- Building A12 – Ground- Slab Edge Recess Relation with Handrail</t>
  </si>
  <si>
    <t>HillInt-GNC-003920</t>
  </si>
  <si>
    <t>REH-P1003-K03149-CRJ-RFI-CW-0494-00</t>
  </si>
  <si>
    <t>CCCEGY-RFI-000648</t>
  </si>
  <si>
    <t>SP04- General – Elevator Openings in Shear Wall</t>
  </si>
  <si>
    <t>HillInt-GNC-003921</t>
  </si>
  <si>
    <t>REH-P1003-K03149-CRJ-RFI-CW-0495-00</t>
  </si>
  <si>
    <t>CCCEGY-RFI-000649</t>
  </si>
  <si>
    <t>Plumbing works for SP04-(A00)</t>
  </si>
  <si>
    <t>HillInt-GNC-003922</t>
  </si>
  <si>
    <t>REH-P1003-K03149-CRJ-RFI-CW-0496-00</t>
  </si>
  <si>
    <t>CCCEGY-RFI-000650</t>
  </si>
  <si>
    <t>SP09 – Ground – Building 150 – Trench Location and Details Discrepancy</t>
  </si>
  <si>
    <t>HillInt-GNC-003923</t>
  </si>
  <si>
    <t>REH-P1003-K03149-CRJ-RFI-CW-0497-00</t>
  </si>
  <si>
    <t>CCCEGY-RFI-000651</t>
  </si>
  <si>
    <t>SP10-PART 03 - Confirmation of Retaining Wall Top Level</t>
  </si>
  <si>
    <t>HillInt-GNC-003925</t>
  </si>
  <si>
    <t>REH-P1003-K03149-CRJ-RFI-CW-0498-00</t>
  </si>
  <si>
    <t>CCCEGY-RFI-000666</t>
  </si>
  <si>
    <t>SP09 – Ground – Building 150 – Shafts clash with Structural Elements</t>
  </si>
  <si>
    <t>HillInt-GNC-004037</t>
  </si>
  <si>
    <t>REH-P1003-K03149-CRJ-RFI-CW-0499-00</t>
  </si>
  <si>
    <t>CCCEGY-RFI-000665</t>
  </si>
  <si>
    <t>SP04 – PART 01 – BUILDING 111 - Coordination Issues Between Architectural, Builder’s Work &amp; Structural Drawings</t>
  </si>
  <si>
    <t>HillInt-GNC-004038</t>
  </si>
  <si>
    <t>REH-P1003-K03149-CRJ-RFI-CW-0500-00</t>
  </si>
  <si>
    <t>CCCEGY-RFI-000668</t>
  </si>
  <si>
    <t>SP04 – Lower Ground – Building 112 – Contradiction between Building and Podium</t>
  </si>
  <si>
    <t>HillInt-GNC-004041</t>
  </si>
  <si>
    <t>DAE-RTRFI-000494</t>
  </si>
  <si>
    <t>HillInt-GNC-004332</t>
  </si>
  <si>
    <t>REH-P1003-K03149-CRJ-RFI-CW-0501-00</t>
  </si>
  <si>
    <t>REH-P1003-K03149-CRJ-RFI-CW-0502-00</t>
  </si>
  <si>
    <t>CCCEGY-RFI-000678</t>
  </si>
  <si>
    <t>Confirmation of Construction Joint in Slabs</t>
  </si>
  <si>
    <t>HillInt-GNC-004129</t>
  </si>
  <si>
    <t>REH-P1003-K03149-CRJ-RFI-CW-0503-00</t>
  </si>
  <si>
    <t>CCCEGY-RFI-000679</t>
  </si>
  <si>
    <t>SP07 CONFLICT BETWEEN LEVELS AND THE OPNENING BETWEEN ARCH IFC AND STR IFC</t>
  </si>
  <si>
    <t>HillInt-GNC-004131</t>
  </si>
  <si>
    <t>REH-P1003-K03149-CRJ-RFI-CW-0504-00</t>
  </si>
  <si>
    <t>CCCEGY-RFI-000680</t>
  </si>
  <si>
    <t>SP09 – Part 3 -Lower Ground -missing Rft Details</t>
  </si>
  <si>
    <t>HillInt-GNC-004132</t>
  </si>
  <si>
    <t>REH-P1003-K03149-CRJ-RFI-CW-0505-00</t>
  </si>
  <si>
    <t>CCCEGY-RFI-000681</t>
  </si>
  <si>
    <t>SP10- Building 116 – Framing Plan - Confirmation of Beam Existing and Depth Reduction</t>
  </si>
  <si>
    <t>HillInt-GNC-004134</t>
  </si>
  <si>
    <t>REH-P1003-K03149-CRJ-RFI-CW-0506-00</t>
  </si>
  <si>
    <t>CCCEGY-RFI-000682</t>
  </si>
  <si>
    <t>SP10- Building 315 – Ground Framing Plan -Wall top level</t>
  </si>
  <si>
    <t>HillInt-GNC-004135</t>
  </si>
  <si>
    <t>DAE-RTRFI-000497</t>
  </si>
  <si>
    <t>HillInt-GNC-004441</t>
  </si>
  <si>
    <t>DAE-RTRFI-000501</t>
  </si>
  <si>
    <t>HillInt-GNC-004442</t>
  </si>
  <si>
    <t>DAE-RTRFI-000495</t>
  </si>
  <si>
    <t>HillInt-GNC-004454</t>
  </si>
  <si>
    <t>DAE-RTRFI-000505</t>
  </si>
  <si>
    <t>HillInt-GNC-004455</t>
  </si>
  <si>
    <t>DAE-RTRFI-000504</t>
  </si>
  <si>
    <t>HillInt-GNC-004456</t>
  </si>
  <si>
    <t>DAE-RTRFI-000503</t>
  </si>
  <si>
    <t>HillInt-GNC-004457</t>
  </si>
  <si>
    <t>DAE-RTRFI-000502</t>
  </si>
  <si>
    <t>HillInt-GNC-004458</t>
  </si>
  <si>
    <t>DAE-RTRFI-000500</t>
  </si>
  <si>
    <t>HillInt-GNC-004461</t>
  </si>
  <si>
    <t>DAE-RTRFI-000499</t>
  </si>
  <si>
    <t>HillInt-GNC-004462</t>
  </si>
  <si>
    <t>DAE-RTRFI-000498</t>
  </si>
  <si>
    <t>HillInt-GNC-004467</t>
  </si>
  <si>
    <t>DAE-RTRFI-000496</t>
  </si>
  <si>
    <t>HillInt-GNC-004469</t>
  </si>
  <si>
    <t>CCCEGY-RFI-000704</t>
  </si>
  <si>
    <t>DP02 - SP04 - SUPER STRUCTURE - GROUND - BUILDING 212 – SLAB AND BEAMS</t>
  </si>
  <si>
    <t>HillInt-GNC-004475</t>
  </si>
  <si>
    <t>CCCEGY-RFI-000705</t>
  </si>
  <si>
    <t>REH-P1003-K03149-CRJ-RFI-CW-0507-00</t>
  </si>
  <si>
    <t>SP05- Part 04 – Basement 01 – A discrepancy between column dimension &amp; schedule</t>
  </si>
  <si>
    <t>HillInt-GNC-004477</t>
  </si>
  <si>
    <t>CCCEGY-RFI-000706</t>
  </si>
  <si>
    <t>REH-P1003-K03149-CRJ-RFI-CW-0508-00</t>
  </si>
  <si>
    <t>SP10 – PART 04 – Missing column type</t>
  </si>
  <si>
    <t>HillInt-GNC-004478</t>
  </si>
  <si>
    <t>REH-P1003-K03149-CRJ-RFI-CW-0509-00</t>
  </si>
  <si>
    <t>CCCEGY-RFI-000707</t>
  </si>
  <si>
    <t>SP04 - Staircase Beam Location Discrepancy</t>
  </si>
  <si>
    <t>HillInt-GNC-004479</t>
  </si>
  <si>
    <t>CCCEGY-RFI-000708</t>
  </si>
  <si>
    <t>REH-P1003-K03149-CRJ-RFI-CW-0510-00</t>
  </si>
  <si>
    <t>SP04 –PART 02- BUILDING 211 - STAIR CASE 43 –CONFIRMATION OF SUPPORTING LANDINGS STRUCUTRE ELEMENT</t>
  </si>
  <si>
    <t>HillInt-GNC-004480</t>
  </si>
  <si>
    <t>REH-P1003-K03149-CRJ-RFI-CW-0511-00</t>
  </si>
  <si>
    <t>CCCEGY-RFI-000709</t>
  </si>
  <si>
    <t>SP01-PART03 &amp; BUILDING 207-Lower Ground Slab-Discrepancy in Trench Revit model and TYP detail &amp; Missed End level for attic slab walls</t>
  </si>
  <si>
    <t>HillInt-GNC-004481</t>
  </si>
  <si>
    <t>REH-P1003-K03149-CRJ-RFI-CW-0512-00</t>
  </si>
  <si>
    <t>CCCEGY-RFI-000710</t>
  </si>
  <si>
    <t>SP01-PART03-Lower Ground-Col&amp;Axis-Missing Columns Types</t>
  </si>
  <si>
    <t>HillInt-GNC-004482</t>
  </si>
  <si>
    <t>REH-P1003-K03149-CRJ-RFI-CW-0513-00</t>
  </si>
  <si>
    <t>CCCEGY-RFI-000711</t>
  </si>
  <si>
    <t>SP08-Part02-B01 Slab Level-Col&amp;Axis-Missing Types of tank walls</t>
  </si>
  <si>
    <t>HillInt-GNC-004484</t>
  </si>
  <si>
    <t>CCCEGY-RFI-000712</t>
  </si>
  <si>
    <t>SP07 – building 113- Ground Framing plan-missing data</t>
  </si>
  <si>
    <t>REH-P1003-K03149-CRJ-RFI-CW-0514-00</t>
  </si>
  <si>
    <t>HillInt-GNC-004485</t>
  </si>
  <si>
    <t>CCCEGY-RFI-000713</t>
  </si>
  <si>
    <t>SP09 – Building 151 - Lower Ground – Slab edge discrepancy</t>
  </si>
  <si>
    <t>REH-P1003-K03149-CRJ-RFI-CW-0515-00</t>
  </si>
  <si>
    <t>HillInt-GNC-004486</t>
  </si>
  <si>
    <t>REH-P1003-K03149-CRJ-RFI-CW-0516-00</t>
  </si>
  <si>
    <t>CCCEGY-RFI-000714</t>
  </si>
  <si>
    <t>SP10-PART 3-BUILDING 116- Clarifications of Staircase 02</t>
  </si>
  <si>
    <t>HillInt-GNC-004487</t>
  </si>
  <si>
    <t>CCCEGY-RFI-000715</t>
  </si>
  <si>
    <t>REH-P1003-K03149-CRJ-RFI-CW-0517-00</t>
  </si>
  <si>
    <t>SP01 – PART 07 – Ground Floor SLAB +29.600, Conflict between the ground slab and the attic slab</t>
  </si>
  <si>
    <t>HillInt-GNC-004488</t>
  </si>
  <si>
    <t>CCCEGY-RFI-000716</t>
  </si>
  <si>
    <t>SP10-PART 4-BUILDING 315- Clarifications of Staircase 01</t>
  </si>
  <si>
    <t>REH-P1003-K03149-CRJ-RFI-CW-0518-00</t>
  </si>
  <si>
    <t>HillInt-GNC-004489</t>
  </si>
  <si>
    <t>CCCEGY-RFI-000717</t>
  </si>
  <si>
    <t>SP01-PART02-COL&amp;AXIS LAYOUT-LOWER GROUND LEVEL-Missing Columns Reinforcement in table&amp; Missing column type</t>
  </si>
  <si>
    <t>REH-P1003-K03149-CRJ-RFI-CW-0519-00</t>
  </si>
  <si>
    <t>HillInt-GNC-004490</t>
  </si>
  <si>
    <t>CCCEGY-RFI-000718</t>
  </si>
  <si>
    <t>REH-P1003-K03149-CRJ-RFI-CW-0520-00</t>
  </si>
  <si>
    <t>SP09 – Part 3 – Clarification of Ramp End Level and Slab/Upstand Details</t>
  </si>
  <si>
    <t>HillInt-GNC-004491</t>
  </si>
  <si>
    <t>CCCEGY-RFI-000719</t>
  </si>
  <si>
    <t>SP01 –BUILDING 105 – GROUND SLAB +30,700 MESS MATCHING BETWEEN ARCH &amp; CIVIL</t>
  </si>
  <si>
    <t>REH-P1003-K03149-CRJ-RFI-CW-0521-00</t>
  </si>
  <si>
    <t>HillInt-GNC-004492</t>
  </si>
  <si>
    <t>CCCEGY-RFI-000720</t>
  </si>
  <si>
    <t>SP05- Part 04 – Basement 2 - Confirmation of Column tag as per the agreement at a previous technical meeting</t>
  </si>
  <si>
    <t>REH-P1003-K03149-CRJ-RFI-CW-0522-00</t>
  </si>
  <si>
    <t>HillInt-GNC-004493</t>
  </si>
  <si>
    <t>CCCEGY-RFI-000721</t>
  </si>
  <si>
    <t>HillInt-GNC-004494</t>
  </si>
  <si>
    <t>SP05- Clarification for slab level and beams type - Building 255 - Lower Ground</t>
  </si>
  <si>
    <t>REH-P1003-K03149-CRJ-RFI-CW-0523-00</t>
  </si>
  <si>
    <t>REH-P1003-K03149-CRJ-RFI-CW-0524-00</t>
  </si>
  <si>
    <t>CCCEGY-RFI-000722</t>
  </si>
  <si>
    <t>SP01-PART03-LOWER GROUND LEVEL-T.O.B level is not clear</t>
  </si>
  <si>
    <t>HillInt-GNC-004495</t>
  </si>
  <si>
    <t>SP 05 – Part 01 – Building 155 – Ground Level - Clarification and Confirmation of Structural and Architectural Details</t>
  </si>
  <si>
    <t>CCCEGY-RFI-000723</t>
  </si>
  <si>
    <t>REH-P1003-K03149-CRJ-RFI-CW-0525-00</t>
  </si>
  <si>
    <t>HillInt-GNC-004496</t>
  </si>
  <si>
    <t>REH-P1003-K03149-CRJ-RFI-CW-0526-00</t>
  </si>
  <si>
    <t>CCCEGY-RFI-000724</t>
  </si>
  <si>
    <t>SP04 – Building 300 – Ground – Missing dimensions between columns and axes</t>
  </si>
  <si>
    <t>HillInt-GNC-004497</t>
  </si>
  <si>
    <t>REH-P1003-K03149-CRJ-RFI-CW-0527-00</t>
  </si>
  <si>
    <t>CCCEGY-RFI-000725</t>
  </si>
  <si>
    <t>SP04 - BUILDING 100 – GROUND TO ROOF – Columns Reinforcement Contradiction</t>
  </si>
  <si>
    <t>HillInt-GNC-004499</t>
  </si>
  <si>
    <t>REH-P1003-K03149-CRJ-RFI-CW-0528-00</t>
  </si>
  <si>
    <t>CCCEGY-RFI-000726</t>
  </si>
  <si>
    <t>SP04 – Building 112 – From lower ground to ground level – cores types</t>
  </si>
  <si>
    <t>HillInt-GNC-004653</t>
  </si>
  <si>
    <t>REH-P1003-K03149-CRJ-RFI-CW-0529-00</t>
  </si>
  <si>
    <t>CCCEGY-RFI-000727</t>
  </si>
  <si>
    <t>SP04 - Building 200 - Ground Floor – Framing plan queries</t>
  </si>
  <si>
    <t>HillInt-GNC-004656</t>
  </si>
  <si>
    <t>REH-P1003-K03149-CRJ-RFI-CW-0530-00</t>
  </si>
  <si>
    <t>SP07 – PART 02 -CONFLICT BETWEEN Revit model and the ifc drawing and missing id beams</t>
  </si>
  <si>
    <t>CCCEGY-RFI-000728</t>
  </si>
  <si>
    <t>HillInt-GNC-004657</t>
  </si>
  <si>
    <t>CCCEGY-RFI-000729</t>
  </si>
  <si>
    <t>REH-P1003-K03149-CRJ-RFI-CW-0531-00</t>
  </si>
  <si>
    <t>SP 05 – Part 01 – Columns up to Ground floor - Clarification Required - Discrepancy in IFC Drawings - Same Revision Ground Level</t>
  </si>
  <si>
    <t>HillInt-GNC-004659</t>
  </si>
  <si>
    <t>CCCEGY-RFI-000730</t>
  </si>
  <si>
    <t>SP01 –PART 10 – GROUND FLOOR SALB – Mismatch Between IFC Drawings and RVT Model - Cable Trench</t>
  </si>
  <si>
    <t>REH-P1003-K03149-CRJ-RFI-CW-0532-00</t>
  </si>
  <si>
    <t>HillInt-GNC-004660</t>
  </si>
  <si>
    <t>CCCEGY-RFI-000731</t>
  </si>
  <si>
    <t>SP 09 – PLANTERS – Discrepancy between Landscape Drawings and Revit Model</t>
  </si>
  <si>
    <t>REH-P1003-K03149-CRJ-RFI-CW-0533-00</t>
  </si>
  <si>
    <t>HillInt-GNC-004661</t>
  </si>
  <si>
    <t>REH-P1003-K03149-CRJ-RFI-CW-00391-01</t>
  </si>
  <si>
    <t>CCCEGY-RFI-000732</t>
  </si>
  <si>
    <t>SP04 – RMU Rooms</t>
  </si>
  <si>
    <t>HillInt-GNC-004662</t>
  </si>
  <si>
    <t>CCCEGY-RFI-000733</t>
  </si>
  <si>
    <t>SP04 - Lower Ground - Part 12- Framing Plan Clarifications</t>
  </si>
  <si>
    <t>HillInt-GNC-004664</t>
  </si>
  <si>
    <t>CCCEGY-RFI-000399</t>
  </si>
  <si>
    <t>R.W between different Rafts levels</t>
  </si>
  <si>
    <t>HillInt-GNC-003720</t>
  </si>
  <si>
    <t>CCCEGY-RFI-000736</t>
  </si>
  <si>
    <t>REH-P1003-K03149-CRJ-RFI-CW-0534-00</t>
  </si>
  <si>
    <t>SP08 – Basement 01 – Part 06 - Missing Structural Wall Types</t>
  </si>
  <si>
    <t>HillInt-GNC-004669</t>
  </si>
  <si>
    <t>REH-P1003-K03149-CRJ-RFI-CW-0535-00</t>
  </si>
  <si>
    <t>CCCEGY-RFI-000737</t>
  </si>
  <si>
    <t>SP05 – Part 04 - Ground Level – Confirmation of the slab boundaries</t>
  </si>
  <si>
    <t>HillInt-GNC-004670</t>
  </si>
  <si>
    <t>REH-P1003-K03149-CRJ-RFI-CW-0536-00</t>
  </si>
  <si>
    <t>SP04 – Part 03,06 – Rafts at Higher level</t>
  </si>
  <si>
    <t>CCCEGY-RFI-000738</t>
  </si>
  <si>
    <t>HillInt-GNC-004674</t>
  </si>
  <si>
    <t>REH-P1003-K03149-CRJ-RFI-CW-0537-00</t>
  </si>
  <si>
    <t>CCCEGY-RFI-000739</t>
  </si>
  <si>
    <t>SP01-PART 10-GROUND LEVEL- UNKNOWN BEAM TYPE &amp; ACCESS HATCH LOCATION &amp; TRENCH DETAIL DISCREPANCY</t>
  </si>
  <si>
    <t>HillInt-GNC-004675</t>
  </si>
  <si>
    <t>CCCEGY-RFI-000740</t>
  </si>
  <si>
    <t>SP 05 – Building 355 – Ground Level -Structural and Architectural Coordination Details</t>
  </si>
  <si>
    <t>REH-P1003-K03149-CRJ-RFI-CW-0538-00</t>
  </si>
  <si>
    <t>HillInt-GNC-004676</t>
  </si>
  <si>
    <t>CCCEGY-RFI-000741</t>
  </si>
  <si>
    <t>SP05 - Building 355 - Ground Level - Confirmation of Existing Slab and Beam Adjacent to the Stair</t>
  </si>
  <si>
    <t>REH-P1003-K03149-CRJ-RFI-CW-0539-00</t>
  </si>
  <si>
    <t>HillInt-GNC-004677</t>
  </si>
  <si>
    <t>CCCEGY-RFI-000742</t>
  </si>
  <si>
    <t>SP07- Part02 – missing beams id</t>
  </si>
  <si>
    <t>REH-P1003-K03149-CRJ-RFI-CW-0540-00</t>
  </si>
  <si>
    <t>HillInt-GNC-004678</t>
  </si>
  <si>
    <t>REH-P1003-K03149-CRJ-RFI-CW-0541-00</t>
  </si>
  <si>
    <t>CCCEGY-RFI-000743</t>
  </si>
  <si>
    <t>SP04 – Level 01 – Building 101 – Contradictions Between IFC and Revit Model</t>
  </si>
  <si>
    <t>HillInt-GNC-004679</t>
  </si>
  <si>
    <t>REH-P1003-K03149-CRJ-RFI-CW-0542-00</t>
  </si>
  <si>
    <t>CCCEGY-RFI-000744</t>
  </si>
  <si>
    <t>Clarification for the connections of Siamese (Fire Department) Connection all super plots</t>
  </si>
  <si>
    <t>HillInt-GNC-004680</t>
  </si>
  <si>
    <t>CCCEGY-RFI-000745</t>
  </si>
  <si>
    <t>SP01-PART03-BUILDING 207-LOWER GROUND LEVEL-T.O.B levels is not clear</t>
  </si>
  <si>
    <t>REH-P1003-K03149-CRJ-RFI-CW-0543-00</t>
  </si>
  <si>
    <t>HillInt-GNC-004681</t>
  </si>
  <si>
    <t>REH-P1003-K03149-CRJ-RFI-CW-00343-01</t>
  </si>
  <si>
    <t>DAE-RTRFI-000511</t>
  </si>
  <si>
    <t>HillInt-GNC-004712</t>
  </si>
  <si>
    <t>DAE-RTRFI-000506</t>
  </si>
  <si>
    <t>HillInt-GNC-004713</t>
  </si>
  <si>
    <t>DAE-RTRFI-000508</t>
  </si>
  <si>
    <t>HillInt-GNC-004723</t>
  </si>
  <si>
    <t>DAE-RTRFI-000507</t>
  </si>
  <si>
    <t>HillInt-GNC-004726</t>
  </si>
  <si>
    <t>DAE-RTRFI-000513</t>
  </si>
  <si>
    <t>HillInt-GNC-004824</t>
  </si>
  <si>
    <t>DAE-RTRFI-000512</t>
  </si>
  <si>
    <t>HillInt-GNC-004831</t>
  </si>
  <si>
    <t>DAE-RTRFI-000510</t>
  </si>
  <si>
    <t>HillInt-GNC-004832</t>
  </si>
  <si>
    <t>DAE-RTRFI-000509</t>
  </si>
  <si>
    <t>HillInt-GNC-004834</t>
  </si>
  <si>
    <t>DAE-RTRFI-000528</t>
  </si>
  <si>
    <t>HillInt-GNC-004872</t>
  </si>
  <si>
    <t>DAE-RTRFI-000527</t>
  </si>
  <si>
    <t>HillInt-GNC-004873</t>
  </si>
  <si>
    <t>DAE-RTRFI-000526</t>
  </si>
  <si>
    <t>HillInt-GNC-004874</t>
  </si>
  <si>
    <t>DAE-RTRFI-000525</t>
  </si>
  <si>
    <t>HillInt-GNC-004877</t>
  </si>
  <si>
    <t>DAE-RTRFI-000524</t>
  </si>
  <si>
    <t>DAE-RTRFI-000523</t>
  </si>
  <si>
    <t>HillInt-GNC-004881</t>
  </si>
  <si>
    <t>DAE-RTRFI-000522</t>
  </si>
  <si>
    <t>HillInt-GNC-004882</t>
  </si>
  <si>
    <t>DAE-RTRFI-000521</t>
  </si>
  <si>
    <t>HillInt-GNC-004883</t>
  </si>
  <si>
    <t>DAE-RTRFI-000520</t>
  </si>
  <si>
    <t>HillInt-GNC-004884</t>
  </si>
  <si>
    <t>DAE-RTRFI-000519</t>
  </si>
  <si>
    <t>HillInt-GNC-004885</t>
  </si>
  <si>
    <t>DAE-RTRFI-000514</t>
  </si>
  <si>
    <t>HillInt-GNC-004886</t>
  </si>
  <si>
    <t>DAE-RTRFI-000515</t>
  </si>
  <si>
    <t>HillInt-GNC-004887</t>
  </si>
  <si>
    <t>DAE-RTRFI-000516</t>
  </si>
  <si>
    <t>HillInt-GNC-004888</t>
  </si>
  <si>
    <t>DAE-RTRFI-000518</t>
  </si>
  <si>
    <t>HillInt-GNC-004890</t>
  </si>
  <si>
    <t>DAE-RTRFI-000517</t>
  </si>
  <si>
    <t>HillInt-GNC-004892</t>
  </si>
  <si>
    <t>CCCEGY-RFI-000756</t>
  </si>
  <si>
    <t>REH-P1003-K03149-CRJ-RFI-CW-0544-00</t>
  </si>
  <si>
    <t>SP10-PART 5-BUILDING 215- Clarifications of Staircase 01</t>
  </si>
  <si>
    <t>HillInt-GNC-004991</t>
  </si>
  <si>
    <t>CCCEGY-RFI-000757</t>
  </si>
  <si>
    <t>SP02 - Part 07 – Inquiries regarding R.W Levels and missing beam</t>
  </si>
  <si>
    <t>REH-P1003-K03149-CRJ-RFI-CW-0545-00</t>
  </si>
  <si>
    <t>CCCEGY-RFI-000758</t>
  </si>
  <si>
    <t>REH-P1003-K03149-CRJ-RFI-CW-0546-00</t>
  </si>
  <si>
    <t>SP 05 - Building 355 - Ground floor - Confirmation Regarding Existing Stair</t>
  </si>
  <si>
    <t>HillInt-GNC-004993</t>
  </si>
  <si>
    <t>CCCEGY-RFI-000759</t>
  </si>
  <si>
    <t>SP09 – STAIR OF Building 151</t>
  </si>
  <si>
    <t>REH-P1003-K03149-CRJ-RFI-CW-0547-00</t>
  </si>
  <si>
    <t>HillInt-GNC-004994</t>
  </si>
  <si>
    <t>CCCEGY-RFI-000760</t>
  </si>
  <si>
    <t>Request for Approval to Use Excavated Material Below SOG</t>
  </si>
  <si>
    <t>REH-P1003-K03149-CRJ-RFI-CW-0548-00</t>
  </si>
  <si>
    <t>HillInt-GNC-004996</t>
  </si>
  <si>
    <t>CCCEGY-RFI-000761</t>
  </si>
  <si>
    <t>SP04 - SUPER STRUCTURE - GROUND - BUILDING 300 - COLUMNS</t>
  </si>
  <si>
    <t>REH-P1003-K03149-CRJ-RFI-CW-0549-00</t>
  </si>
  <si>
    <t>HillInt-GNC-004997</t>
  </si>
  <si>
    <t>CCCEGY-RFI-000762</t>
  </si>
  <si>
    <t>Naming Convention and Project Number</t>
  </si>
  <si>
    <t>REH-P1003-K03149-CRJ-RFI-CW-0550-00</t>
  </si>
  <si>
    <t>HillInt-GNC-004998</t>
  </si>
  <si>
    <t>CCCEGY-RFI-000763</t>
  </si>
  <si>
    <t>SP 05 – Part 04 – Ground floor - Inquiries Related to Trench Access at Beam 05-GR-B05 (300x2250)</t>
  </si>
  <si>
    <t>REH-P1003-K03149-CRJ-RFI-CW-0551-00</t>
  </si>
  <si>
    <t>HillInt-GNC-005000</t>
  </si>
  <si>
    <t>CCCEGY-RFI-000764</t>
  </si>
  <si>
    <t>SP 05 – Part 02 – Ground floor - Inquiries Related to the stair at part 02</t>
  </si>
  <si>
    <t>REH-P1003-K03149-CRJ-RFI-CW-0552-00</t>
  </si>
  <si>
    <t>HillInt-GNC-005001</t>
  </si>
  <si>
    <t>CCCEGY-RFI-000765</t>
  </si>
  <si>
    <t>SP06 – Part 03 – Confirmation of ramp wall top level</t>
  </si>
  <si>
    <t>REH-P1003-K03149-CRJ-RFI-CW-0553-00</t>
  </si>
  <si>
    <t>HillInt-GNC-005002</t>
  </si>
  <si>
    <t>REH-P1003-K03149-CRJ-RFI-CW-0554-00</t>
  </si>
  <si>
    <t>CCCEGY-RFI-000766</t>
  </si>
  <si>
    <t>SP 05 – Part 04 – Ground floor - Inquiries Related to Trench Access at Beam 05-GR-B03 (300x1750)</t>
  </si>
  <si>
    <t>HillInt-GNC-005003</t>
  </si>
  <si>
    <t>CCCEGY-RFI-000767</t>
  </si>
  <si>
    <t>SP04 – B (100) – Cladding clash with Structural Elements</t>
  </si>
  <si>
    <t>REH-P1003-K03149-CRJ-RFI-CW-0555-00</t>
  </si>
  <si>
    <t>HillInt-GNC-005004</t>
  </si>
  <si>
    <t>CCCEGY-RFI-000768</t>
  </si>
  <si>
    <t>SP04 – General -Door Opening at Staircase</t>
  </si>
  <si>
    <t>REH-P1003-K03149-CRJ-RFI-CW-0556-00</t>
  </si>
  <si>
    <t>HillInt-GNC-005006</t>
  </si>
  <si>
    <t>REH-P1003-K03149-CRJ-RFI-CW-0557-00</t>
  </si>
  <si>
    <t>SP04 – General -Missing Sunken Slab in Kitchen</t>
  </si>
  <si>
    <t>CCCEGY-RFI-000770</t>
  </si>
  <si>
    <t>HillInt-GNC-005007</t>
  </si>
  <si>
    <t>REH-P1003-K03149-CRJ-RFI-CW-0558-00</t>
  </si>
  <si>
    <t>SP04 – General – Discrepancies in Handrail fixation</t>
  </si>
  <si>
    <t>CCCEGY-RFI-000771</t>
  </si>
  <si>
    <t>HillInt-GNC-005008</t>
  </si>
  <si>
    <t>REH-P1003-K03149-CRJ-RFI-CW-00367-01</t>
  </si>
  <si>
    <t>CCCEGY-RFI-000772</t>
  </si>
  <si>
    <t>SP04 – General – Blocked Shafts at basement</t>
  </si>
  <si>
    <t>HillInt-GNC-005010</t>
  </si>
  <si>
    <t>CCCEGY-RFI-000773</t>
  </si>
  <si>
    <t>Mockup -Warehouse</t>
  </si>
  <si>
    <t>REH-P1003-K03149-CRJ-RFI-CW-0559-00</t>
  </si>
  <si>
    <t>HillInt-GNC-005012</t>
  </si>
  <si>
    <t>CCCEGY-RFI-000774</t>
  </si>
  <si>
    <t>Mockup Strategy</t>
  </si>
  <si>
    <t>REH-P1003-K03149-CRJ-RFI-CW-0560-00</t>
  </si>
  <si>
    <t>HillInt-GNC-005015</t>
  </si>
  <si>
    <t>CCCEGY-RFI-000775</t>
  </si>
  <si>
    <t>REH-P1003-K03149-CRJ-RFI-CW-0561-00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</si>
</sst>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0" xfId="0" applyFill="1"/>
    <xf numFmtId="0" fontId="0" fillId="0" borderId="18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5" fontId="0" fillId="0" borderId="19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" fontId="0" fillId="0" borderId="26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5" fontId="6" fillId="0" borderId="19" xfId="0" applyNumberFormat="1" applyFont="1" applyBorder="1" applyAlignment="1">
      <alignment horizontal="center" vertical="center" wrapText="1"/>
    </xf>
    <xf numFmtId="15" fontId="6" fillId="0" borderId="16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5" fontId="6" fillId="0" borderId="15" xfId="0" applyNumberFormat="1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16" fontId="6" fillId="0" borderId="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5" fontId="6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5" fontId="0" fillId="7" borderId="1" xfId="0" applyNumberFormat="1" applyFill="1" applyBorder="1" applyAlignment="1">
      <alignment horizontal="center" vertical="center" wrapText="1"/>
    </xf>
    <xf numFmtId="14" fontId="4" fillId="2" borderId="19" xfId="0" applyNumberFormat="1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5" fontId="6" fillId="7" borderId="8" xfId="0" applyNumberFormat="1" applyFont="1" applyFill="1" applyBorder="1" applyAlignment="1">
      <alignment horizontal="center" vertical="center" wrapText="1"/>
    </xf>
    <xf numFmtId="15" fontId="0" fillId="7" borderId="8" xfId="0" applyNumberForma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15" fontId="6" fillId="7" borderId="13" xfId="0" applyNumberFormat="1" applyFont="1" applyFill="1" applyBorder="1" applyAlignment="1">
      <alignment horizontal="center" vertical="center" wrapText="1"/>
    </xf>
    <xf numFmtId="15" fontId="0" fillId="0" borderId="16" xfId="0" applyNumberFormat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15" fontId="0" fillId="7" borderId="13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5" fontId="0" fillId="0" borderId="30" xfId="0" applyNumberFormat="1" applyBorder="1" applyAlignment="1">
      <alignment horizontal="center" vertical="center" wrapText="1"/>
    </xf>
    <xf numFmtId="15" fontId="0" fillId="0" borderId="26" xfId="0" applyNumberFormat="1" applyBorder="1" applyAlignment="1">
      <alignment horizontal="center" vertical="center" wrapText="1"/>
    </xf>
    <xf numFmtId="15" fontId="0" fillId="0" borderId="23" xfId="0" applyNumberFormat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15" fontId="0" fillId="7" borderId="23" xfId="0" applyNumberForma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/>
    </xf>
    <xf numFmtId="15" fontId="4" fillId="2" borderId="13" xfId="0" applyNumberFormat="1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15" fontId="0" fillId="0" borderId="15" xfId="0" applyNumberFormat="1" applyBorder="1" applyAlignment="1">
      <alignment horizontal="center" vertical="center" wrapText="1"/>
    </xf>
    <xf numFmtId="15" fontId="0" fillId="7" borderId="15" xfId="0" applyNumberFormat="1" applyFill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/>
    </xf>
    <xf numFmtId="15" fontId="6" fillId="0" borderId="10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1" fillId="5" borderId="36" xfId="0" applyNumberFormat="1" applyFont="1" applyFill="1" applyBorder="1" applyAlignment="1">
      <alignment horizontal="center" vertical="center"/>
    </xf>
    <xf numFmtId="1" fontId="4" fillId="2" borderId="21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 wrapText="1"/>
    </xf>
    <xf numFmtId="1" fontId="4" fillId="2" borderId="25" xfId="0" applyNumberFormat="1" applyFont="1" applyFill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 wrapText="1"/>
    </xf>
    <xf numFmtId="15" fontId="6" fillId="0" borderId="38" xfId="0" applyNumberFormat="1" applyFont="1" applyBorder="1" applyAlignment="1">
      <alignment horizontal="center" vertical="center" wrapText="1"/>
    </xf>
    <xf numFmtId="15" fontId="0" fillId="0" borderId="38" xfId="0" applyNumberForma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5" fontId="6" fillId="0" borderId="16" xfId="0" applyNumberFormat="1" applyFont="1" applyBorder="1" applyAlignment="1">
      <alignment horizontal="center" vertical="center" wrapText="1"/>
    </xf>
    <xf numFmtId="15" fontId="6" fillId="0" borderId="15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5" fontId="6" fillId="0" borderId="18" xfId="0" applyNumberFormat="1" applyFont="1" applyBorder="1" applyAlignment="1">
      <alignment horizontal="center" vertical="center" wrapText="1"/>
    </xf>
    <xf numFmtId="15" fontId="6" fillId="0" borderId="14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5" fontId="6" fillId="0" borderId="2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5" fontId="6" fillId="0" borderId="19" xfId="0" applyNumberFormat="1" applyFont="1" applyBorder="1" applyAlignment="1">
      <alignment horizontal="center"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15" fontId="1" fillId="4" borderId="39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3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" fontId="6" fillId="0" borderId="18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476251</xdr:colOff>
      <xdr:row>0</xdr:row>
      <xdr:rowOff>0</xdr:rowOff>
    </xdr:from>
    <xdr:to>
      <xdr:col>1</xdr:col>
      <xdr:colOff>2612876</xdr:colOff>
      <xdr:row>1</xdr:row>
      <xdr:rowOff>208915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53396-5E20-419E-972C-AD9EBCC2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1" y="0"/>
          <a:ext cx="2146150" cy="684621"/>
        </a:xfrm>
        <a:prstGeom prst="rect">
          <a:avLst/>
        </a:prstGeom>
      </xdr:spPr>
    </xdr:pic>
    <xdr:clientData/>
  </xdr:twoCellAnchor>
  <xdr:twoCellAnchor editAs="oneCell">
    <xdr:from>
      <xdr:col>8</xdr:col>
      <xdr:colOff>632195</xdr:colOff>
      <xdr:row>0</xdr:row>
      <xdr:rowOff>0</xdr:rowOff>
    </xdr:from>
    <xdr:to>
      <xdr:col>10</xdr:col>
      <xdr:colOff>782193</xdr:colOff>
      <xdr:row>1</xdr:row>
      <xdr:rowOff>629291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D946A4-BB2B-4FC1-8762-A4888AA6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2224" y="0"/>
          <a:ext cx="2551386" cy="10821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5"/>
  <sheetViews>
    <sheetView tabSelected="1" view="pageBreakPreview" topLeftCell="B1" zoomScale="55" zoomScaleNormal="100" zoomScaleSheetLayoutView="55" workbookViewId="0">
      <pane ySplit="4" topLeftCell="A611" activePane="bottomLeft" state="frozen"/>
      <selection activeCell="B1" sqref="B1"/>
      <selection pane="bottomLeft" activeCell="G617" sqref="G617"/>
    </sheetView>
  </sheetViews>
  <sheetFormatPr defaultRowHeight="14.4" x14ac:dyDescent="0.3"/>
  <cols>
    <col min="1" max="1" width="25.109375" style="1" hidden="1" customWidth="1"/>
    <col min="2" max="2" width="48.88671875" style="1" customWidth="1"/>
    <col min="3" max="3" width="11.33203125" style="1" customWidth="1"/>
    <col min="4" max="4" width="25.109375" style="1" customWidth="1"/>
    <col min="5" max="5" width="66.6640625" style="1" bestFit="1" customWidth="1"/>
    <col min="6" max="6" width="17.6640625" style="18" customWidth="1"/>
    <col min="7" max="7" width="22.109375" style="1" customWidth="1"/>
    <col min="8" max="8" width="17.6640625" style="1" customWidth="1"/>
    <col min="9" max="9" width="14" style="28" customWidth="1"/>
    <col min="10" max="10" width="21.33203125" style="1" customWidth="1"/>
    <col min="11" max="11" width="17.6640625" style="1" customWidth="1"/>
    <col min="12" max="12" width="25.88671875" style="1" customWidth="1"/>
    <col min="13" max="13" width="21.33203125" style="67" customWidth="1"/>
    <col min="14" max="14" width="11.109375" style="28" customWidth="1"/>
    <col min="15" max="15" width="17.5546875" style="1" customWidth="1"/>
    <col min="16" max="16" width="36.44140625" style="16" bestFit="1" customWidth="1"/>
  </cols>
  <sheetData>
    <row r="1" spans="1:16" ht="37.200000000000003" customHeight="1" x14ac:dyDescent="0.3">
      <c r="A1" s="150" t="s">
        <v>0</v>
      </c>
      <c r="B1" s="150"/>
      <c r="C1" s="150"/>
      <c r="D1" s="150"/>
      <c r="E1" s="150"/>
      <c r="F1" s="151"/>
      <c r="G1" s="150"/>
      <c r="H1" s="150"/>
      <c r="I1" s="152"/>
      <c r="J1" s="150"/>
      <c r="K1" s="150"/>
      <c r="L1" s="150"/>
      <c r="M1" s="153"/>
      <c r="N1" s="26">
        <v>7</v>
      </c>
      <c r="O1" s="9" t="s">
        <v>1</v>
      </c>
      <c r="P1" s="2">
        <f>COUNTA(O:O)</f>
        <v>599</v>
      </c>
    </row>
    <row r="2" spans="1:16" ht="52.95" customHeight="1" thickBot="1" x14ac:dyDescent="0.35">
      <c r="A2" s="150"/>
      <c r="B2" s="150"/>
      <c r="C2" s="150"/>
      <c r="D2" s="150"/>
      <c r="E2" s="150"/>
      <c r="F2" s="151"/>
      <c r="G2" s="150"/>
      <c r="H2" s="150"/>
      <c r="I2" s="152"/>
      <c r="J2" s="154"/>
      <c r="K2" s="154"/>
      <c r="L2" s="154"/>
      <c r="M2" s="155"/>
      <c r="N2" s="26"/>
      <c r="O2" s="10" t="s">
        <v>2</v>
      </c>
      <c r="P2" s="11">
        <f>COUNTIF(O$5:O$1048576,"Response ")</f>
        <v>536</v>
      </c>
    </row>
    <row r="3" spans="1:16" ht="37.200000000000003" customHeight="1" x14ac:dyDescent="0.3">
      <c r="A3" s="156" t="s">
        <v>3</v>
      </c>
      <c r="B3" s="157"/>
      <c r="C3" s="158"/>
      <c r="D3" s="158"/>
      <c r="E3" s="158"/>
      <c r="F3" s="159"/>
      <c r="G3" s="164" t="s">
        <v>4</v>
      </c>
      <c r="H3" s="165"/>
      <c r="I3" s="166"/>
      <c r="J3" s="160" t="s">
        <v>5</v>
      </c>
      <c r="K3" s="161"/>
      <c r="L3" s="162" t="s">
        <v>6</v>
      </c>
      <c r="M3" s="163"/>
      <c r="N3" s="109"/>
      <c r="O3" s="104" t="s">
        <v>7</v>
      </c>
      <c r="P3" s="11">
        <f>COUNTIF(O$5:O$1048576,"OPEN")</f>
        <v>59</v>
      </c>
    </row>
    <row r="4" spans="1:16" ht="59.4" customHeight="1" x14ac:dyDescent="0.3">
      <c r="A4" s="95" t="s">
        <v>8</v>
      </c>
      <c r="B4" s="119" t="s">
        <v>9</v>
      </c>
      <c r="C4" s="60" t="s">
        <v>10</v>
      </c>
      <c r="D4" s="60" t="s">
        <v>8</v>
      </c>
      <c r="E4" s="60" t="s">
        <v>11</v>
      </c>
      <c r="F4" s="96" t="s">
        <v>12</v>
      </c>
      <c r="G4" s="79" t="s">
        <v>8</v>
      </c>
      <c r="H4" s="80" t="s">
        <v>12</v>
      </c>
      <c r="I4" s="112"/>
      <c r="J4" s="12" t="s">
        <v>8</v>
      </c>
      <c r="K4" s="21" t="s">
        <v>12</v>
      </c>
      <c r="L4" s="20" t="s">
        <v>8</v>
      </c>
      <c r="M4" s="65" t="s">
        <v>12</v>
      </c>
      <c r="N4" s="110"/>
      <c r="O4" s="105"/>
      <c r="P4" s="57"/>
    </row>
    <row r="5" spans="1:16" s="6" customFormat="1" ht="46.2" customHeight="1" x14ac:dyDescent="0.3">
      <c r="A5" s="97" t="s">
        <v>13</v>
      </c>
      <c r="B5" s="30" t="s">
        <v>14</v>
      </c>
      <c r="C5" s="30">
        <v>0</v>
      </c>
      <c r="D5" s="50" t="s">
        <v>13</v>
      </c>
      <c r="E5" s="30" t="s">
        <v>15</v>
      </c>
      <c r="F5" s="42">
        <v>46071</v>
      </c>
      <c r="G5" s="75"/>
      <c r="H5" s="81"/>
      <c r="I5" s="116">
        <f>K5-H5</f>
        <v>0</v>
      </c>
      <c r="J5" s="32"/>
      <c r="K5" s="34"/>
      <c r="L5" s="35" t="s">
        <v>16</v>
      </c>
      <c r="M5" s="102">
        <v>46077</v>
      </c>
      <c r="N5" s="74">
        <f ca="1">IF(AND(M5="",TODAY()-F5&gt;7),TODAY()-F5-7,0)</f>
        <v>0</v>
      </c>
      <c r="O5" s="106" t="s">
        <v>2</v>
      </c>
      <c r="P5" s="22"/>
    </row>
    <row r="6" spans="1:16" s="6" customFormat="1" ht="51.6" customHeight="1" x14ac:dyDescent="0.3">
      <c r="A6" s="98" t="s">
        <v>17</v>
      </c>
      <c r="B6" s="31" t="s">
        <v>18</v>
      </c>
      <c r="C6" s="31">
        <v>0</v>
      </c>
      <c r="D6" s="32" t="s">
        <v>17</v>
      </c>
      <c r="E6" s="31" t="s">
        <v>19</v>
      </c>
      <c r="F6" s="43">
        <v>46077</v>
      </c>
      <c r="G6" s="35" t="s">
        <v>20</v>
      </c>
      <c r="H6" s="82"/>
      <c r="I6" s="116">
        <f t="shared" ref="I6:I69" si="0">K6-H6</f>
        <v>0</v>
      </c>
      <c r="J6" s="32"/>
      <c r="K6" s="34"/>
      <c r="L6" s="35" t="s">
        <v>21</v>
      </c>
      <c r="M6" s="103">
        <v>46092</v>
      </c>
      <c r="N6" s="74">
        <f t="shared" ref="N6:N18" ca="1" si="1">IF(AND(M6="",TODAY()-F6&gt;7),TODAY()-F6-7,0)</f>
        <v>0</v>
      </c>
      <c r="O6" s="107" t="s">
        <v>2</v>
      </c>
      <c r="P6" s="22"/>
    </row>
    <row r="7" spans="1:16" s="6" customFormat="1" ht="51.6" customHeight="1" x14ac:dyDescent="0.3">
      <c r="A7" s="98" t="s">
        <v>22</v>
      </c>
      <c r="B7" s="31" t="s">
        <v>23</v>
      </c>
      <c r="C7" s="31">
        <v>0</v>
      </c>
      <c r="D7" s="32" t="s">
        <v>22</v>
      </c>
      <c r="E7" s="31" t="s">
        <v>24</v>
      </c>
      <c r="F7" s="43">
        <v>46081</v>
      </c>
      <c r="G7" s="35"/>
      <c r="H7" s="82"/>
      <c r="I7" s="116">
        <f t="shared" si="0"/>
        <v>0</v>
      </c>
      <c r="J7" s="32"/>
      <c r="K7" s="34"/>
      <c r="L7" s="35" t="s">
        <v>25</v>
      </c>
      <c r="M7" s="103">
        <v>46085</v>
      </c>
      <c r="N7" s="74">
        <f t="shared" ca="1" si="1"/>
        <v>0</v>
      </c>
      <c r="O7" s="107" t="s">
        <v>2</v>
      </c>
      <c r="P7" s="22"/>
    </row>
    <row r="8" spans="1:16" s="6" customFormat="1" ht="39.6" customHeight="1" x14ac:dyDescent="0.3">
      <c r="A8" s="144" t="s">
        <v>26</v>
      </c>
      <c r="B8" s="125" t="s">
        <v>27</v>
      </c>
      <c r="C8" s="125">
        <v>0</v>
      </c>
      <c r="D8" s="135" t="s">
        <v>26</v>
      </c>
      <c r="E8" s="125" t="s">
        <v>28</v>
      </c>
      <c r="F8" s="43">
        <v>46085</v>
      </c>
      <c r="G8" s="35" t="s">
        <v>29</v>
      </c>
      <c r="H8" s="43">
        <v>46086</v>
      </c>
      <c r="I8" s="116">
        <f t="shared" si="0"/>
        <v>4</v>
      </c>
      <c r="J8" s="32" t="s">
        <v>30</v>
      </c>
      <c r="K8" s="33">
        <v>46090</v>
      </c>
      <c r="L8" s="35" t="s">
        <v>31</v>
      </c>
      <c r="M8" s="102">
        <v>46099</v>
      </c>
      <c r="N8" s="74">
        <f t="shared" ca="1" si="1"/>
        <v>0</v>
      </c>
      <c r="O8" s="149" t="s">
        <v>2</v>
      </c>
      <c r="P8" s="140"/>
    </row>
    <row r="9" spans="1:16" s="6" customFormat="1" ht="39.6" customHeight="1" x14ac:dyDescent="0.3">
      <c r="A9" s="145"/>
      <c r="B9" s="127"/>
      <c r="C9" s="127"/>
      <c r="D9" s="136"/>
      <c r="E9" s="127"/>
      <c r="F9" s="44"/>
      <c r="G9" s="35" t="s">
        <v>32</v>
      </c>
      <c r="H9" s="43">
        <v>46098</v>
      </c>
      <c r="I9" s="116">
        <f t="shared" si="0"/>
        <v>1</v>
      </c>
      <c r="J9" s="32" t="s">
        <v>33</v>
      </c>
      <c r="K9" s="33">
        <v>46099</v>
      </c>
      <c r="L9" s="35" t="s">
        <v>34</v>
      </c>
      <c r="M9" s="102">
        <v>46105</v>
      </c>
      <c r="N9" s="74">
        <f t="shared" ca="1" si="1"/>
        <v>0</v>
      </c>
      <c r="O9" s="149"/>
      <c r="P9" s="141"/>
    </row>
    <row r="10" spans="1:16" s="6" customFormat="1" ht="40.950000000000003" customHeight="1" x14ac:dyDescent="0.3">
      <c r="A10" s="144" t="s">
        <v>35</v>
      </c>
      <c r="B10" s="125" t="s">
        <v>36</v>
      </c>
      <c r="C10" s="125">
        <v>0</v>
      </c>
      <c r="D10" s="135" t="s">
        <v>35</v>
      </c>
      <c r="E10" s="125" t="s">
        <v>37</v>
      </c>
      <c r="F10" s="123">
        <v>46090</v>
      </c>
      <c r="G10" s="128" t="s">
        <v>38</v>
      </c>
      <c r="H10" s="123">
        <v>46091</v>
      </c>
      <c r="I10" s="116">
        <f t="shared" si="0"/>
        <v>16</v>
      </c>
      <c r="J10" s="135" t="s">
        <v>39</v>
      </c>
      <c r="K10" s="123">
        <v>46107</v>
      </c>
      <c r="L10" s="41" t="s">
        <v>40</v>
      </c>
      <c r="M10" s="102">
        <v>46126</v>
      </c>
      <c r="N10" s="74">
        <f t="shared" ca="1" si="1"/>
        <v>0</v>
      </c>
      <c r="O10" s="149" t="s">
        <v>2</v>
      </c>
      <c r="P10" s="140"/>
    </row>
    <row r="11" spans="1:16" s="6" customFormat="1" ht="40.950000000000003" customHeight="1" x14ac:dyDescent="0.3">
      <c r="A11" s="145"/>
      <c r="B11" s="127"/>
      <c r="C11" s="127"/>
      <c r="D11" s="136"/>
      <c r="E11" s="127"/>
      <c r="F11" s="123"/>
      <c r="G11" s="130"/>
      <c r="H11" s="124"/>
      <c r="I11" s="116">
        <f t="shared" si="0"/>
        <v>0</v>
      </c>
      <c r="J11" s="136"/>
      <c r="K11" s="124"/>
      <c r="L11" s="41" t="s">
        <v>41</v>
      </c>
      <c r="M11" s="102">
        <v>46126</v>
      </c>
      <c r="N11" s="74">
        <f t="shared" ca="1" si="1"/>
        <v>0</v>
      </c>
      <c r="O11" s="149"/>
      <c r="P11" s="141"/>
    </row>
    <row r="12" spans="1:16" ht="51.6" customHeight="1" x14ac:dyDescent="0.3">
      <c r="A12" s="98" t="s">
        <v>42</v>
      </c>
      <c r="B12" s="31" t="s">
        <v>43</v>
      </c>
      <c r="C12" s="31">
        <v>0</v>
      </c>
      <c r="D12" s="32" t="s">
        <v>42</v>
      </c>
      <c r="E12" s="31" t="s">
        <v>44</v>
      </c>
      <c r="F12" s="43">
        <v>46090</v>
      </c>
      <c r="G12" s="35" t="s">
        <v>45</v>
      </c>
      <c r="H12" s="43">
        <v>46091</v>
      </c>
      <c r="I12" s="116">
        <f t="shared" si="0"/>
        <v>7</v>
      </c>
      <c r="J12" s="32" t="s">
        <v>46</v>
      </c>
      <c r="K12" s="33">
        <v>46098</v>
      </c>
      <c r="L12" s="41" t="s">
        <v>47</v>
      </c>
      <c r="M12" s="102">
        <v>46098</v>
      </c>
      <c r="N12" s="74">
        <f t="shared" ca="1" si="1"/>
        <v>0</v>
      </c>
      <c r="O12" s="107" t="s">
        <v>2</v>
      </c>
      <c r="P12" s="22"/>
    </row>
    <row r="13" spans="1:16" ht="51.6" customHeight="1" x14ac:dyDescent="0.3">
      <c r="A13" s="98" t="s">
        <v>48</v>
      </c>
      <c r="B13" s="31" t="s">
        <v>49</v>
      </c>
      <c r="C13" s="31">
        <v>0</v>
      </c>
      <c r="D13" s="32" t="s">
        <v>48</v>
      </c>
      <c r="E13" s="31" t="s">
        <v>50</v>
      </c>
      <c r="F13" s="43">
        <v>46092</v>
      </c>
      <c r="G13" s="35" t="s">
        <v>51</v>
      </c>
      <c r="H13" s="43">
        <v>46092</v>
      </c>
      <c r="I13" s="116">
        <f t="shared" si="0"/>
        <v>1</v>
      </c>
      <c r="J13" s="32" t="s">
        <v>52</v>
      </c>
      <c r="K13" s="33">
        <v>46093</v>
      </c>
      <c r="L13" s="41" t="s">
        <v>53</v>
      </c>
      <c r="M13" s="102">
        <v>46097</v>
      </c>
      <c r="N13" s="74">
        <f t="shared" ca="1" si="1"/>
        <v>0</v>
      </c>
      <c r="O13" s="107" t="s">
        <v>2</v>
      </c>
      <c r="P13" s="22"/>
    </row>
    <row r="14" spans="1:16" ht="51.6" customHeight="1" x14ac:dyDescent="0.3">
      <c r="A14" s="98" t="s">
        <v>54</v>
      </c>
      <c r="B14" s="31" t="s">
        <v>55</v>
      </c>
      <c r="C14" s="31">
        <v>0</v>
      </c>
      <c r="D14" s="32" t="s">
        <v>54</v>
      </c>
      <c r="E14" s="31" t="s">
        <v>56</v>
      </c>
      <c r="F14" s="43">
        <v>46092</v>
      </c>
      <c r="G14" s="35" t="s">
        <v>57</v>
      </c>
      <c r="H14" s="43">
        <v>46092</v>
      </c>
      <c r="I14" s="116">
        <f t="shared" si="0"/>
        <v>1</v>
      </c>
      <c r="J14" s="32" t="s">
        <v>58</v>
      </c>
      <c r="K14" s="33">
        <v>46093</v>
      </c>
      <c r="L14" s="41" t="s">
        <v>59</v>
      </c>
      <c r="M14" s="102">
        <v>46097</v>
      </c>
      <c r="N14" s="74">
        <f t="shared" ca="1" si="1"/>
        <v>0</v>
      </c>
      <c r="O14" s="107" t="s">
        <v>2</v>
      </c>
      <c r="P14" s="22"/>
    </row>
    <row r="15" spans="1:16" ht="51.6" customHeight="1" x14ac:dyDescent="0.3">
      <c r="A15" s="98" t="s">
        <v>60</v>
      </c>
      <c r="B15" s="31" t="s">
        <v>61</v>
      </c>
      <c r="C15" s="31">
        <v>0</v>
      </c>
      <c r="D15" s="32" t="s">
        <v>60</v>
      </c>
      <c r="E15" s="31" t="s">
        <v>62</v>
      </c>
      <c r="F15" s="43">
        <v>46092</v>
      </c>
      <c r="G15" s="35" t="s">
        <v>63</v>
      </c>
      <c r="H15" s="43">
        <v>46097</v>
      </c>
      <c r="I15" s="116">
        <f t="shared" si="0"/>
        <v>1</v>
      </c>
      <c r="J15" s="32" t="s">
        <v>64</v>
      </c>
      <c r="K15" s="33">
        <v>46098</v>
      </c>
      <c r="L15" s="41" t="s">
        <v>65</v>
      </c>
      <c r="M15" s="102">
        <v>46098</v>
      </c>
      <c r="N15" s="74">
        <f t="shared" ca="1" si="1"/>
        <v>0</v>
      </c>
      <c r="O15" s="107" t="s">
        <v>2</v>
      </c>
      <c r="P15" s="22"/>
    </row>
    <row r="16" spans="1:16" ht="51.6" customHeight="1" x14ac:dyDescent="0.3">
      <c r="A16" s="98" t="s">
        <v>66</v>
      </c>
      <c r="B16" s="31" t="s">
        <v>67</v>
      </c>
      <c r="C16" s="31">
        <v>0</v>
      </c>
      <c r="D16" s="32" t="s">
        <v>66</v>
      </c>
      <c r="E16" s="31" t="s">
        <v>68</v>
      </c>
      <c r="F16" s="43">
        <v>46098</v>
      </c>
      <c r="G16" s="35" t="s">
        <v>69</v>
      </c>
      <c r="H16" s="43">
        <v>46099</v>
      </c>
      <c r="I16" s="116">
        <f t="shared" si="0"/>
        <v>7</v>
      </c>
      <c r="J16" s="32" t="s">
        <v>70</v>
      </c>
      <c r="K16" s="33">
        <v>46106</v>
      </c>
      <c r="L16" s="35" t="s">
        <v>70</v>
      </c>
      <c r="M16" s="33">
        <v>46106</v>
      </c>
      <c r="N16" s="74">
        <f t="shared" ca="1" si="1"/>
        <v>0</v>
      </c>
      <c r="O16" s="107" t="s">
        <v>2</v>
      </c>
      <c r="P16" s="22"/>
    </row>
    <row r="17" spans="1:17" s="6" customFormat="1" ht="51.6" customHeight="1" x14ac:dyDescent="0.3">
      <c r="A17" s="144" t="s">
        <v>71</v>
      </c>
      <c r="B17" s="125" t="s">
        <v>72</v>
      </c>
      <c r="C17" s="125">
        <v>0</v>
      </c>
      <c r="D17" s="135" t="s">
        <v>71</v>
      </c>
      <c r="E17" s="125" t="s">
        <v>73</v>
      </c>
      <c r="F17" s="43">
        <v>46098</v>
      </c>
      <c r="G17" s="35" t="s">
        <v>74</v>
      </c>
      <c r="H17" s="43">
        <v>46099</v>
      </c>
      <c r="I17" s="167">
        <v>7</v>
      </c>
      <c r="J17" s="135" t="s">
        <v>75</v>
      </c>
      <c r="K17" s="123">
        <v>46106</v>
      </c>
      <c r="L17" s="128" t="s">
        <v>75</v>
      </c>
      <c r="M17" s="142">
        <v>46106</v>
      </c>
      <c r="N17" s="74">
        <f t="shared" ca="1" si="1"/>
        <v>0</v>
      </c>
      <c r="O17" s="131" t="s">
        <v>2</v>
      </c>
      <c r="P17" s="140"/>
    </row>
    <row r="18" spans="1:17" s="6" customFormat="1" ht="51.6" customHeight="1" x14ac:dyDescent="0.3">
      <c r="A18" s="145"/>
      <c r="B18" s="127"/>
      <c r="C18" s="127"/>
      <c r="D18" s="136"/>
      <c r="E18" s="127"/>
      <c r="F18" s="43"/>
      <c r="G18" s="35" t="s">
        <v>76</v>
      </c>
      <c r="H18" s="42">
        <v>46099</v>
      </c>
      <c r="I18" s="168"/>
      <c r="J18" s="136"/>
      <c r="K18" s="124"/>
      <c r="L18" s="130"/>
      <c r="M18" s="143"/>
      <c r="N18" s="74">
        <f t="shared" ca="1" si="1"/>
        <v>46299</v>
      </c>
      <c r="O18" s="132"/>
      <c r="P18" s="141"/>
    </row>
    <row r="19" spans="1:17" ht="51.6" customHeight="1" x14ac:dyDescent="0.3">
      <c r="A19" s="47" t="s">
        <v>77</v>
      </c>
      <c r="B19" s="31" t="s">
        <v>78</v>
      </c>
      <c r="C19" s="31">
        <v>1</v>
      </c>
      <c r="D19" s="32" t="s">
        <v>77</v>
      </c>
      <c r="E19" s="31" t="s">
        <v>79</v>
      </c>
      <c r="F19" s="43">
        <v>46129</v>
      </c>
      <c r="G19" s="35" t="s">
        <v>80</v>
      </c>
      <c r="H19" s="43">
        <v>46131</v>
      </c>
      <c r="I19" s="116">
        <f t="shared" si="0"/>
        <v>4</v>
      </c>
      <c r="J19" s="32" t="s">
        <v>81</v>
      </c>
      <c r="K19" s="33">
        <v>46135</v>
      </c>
      <c r="L19" s="35" t="s">
        <v>82</v>
      </c>
      <c r="M19" s="33">
        <v>46135</v>
      </c>
      <c r="N19" s="74">
        <f ca="1">IF(AND(M19="",TODAY()-F19&gt;7),TODAY()-F19-7,0)</f>
        <v>0</v>
      </c>
      <c r="O19" s="107" t="s">
        <v>2</v>
      </c>
      <c r="P19" s="22"/>
    </row>
    <row r="20" spans="1:17" ht="51.6" customHeight="1" x14ac:dyDescent="0.3">
      <c r="A20" s="98" t="s">
        <v>83</v>
      </c>
      <c r="B20" s="31" t="s">
        <v>84</v>
      </c>
      <c r="C20" s="31">
        <v>0</v>
      </c>
      <c r="D20" s="32" t="s">
        <v>83</v>
      </c>
      <c r="E20" s="31" t="s">
        <v>85</v>
      </c>
      <c r="F20" s="43">
        <v>46098</v>
      </c>
      <c r="G20" s="35" t="s">
        <v>86</v>
      </c>
      <c r="H20" s="43">
        <v>46099</v>
      </c>
      <c r="I20" s="116">
        <f t="shared" si="0"/>
        <v>0</v>
      </c>
      <c r="J20" s="32" t="s">
        <v>87</v>
      </c>
      <c r="K20" s="33">
        <v>46099</v>
      </c>
      <c r="L20" s="35" t="s">
        <v>88</v>
      </c>
      <c r="M20" s="33">
        <v>46105</v>
      </c>
      <c r="N20" s="74">
        <f t="shared" ref="N20:N83" ca="1" si="2">IF(AND(M20="",TODAY()-F20&gt;7),TODAY()-F20-7,0)</f>
        <v>0</v>
      </c>
      <c r="O20" s="107" t="s">
        <v>2</v>
      </c>
      <c r="P20" s="22"/>
    </row>
    <row r="21" spans="1:17" ht="51.6" customHeight="1" x14ac:dyDescent="0.3">
      <c r="A21" s="47" t="s">
        <v>89</v>
      </c>
      <c r="B21" s="31" t="s">
        <v>90</v>
      </c>
      <c r="C21" s="31">
        <v>1</v>
      </c>
      <c r="D21" s="32" t="s">
        <v>89</v>
      </c>
      <c r="E21" s="31" t="s">
        <v>91</v>
      </c>
      <c r="F21" s="43">
        <v>46125</v>
      </c>
      <c r="G21" s="35" t="s">
        <v>92</v>
      </c>
      <c r="H21" s="43">
        <v>46125</v>
      </c>
      <c r="I21" s="116">
        <f t="shared" si="0"/>
        <v>3</v>
      </c>
      <c r="J21" s="32" t="s">
        <v>93</v>
      </c>
      <c r="K21" s="43">
        <v>46128</v>
      </c>
      <c r="L21" s="35" t="s">
        <v>94</v>
      </c>
      <c r="M21" s="33">
        <v>46128</v>
      </c>
      <c r="N21" s="74">
        <f t="shared" ca="1" si="2"/>
        <v>0</v>
      </c>
      <c r="O21" s="107" t="s">
        <v>2</v>
      </c>
      <c r="P21" s="22"/>
    </row>
    <row r="22" spans="1:17" ht="51.6" customHeight="1" x14ac:dyDescent="0.3">
      <c r="A22" s="147" t="s">
        <v>95</v>
      </c>
      <c r="B22" s="125" t="s">
        <v>96</v>
      </c>
      <c r="C22" s="125">
        <v>0</v>
      </c>
      <c r="D22" s="135" t="s">
        <v>95</v>
      </c>
      <c r="E22" s="125" t="s">
        <v>97</v>
      </c>
      <c r="F22" s="43">
        <v>46098</v>
      </c>
      <c r="G22" s="128" t="s">
        <v>98</v>
      </c>
      <c r="H22" s="123">
        <v>46099</v>
      </c>
      <c r="I22" s="116">
        <f t="shared" si="0"/>
        <v>27</v>
      </c>
      <c r="J22" s="135" t="s">
        <v>99</v>
      </c>
      <c r="K22" s="123">
        <v>46126</v>
      </c>
      <c r="L22" s="35" t="s">
        <v>100</v>
      </c>
      <c r="M22" s="33">
        <v>46126</v>
      </c>
      <c r="N22" s="74">
        <f t="shared" ca="1" si="2"/>
        <v>0</v>
      </c>
      <c r="O22" s="131" t="s">
        <v>2</v>
      </c>
      <c r="P22" s="140"/>
    </row>
    <row r="23" spans="1:17" ht="51.6" customHeight="1" x14ac:dyDescent="0.3">
      <c r="A23" s="148"/>
      <c r="B23" s="126"/>
      <c r="C23" s="126"/>
      <c r="D23" s="136"/>
      <c r="E23" s="127"/>
      <c r="F23" s="43"/>
      <c r="G23" s="130"/>
      <c r="H23" s="124"/>
      <c r="I23" s="116">
        <f t="shared" si="0"/>
        <v>0</v>
      </c>
      <c r="J23" s="136"/>
      <c r="K23" s="124"/>
      <c r="L23" s="35" t="s">
        <v>101</v>
      </c>
      <c r="M23" s="33">
        <v>46126</v>
      </c>
      <c r="N23" s="74">
        <f t="shared" ca="1" si="2"/>
        <v>0</v>
      </c>
      <c r="O23" s="132"/>
      <c r="P23" s="141"/>
    </row>
    <row r="24" spans="1:17" ht="51.6" customHeight="1" x14ac:dyDescent="0.3">
      <c r="A24" s="47" t="s">
        <v>102</v>
      </c>
      <c r="B24" s="127"/>
      <c r="C24" s="127"/>
      <c r="D24" s="32" t="s">
        <v>102</v>
      </c>
      <c r="E24" s="31" t="s">
        <v>103</v>
      </c>
      <c r="F24" s="43">
        <v>46098</v>
      </c>
      <c r="G24" s="35" t="s">
        <v>102</v>
      </c>
      <c r="H24" s="43">
        <v>46098</v>
      </c>
      <c r="I24" s="116">
        <f t="shared" si="0"/>
        <v>28</v>
      </c>
      <c r="J24" s="32" t="s">
        <v>99</v>
      </c>
      <c r="K24" s="33">
        <v>46126</v>
      </c>
      <c r="L24" s="35" t="s">
        <v>101</v>
      </c>
      <c r="M24" s="33">
        <v>46126</v>
      </c>
      <c r="N24" s="74">
        <f t="shared" ca="1" si="2"/>
        <v>0</v>
      </c>
      <c r="O24" s="107" t="s">
        <v>2</v>
      </c>
      <c r="P24" s="24" t="s">
        <v>104</v>
      </c>
      <c r="Q24" s="17"/>
    </row>
    <row r="25" spans="1:17" ht="51.6" customHeight="1" x14ac:dyDescent="0.3">
      <c r="A25" s="144" t="s">
        <v>105</v>
      </c>
      <c r="B25" s="125" t="s">
        <v>106</v>
      </c>
      <c r="C25" s="125">
        <v>0</v>
      </c>
      <c r="D25" s="135" t="s">
        <v>105</v>
      </c>
      <c r="E25" s="125" t="s">
        <v>107</v>
      </c>
      <c r="F25" s="43">
        <v>46098</v>
      </c>
      <c r="G25" s="128" t="s">
        <v>108</v>
      </c>
      <c r="H25" s="123">
        <v>46099</v>
      </c>
      <c r="I25" s="116">
        <f t="shared" si="0"/>
        <v>8</v>
      </c>
      <c r="J25" s="135" t="s">
        <v>109</v>
      </c>
      <c r="K25" s="123">
        <v>46107</v>
      </c>
      <c r="L25" s="35" t="s">
        <v>110</v>
      </c>
      <c r="M25" s="33">
        <v>46110</v>
      </c>
      <c r="N25" s="74">
        <f t="shared" ca="1" si="2"/>
        <v>0</v>
      </c>
      <c r="O25" s="131" t="s">
        <v>2</v>
      </c>
      <c r="P25" s="22"/>
    </row>
    <row r="26" spans="1:17" ht="51.6" customHeight="1" x14ac:dyDescent="0.3">
      <c r="A26" s="146"/>
      <c r="B26" s="126"/>
      <c r="C26" s="126"/>
      <c r="D26" s="138"/>
      <c r="E26" s="126"/>
      <c r="F26" s="43"/>
      <c r="G26" s="129"/>
      <c r="H26" s="137"/>
      <c r="I26" s="116">
        <f t="shared" si="0"/>
        <v>0</v>
      </c>
      <c r="J26" s="138"/>
      <c r="K26" s="137"/>
      <c r="L26" s="35" t="s">
        <v>111</v>
      </c>
      <c r="M26" s="33">
        <v>46111</v>
      </c>
      <c r="N26" s="74">
        <f t="shared" ca="1" si="2"/>
        <v>0</v>
      </c>
      <c r="O26" s="139"/>
      <c r="P26" s="22"/>
    </row>
    <row r="27" spans="1:17" ht="51.6" customHeight="1" x14ac:dyDescent="0.3">
      <c r="A27" s="145"/>
      <c r="B27" s="127"/>
      <c r="C27" s="127"/>
      <c r="D27" s="136"/>
      <c r="E27" s="127"/>
      <c r="F27" s="43"/>
      <c r="G27" s="130"/>
      <c r="H27" s="124"/>
      <c r="I27" s="116">
        <f t="shared" si="0"/>
        <v>0</v>
      </c>
      <c r="J27" s="136"/>
      <c r="K27" s="124"/>
      <c r="L27" s="35" t="s">
        <v>112</v>
      </c>
      <c r="M27" s="33">
        <v>46111</v>
      </c>
      <c r="N27" s="74">
        <f t="shared" ca="1" si="2"/>
        <v>0</v>
      </c>
      <c r="O27" s="132"/>
      <c r="P27" s="22"/>
    </row>
    <row r="28" spans="1:17" ht="51.6" customHeight="1" x14ac:dyDescent="0.3">
      <c r="A28" s="47"/>
      <c r="B28" s="19" t="s">
        <v>113</v>
      </c>
      <c r="C28" s="31">
        <v>0</v>
      </c>
      <c r="D28" s="36" t="s">
        <v>114</v>
      </c>
      <c r="E28" s="19" t="s">
        <v>115</v>
      </c>
      <c r="F28" s="43">
        <v>46135</v>
      </c>
      <c r="G28" s="40" t="s">
        <v>116</v>
      </c>
      <c r="H28" s="39">
        <v>46135</v>
      </c>
      <c r="I28" s="116">
        <f t="shared" si="0"/>
        <v>1</v>
      </c>
      <c r="J28" s="36" t="s">
        <v>117</v>
      </c>
      <c r="K28" s="33">
        <v>46136</v>
      </c>
      <c r="L28" s="40" t="s">
        <v>118</v>
      </c>
      <c r="M28" s="33">
        <v>46138</v>
      </c>
      <c r="N28" s="74">
        <f t="shared" ca="1" si="2"/>
        <v>0</v>
      </c>
      <c r="O28" s="107" t="s">
        <v>2</v>
      </c>
      <c r="P28" s="23"/>
    </row>
    <row r="29" spans="1:17" ht="51.6" customHeight="1" x14ac:dyDescent="0.3">
      <c r="A29" s="47" t="s">
        <v>119</v>
      </c>
      <c r="B29" s="31" t="s">
        <v>120</v>
      </c>
      <c r="C29" s="31">
        <v>1</v>
      </c>
      <c r="D29" s="32" t="s">
        <v>119</v>
      </c>
      <c r="E29" s="31" t="s">
        <v>121</v>
      </c>
      <c r="F29" s="43">
        <v>46131</v>
      </c>
      <c r="G29" s="35" t="s">
        <v>122</v>
      </c>
      <c r="H29" s="43">
        <v>46131</v>
      </c>
      <c r="I29" s="116">
        <f t="shared" si="0"/>
        <v>4</v>
      </c>
      <c r="J29" s="32" t="s">
        <v>123</v>
      </c>
      <c r="K29" s="33">
        <v>46135</v>
      </c>
      <c r="L29" s="35" t="s">
        <v>124</v>
      </c>
      <c r="M29" s="33">
        <v>46135</v>
      </c>
      <c r="N29" s="74">
        <f t="shared" ca="1" si="2"/>
        <v>0</v>
      </c>
      <c r="O29" s="107" t="s">
        <v>2</v>
      </c>
      <c r="P29" s="22"/>
    </row>
    <row r="30" spans="1:17" s="6" customFormat="1" ht="51.6" customHeight="1" x14ac:dyDescent="0.3">
      <c r="A30" s="98" t="s">
        <v>125</v>
      </c>
      <c r="B30" s="31" t="s">
        <v>126</v>
      </c>
      <c r="C30" s="31">
        <v>0</v>
      </c>
      <c r="D30" s="32" t="s">
        <v>125</v>
      </c>
      <c r="E30" s="31" t="s">
        <v>127</v>
      </c>
      <c r="F30" s="43">
        <v>46099</v>
      </c>
      <c r="G30" s="35" t="s">
        <v>128</v>
      </c>
      <c r="H30" s="43">
        <v>46099</v>
      </c>
      <c r="I30" s="116">
        <f t="shared" si="0"/>
        <v>7</v>
      </c>
      <c r="J30" s="32" t="s">
        <v>129</v>
      </c>
      <c r="K30" s="33">
        <v>46106</v>
      </c>
      <c r="L30" s="35" t="s">
        <v>129</v>
      </c>
      <c r="M30" s="33">
        <v>46106</v>
      </c>
      <c r="N30" s="74">
        <f t="shared" ca="1" si="2"/>
        <v>0</v>
      </c>
      <c r="O30" s="107" t="s">
        <v>2</v>
      </c>
      <c r="P30" s="22"/>
    </row>
    <row r="31" spans="1:17" s="6" customFormat="1" ht="51.6" customHeight="1" x14ac:dyDescent="0.3">
      <c r="A31" s="98"/>
      <c r="B31" s="31" t="s">
        <v>130</v>
      </c>
      <c r="C31" s="31">
        <v>2</v>
      </c>
      <c r="D31" s="32" t="s">
        <v>131</v>
      </c>
      <c r="E31" s="31" t="s">
        <v>132</v>
      </c>
      <c r="F31" s="43">
        <v>46150</v>
      </c>
      <c r="G31" s="35" t="s">
        <v>133</v>
      </c>
      <c r="H31" s="43">
        <v>46152</v>
      </c>
      <c r="I31" s="116">
        <f t="shared" si="0"/>
        <v>1</v>
      </c>
      <c r="J31" s="32" t="s">
        <v>134</v>
      </c>
      <c r="K31" s="33">
        <v>46153</v>
      </c>
      <c r="L31" s="35" t="s">
        <v>135</v>
      </c>
      <c r="M31" s="33">
        <v>46153</v>
      </c>
      <c r="N31" s="74">
        <f t="shared" ca="1" si="2"/>
        <v>0</v>
      </c>
      <c r="O31" s="107" t="s">
        <v>2</v>
      </c>
      <c r="P31" s="22"/>
    </row>
    <row r="32" spans="1:17" ht="51.6" customHeight="1" x14ac:dyDescent="0.3">
      <c r="A32" s="98" t="s">
        <v>136</v>
      </c>
      <c r="B32" s="31" t="s">
        <v>137</v>
      </c>
      <c r="C32" s="31">
        <v>0</v>
      </c>
      <c r="D32" s="32" t="s">
        <v>136</v>
      </c>
      <c r="E32" s="31" t="s">
        <v>138</v>
      </c>
      <c r="F32" s="43">
        <v>46111</v>
      </c>
      <c r="G32" s="35" t="s">
        <v>139</v>
      </c>
      <c r="H32" s="43">
        <v>46112</v>
      </c>
      <c r="I32" s="116">
        <f t="shared" si="0"/>
        <v>0</v>
      </c>
      <c r="J32" s="32" t="s">
        <v>140</v>
      </c>
      <c r="K32" s="33">
        <v>46112</v>
      </c>
      <c r="L32" s="35" t="s">
        <v>141</v>
      </c>
      <c r="M32" s="33">
        <v>46112</v>
      </c>
      <c r="N32" s="74">
        <f t="shared" ca="1" si="2"/>
        <v>0</v>
      </c>
      <c r="O32" s="107" t="s">
        <v>2</v>
      </c>
      <c r="P32" s="22"/>
    </row>
    <row r="33" spans="1:16" s="6" customFormat="1" ht="51.6" customHeight="1" x14ac:dyDescent="0.3">
      <c r="A33" s="144" t="s">
        <v>142</v>
      </c>
      <c r="B33" s="125" t="s">
        <v>143</v>
      </c>
      <c r="C33" s="125">
        <v>0</v>
      </c>
      <c r="D33" s="135" t="s">
        <v>142</v>
      </c>
      <c r="E33" s="125" t="s">
        <v>144</v>
      </c>
      <c r="F33" s="43">
        <v>46111</v>
      </c>
      <c r="G33" s="128" t="s">
        <v>145</v>
      </c>
      <c r="H33" s="123">
        <v>46112</v>
      </c>
      <c r="I33" s="116">
        <f t="shared" si="0"/>
        <v>0</v>
      </c>
      <c r="J33" s="135" t="s">
        <v>146</v>
      </c>
      <c r="K33" s="123">
        <v>46112</v>
      </c>
      <c r="L33" s="35" t="s">
        <v>147</v>
      </c>
      <c r="M33" s="33">
        <v>46112</v>
      </c>
      <c r="N33" s="74">
        <f t="shared" ca="1" si="2"/>
        <v>0</v>
      </c>
      <c r="O33" s="131" t="s">
        <v>2</v>
      </c>
      <c r="P33" s="22"/>
    </row>
    <row r="34" spans="1:16" s="6" customFormat="1" ht="51.6" customHeight="1" x14ac:dyDescent="0.3">
      <c r="A34" s="145"/>
      <c r="B34" s="127"/>
      <c r="C34" s="127"/>
      <c r="D34" s="136"/>
      <c r="E34" s="127"/>
      <c r="F34" s="43"/>
      <c r="G34" s="130"/>
      <c r="H34" s="124"/>
      <c r="I34" s="116">
        <f t="shared" si="0"/>
        <v>0</v>
      </c>
      <c r="J34" s="136"/>
      <c r="K34" s="124"/>
      <c r="L34" s="35" t="s">
        <v>148</v>
      </c>
      <c r="M34" s="33">
        <v>46114</v>
      </c>
      <c r="N34" s="74">
        <f t="shared" ca="1" si="2"/>
        <v>0</v>
      </c>
      <c r="O34" s="132"/>
      <c r="P34" s="22"/>
    </row>
    <row r="35" spans="1:16" ht="51.6" customHeight="1" x14ac:dyDescent="0.3">
      <c r="A35" s="144" t="s">
        <v>149</v>
      </c>
      <c r="B35" s="125" t="s">
        <v>150</v>
      </c>
      <c r="C35" s="125">
        <v>0</v>
      </c>
      <c r="D35" s="135" t="s">
        <v>149</v>
      </c>
      <c r="E35" s="125" t="s">
        <v>151</v>
      </c>
      <c r="F35" s="43">
        <v>46111</v>
      </c>
      <c r="G35" s="128" t="s">
        <v>152</v>
      </c>
      <c r="H35" s="123">
        <v>46112</v>
      </c>
      <c r="I35" s="116">
        <f t="shared" si="0"/>
        <v>0</v>
      </c>
      <c r="J35" s="135" t="s">
        <v>153</v>
      </c>
      <c r="K35" s="123">
        <v>46112</v>
      </c>
      <c r="L35" s="35" t="s">
        <v>154</v>
      </c>
      <c r="M35" s="33">
        <v>46112</v>
      </c>
      <c r="N35" s="74">
        <f t="shared" ca="1" si="2"/>
        <v>0</v>
      </c>
      <c r="O35" s="131" t="s">
        <v>2</v>
      </c>
      <c r="P35" s="22"/>
    </row>
    <row r="36" spans="1:16" ht="51.6" customHeight="1" x14ac:dyDescent="0.3">
      <c r="A36" s="145"/>
      <c r="B36" s="127"/>
      <c r="C36" s="127"/>
      <c r="D36" s="136"/>
      <c r="E36" s="127"/>
      <c r="F36" s="43"/>
      <c r="G36" s="130"/>
      <c r="H36" s="124"/>
      <c r="I36" s="116">
        <f t="shared" si="0"/>
        <v>0</v>
      </c>
      <c r="J36" s="136"/>
      <c r="K36" s="124"/>
      <c r="L36" s="35" t="s">
        <v>155</v>
      </c>
      <c r="M36" s="33">
        <v>46114</v>
      </c>
      <c r="N36" s="74">
        <f t="shared" ca="1" si="2"/>
        <v>0</v>
      </c>
      <c r="O36" s="132"/>
      <c r="P36" s="22"/>
    </row>
    <row r="37" spans="1:16" ht="51.6" customHeight="1" x14ac:dyDescent="0.3">
      <c r="A37" s="47" t="s">
        <v>156</v>
      </c>
      <c r="B37" s="31" t="s">
        <v>157</v>
      </c>
      <c r="C37" s="31">
        <v>0</v>
      </c>
      <c r="D37" s="32" t="s">
        <v>156</v>
      </c>
      <c r="E37" s="31" t="s">
        <v>158</v>
      </c>
      <c r="F37" s="43">
        <v>46111</v>
      </c>
      <c r="G37" s="35" t="s">
        <v>159</v>
      </c>
      <c r="H37" s="43">
        <v>46112</v>
      </c>
      <c r="I37" s="116">
        <f t="shared" si="0"/>
        <v>0</v>
      </c>
      <c r="J37" s="32" t="s">
        <v>160</v>
      </c>
      <c r="K37" s="33">
        <v>46112</v>
      </c>
      <c r="L37" s="35" t="s">
        <v>161</v>
      </c>
      <c r="M37" s="33">
        <v>46112</v>
      </c>
      <c r="N37" s="74">
        <f t="shared" ca="1" si="2"/>
        <v>0</v>
      </c>
      <c r="O37" s="107" t="s">
        <v>2</v>
      </c>
      <c r="P37" s="22"/>
    </row>
    <row r="38" spans="1:16" ht="51.6" customHeight="1" x14ac:dyDescent="0.3">
      <c r="A38" s="47" t="s">
        <v>162</v>
      </c>
      <c r="B38" s="31" t="s">
        <v>163</v>
      </c>
      <c r="C38" s="31">
        <v>1</v>
      </c>
      <c r="D38" s="32" t="s">
        <v>162</v>
      </c>
      <c r="E38" s="31" t="s">
        <v>164</v>
      </c>
      <c r="F38" s="43">
        <v>46131</v>
      </c>
      <c r="G38" s="35" t="s">
        <v>165</v>
      </c>
      <c r="H38" s="43">
        <v>46131</v>
      </c>
      <c r="I38" s="116">
        <f t="shared" si="0"/>
        <v>4</v>
      </c>
      <c r="J38" s="32" t="s">
        <v>166</v>
      </c>
      <c r="K38" s="33">
        <v>46135</v>
      </c>
      <c r="L38" s="35" t="s">
        <v>167</v>
      </c>
      <c r="M38" s="33">
        <v>46135</v>
      </c>
      <c r="N38" s="74">
        <f t="shared" ca="1" si="2"/>
        <v>0</v>
      </c>
      <c r="O38" s="107" t="s">
        <v>2</v>
      </c>
      <c r="P38" s="22"/>
    </row>
    <row r="39" spans="1:16" ht="51.6" customHeight="1" x14ac:dyDescent="0.3">
      <c r="A39" s="47" t="s">
        <v>168</v>
      </c>
      <c r="B39" s="31" t="s">
        <v>169</v>
      </c>
      <c r="C39" s="31">
        <v>0</v>
      </c>
      <c r="D39" s="32" t="s">
        <v>168</v>
      </c>
      <c r="E39" s="31" t="s">
        <v>170</v>
      </c>
      <c r="F39" s="43">
        <v>46111</v>
      </c>
      <c r="G39" s="35" t="s">
        <v>171</v>
      </c>
      <c r="H39" s="43">
        <v>46112</v>
      </c>
      <c r="I39" s="116">
        <f t="shared" si="0"/>
        <v>0</v>
      </c>
      <c r="J39" s="32" t="s">
        <v>172</v>
      </c>
      <c r="K39" s="33">
        <v>46112</v>
      </c>
      <c r="L39" s="35" t="s">
        <v>173</v>
      </c>
      <c r="M39" s="33">
        <v>46112</v>
      </c>
      <c r="N39" s="74">
        <f t="shared" ca="1" si="2"/>
        <v>0</v>
      </c>
      <c r="O39" s="107" t="s">
        <v>2</v>
      </c>
      <c r="P39" s="22"/>
    </row>
    <row r="40" spans="1:16" ht="51.6" customHeight="1" x14ac:dyDescent="0.3">
      <c r="A40" s="47" t="s">
        <v>174</v>
      </c>
      <c r="B40" s="31" t="s">
        <v>175</v>
      </c>
      <c r="C40" s="31">
        <v>0</v>
      </c>
      <c r="D40" s="32" t="s">
        <v>174</v>
      </c>
      <c r="E40" s="31" t="s">
        <v>176</v>
      </c>
      <c r="F40" s="43">
        <v>46111</v>
      </c>
      <c r="G40" s="35" t="s">
        <v>177</v>
      </c>
      <c r="H40" s="43">
        <v>46112</v>
      </c>
      <c r="I40" s="116">
        <f t="shared" si="0"/>
        <v>6</v>
      </c>
      <c r="J40" s="32" t="s">
        <v>178</v>
      </c>
      <c r="K40" s="33">
        <v>46118</v>
      </c>
      <c r="L40" s="35" t="s">
        <v>179</v>
      </c>
      <c r="M40" s="33">
        <v>46118</v>
      </c>
      <c r="N40" s="74">
        <f t="shared" ca="1" si="2"/>
        <v>0</v>
      </c>
      <c r="O40" s="107" t="s">
        <v>2</v>
      </c>
      <c r="P40" s="22"/>
    </row>
    <row r="41" spans="1:16" ht="51.6" customHeight="1" x14ac:dyDescent="0.3">
      <c r="A41" s="47" t="s">
        <v>180</v>
      </c>
      <c r="B41" s="31" t="s">
        <v>181</v>
      </c>
      <c r="C41" s="31">
        <v>0</v>
      </c>
      <c r="D41" s="32" t="s">
        <v>180</v>
      </c>
      <c r="E41" s="31" t="s">
        <v>182</v>
      </c>
      <c r="F41" s="43">
        <v>46111</v>
      </c>
      <c r="G41" s="35" t="s">
        <v>183</v>
      </c>
      <c r="H41" s="43">
        <v>46112</v>
      </c>
      <c r="I41" s="116">
        <f t="shared" si="0"/>
        <v>6</v>
      </c>
      <c r="J41" s="32" t="s">
        <v>184</v>
      </c>
      <c r="K41" s="43">
        <v>46118</v>
      </c>
      <c r="L41" s="35" t="s">
        <v>185</v>
      </c>
      <c r="M41" s="33">
        <v>46118</v>
      </c>
      <c r="N41" s="74">
        <f t="shared" ca="1" si="2"/>
        <v>0</v>
      </c>
      <c r="O41" s="107" t="s">
        <v>2</v>
      </c>
      <c r="P41" s="22"/>
    </row>
    <row r="42" spans="1:16" ht="51.6" customHeight="1" x14ac:dyDescent="0.3">
      <c r="A42" s="47" t="s">
        <v>186</v>
      </c>
      <c r="B42" s="31" t="s">
        <v>187</v>
      </c>
      <c r="C42" s="31">
        <v>0</v>
      </c>
      <c r="D42" s="32" t="s">
        <v>186</v>
      </c>
      <c r="E42" s="31" t="s">
        <v>188</v>
      </c>
      <c r="F42" s="43">
        <v>46111</v>
      </c>
      <c r="G42" s="35" t="s">
        <v>189</v>
      </c>
      <c r="H42" s="43">
        <v>46112</v>
      </c>
      <c r="I42" s="116">
        <f t="shared" si="0"/>
        <v>6</v>
      </c>
      <c r="J42" s="32" t="s">
        <v>190</v>
      </c>
      <c r="K42" s="33">
        <v>46118</v>
      </c>
      <c r="L42" s="35" t="s">
        <v>191</v>
      </c>
      <c r="M42" s="33">
        <v>46118</v>
      </c>
      <c r="N42" s="74">
        <f t="shared" ca="1" si="2"/>
        <v>0</v>
      </c>
      <c r="O42" s="107" t="s">
        <v>2</v>
      </c>
      <c r="P42" s="22"/>
    </row>
    <row r="43" spans="1:16" ht="51.6" customHeight="1" x14ac:dyDescent="0.3">
      <c r="A43" s="47"/>
      <c r="B43" s="19" t="s">
        <v>192</v>
      </c>
      <c r="C43" s="31">
        <v>0</v>
      </c>
      <c r="D43" s="36" t="s">
        <v>193</v>
      </c>
      <c r="E43" s="36" t="s">
        <v>194</v>
      </c>
      <c r="F43" s="43">
        <v>46135</v>
      </c>
      <c r="G43" s="40" t="s">
        <v>195</v>
      </c>
      <c r="H43" s="39">
        <v>46135</v>
      </c>
      <c r="I43" s="116">
        <f>K43-H43</f>
        <v>1</v>
      </c>
      <c r="J43" s="36" t="s">
        <v>196</v>
      </c>
      <c r="K43" s="39">
        <v>46136</v>
      </c>
      <c r="L43" s="40" t="s">
        <v>197</v>
      </c>
      <c r="M43" s="33">
        <v>46138</v>
      </c>
      <c r="N43" s="74">
        <f t="shared" ca="1" si="2"/>
        <v>0</v>
      </c>
      <c r="O43" s="107" t="s">
        <v>2</v>
      </c>
      <c r="P43" s="23"/>
    </row>
    <row r="44" spans="1:16" ht="51.6" customHeight="1" x14ac:dyDescent="0.3">
      <c r="A44" s="47" t="s">
        <v>198</v>
      </c>
      <c r="B44" s="31" t="s">
        <v>199</v>
      </c>
      <c r="C44" s="31">
        <v>0</v>
      </c>
      <c r="D44" s="32" t="s">
        <v>198</v>
      </c>
      <c r="E44" s="31" t="s">
        <v>200</v>
      </c>
      <c r="F44" s="43">
        <v>46111</v>
      </c>
      <c r="G44" s="35" t="s">
        <v>201</v>
      </c>
      <c r="H44" s="43">
        <v>46112</v>
      </c>
      <c r="I44" s="116">
        <f t="shared" si="0"/>
        <v>6</v>
      </c>
      <c r="J44" s="32" t="s">
        <v>202</v>
      </c>
      <c r="K44" s="33">
        <v>46118</v>
      </c>
      <c r="L44" s="35" t="s">
        <v>203</v>
      </c>
      <c r="M44" s="33">
        <v>46118</v>
      </c>
      <c r="N44" s="74">
        <f t="shared" ca="1" si="2"/>
        <v>0</v>
      </c>
      <c r="O44" s="107" t="s">
        <v>2</v>
      </c>
      <c r="P44" s="22"/>
    </row>
    <row r="45" spans="1:16" ht="51.6" customHeight="1" x14ac:dyDescent="0.3">
      <c r="A45" s="47" t="s">
        <v>204</v>
      </c>
      <c r="B45" s="31" t="s">
        <v>205</v>
      </c>
      <c r="C45" s="31">
        <v>0</v>
      </c>
      <c r="D45" s="32" t="s">
        <v>204</v>
      </c>
      <c r="E45" s="31" t="s">
        <v>206</v>
      </c>
      <c r="F45" s="43">
        <v>46111</v>
      </c>
      <c r="G45" s="35" t="s">
        <v>207</v>
      </c>
      <c r="H45" s="43">
        <v>46112</v>
      </c>
      <c r="I45" s="116">
        <f t="shared" si="0"/>
        <v>6</v>
      </c>
      <c r="J45" s="32" t="s">
        <v>208</v>
      </c>
      <c r="K45" s="33">
        <v>46118</v>
      </c>
      <c r="L45" s="35" t="s">
        <v>209</v>
      </c>
      <c r="M45" s="33">
        <v>46118</v>
      </c>
      <c r="N45" s="74">
        <f t="shared" ca="1" si="2"/>
        <v>0</v>
      </c>
      <c r="O45" s="107" t="s">
        <v>2</v>
      </c>
      <c r="P45" s="22"/>
    </row>
    <row r="46" spans="1:16" ht="51.6" customHeight="1" x14ac:dyDescent="0.3">
      <c r="A46" s="47" t="s">
        <v>210</v>
      </c>
      <c r="B46" s="31" t="s">
        <v>211</v>
      </c>
      <c r="C46" s="31">
        <v>0</v>
      </c>
      <c r="D46" s="32" t="s">
        <v>210</v>
      </c>
      <c r="E46" s="31" t="s">
        <v>212</v>
      </c>
      <c r="F46" s="43">
        <v>46111</v>
      </c>
      <c r="G46" s="35" t="s">
        <v>213</v>
      </c>
      <c r="H46" s="43">
        <v>46112</v>
      </c>
      <c r="I46" s="116">
        <f t="shared" si="0"/>
        <v>6</v>
      </c>
      <c r="J46" s="32" t="s">
        <v>214</v>
      </c>
      <c r="K46" s="43">
        <v>46118</v>
      </c>
      <c r="L46" s="35" t="s">
        <v>215</v>
      </c>
      <c r="M46" s="33">
        <v>46118</v>
      </c>
      <c r="N46" s="74">
        <f t="shared" ca="1" si="2"/>
        <v>0</v>
      </c>
      <c r="O46" s="107" t="s">
        <v>2</v>
      </c>
      <c r="P46" s="22"/>
    </row>
    <row r="47" spans="1:16" ht="51.6" customHeight="1" x14ac:dyDescent="0.3">
      <c r="A47" s="47" t="s">
        <v>216</v>
      </c>
      <c r="B47" s="31" t="s">
        <v>217</v>
      </c>
      <c r="C47" s="31">
        <v>0</v>
      </c>
      <c r="D47" s="32" t="s">
        <v>216</v>
      </c>
      <c r="E47" s="31" t="s">
        <v>218</v>
      </c>
      <c r="F47" s="43">
        <v>46111</v>
      </c>
      <c r="G47" s="35" t="s">
        <v>219</v>
      </c>
      <c r="H47" s="43">
        <v>46112</v>
      </c>
      <c r="I47" s="116">
        <f t="shared" si="0"/>
        <v>0</v>
      </c>
      <c r="J47" s="32" t="s">
        <v>220</v>
      </c>
      <c r="K47" s="33">
        <v>46112</v>
      </c>
      <c r="L47" s="35" t="s">
        <v>221</v>
      </c>
      <c r="M47" s="33">
        <v>46112</v>
      </c>
      <c r="N47" s="74">
        <f t="shared" ca="1" si="2"/>
        <v>0</v>
      </c>
      <c r="O47" s="107" t="s">
        <v>2</v>
      </c>
      <c r="P47" s="22"/>
    </row>
    <row r="48" spans="1:16" ht="51.6" customHeight="1" x14ac:dyDescent="0.3">
      <c r="A48" s="47" t="s">
        <v>222</v>
      </c>
      <c r="B48" s="31" t="s">
        <v>223</v>
      </c>
      <c r="C48" s="31">
        <v>0</v>
      </c>
      <c r="D48" s="32" t="s">
        <v>222</v>
      </c>
      <c r="E48" s="31" t="s">
        <v>224</v>
      </c>
      <c r="F48" s="43">
        <v>46111</v>
      </c>
      <c r="G48" s="35" t="s">
        <v>225</v>
      </c>
      <c r="H48" s="43">
        <v>46112</v>
      </c>
      <c r="I48" s="116">
        <f t="shared" si="0"/>
        <v>0</v>
      </c>
      <c r="J48" s="32" t="s">
        <v>226</v>
      </c>
      <c r="K48" s="33">
        <v>46112</v>
      </c>
      <c r="L48" s="35" t="s">
        <v>227</v>
      </c>
      <c r="M48" s="33">
        <v>46112</v>
      </c>
      <c r="N48" s="74">
        <f t="shared" ca="1" si="2"/>
        <v>0</v>
      </c>
      <c r="O48" s="107" t="s">
        <v>2</v>
      </c>
      <c r="P48" s="22"/>
    </row>
    <row r="49" spans="1:16" ht="51.6" customHeight="1" x14ac:dyDescent="0.3">
      <c r="A49" s="47" t="s">
        <v>228</v>
      </c>
      <c r="B49" s="31" t="s">
        <v>229</v>
      </c>
      <c r="C49" s="31">
        <v>0</v>
      </c>
      <c r="D49" s="32" t="s">
        <v>228</v>
      </c>
      <c r="E49" s="31" t="s">
        <v>230</v>
      </c>
      <c r="F49" s="43">
        <v>46111</v>
      </c>
      <c r="G49" s="35" t="s">
        <v>231</v>
      </c>
      <c r="H49" s="43">
        <v>46112</v>
      </c>
      <c r="I49" s="116">
        <f t="shared" si="0"/>
        <v>0</v>
      </c>
      <c r="J49" s="32" t="s">
        <v>232</v>
      </c>
      <c r="K49" s="43">
        <v>46112</v>
      </c>
      <c r="L49" s="35" t="s">
        <v>233</v>
      </c>
      <c r="M49" s="33">
        <v>46112</v>
      </c>
      <c r="N49" s="74">
        <f t="shared" ca="1" si="2"/>
        <v>0</v>
      </c>
      <c r="O49" s="107" t="s">
        <v>2</v>
      </c>
      <c r="P49" s="22"/>
    </row>
    <row r="50" spans="1:16" ht="51.6" customHeight="1" x14ac:dyDescent="0.3">
      <c r="A50" s="47" t="s">
        <v>234</v>
      </c>
      <c r="B50" s="31" t="s">
        <v>235</v>
      </c>
      <c r="C50" s="31">
        <v>1</v>
      </c>
      <c r="D50" s="32" t="s">
        <v>234</v>
      </c>
      <c r="E50" s="31" t="s">
        <v>236</v>
      </c>
      <c r="F50" s="43">
        <v>46131</v>
      </c>
      <c r="G50" s="35" t="s">
        <v>237</v>
      </c>
      <c r="H50" s="43">
        <v>46131</v>
      </c>
      <c r="I50" s="116">
        <f t="shared" si="0"/>
        <v>4</v>
      </c>
      <c r="J50" s="32" t="s">
        <v>238</v>
      </c>
      <c r="K50" s="33">
        <v>46135</v>
      </c>
      <c r="L50" s="35" t="s">
        <v>239</v>
      </c>
      <c r="M50" s="33">
        <v>46135</v>
      </c>
      <c r="N50" s="74">
        <f t="shared" ca="1" si="2"/>
        <v>0</v>
      </c>
      <c r="O50" s="107" t="s">
        <v>2</v>
      </c>
      <c r="P50" s="22"/>
    </row>
    <row r="51" spans="1:16" ht="51.6" customHeight="1" x14ac:dyDescent="0.3">
      <c r="A51" s="47" t="s">
        <v>240</v>
      </c>
      <c r="B51" s="31" t="s">
        <v>241</v>
      </c>
      <c r="C51" s="31">
        <v>0</v>
      </c>
      <c r="D51" s="32" t="s">
        <v>240</v>
      </c>
      <c r="E51" s="31" t="s">
        <v>242</v>
      </c>
      <c r="F51" s="43">
        <v>46111</v>
      </c>
      <c r="G51" s="35" t="s">
        <v>243</v>
      </c>
      <c r="H51" s="43">
        <v>46112</v>
      </c>
      <c r="I51" s="116">
        <f t="shared" si="0"/>
        <v>0</v>
      </c>
      <c r="J51" s="32" t="s">
        <v>244</v>
      </c>
      <c r="K51" s="33">
        <v>46112</v>
      </c>
      <c r="L51" s="35" t="s">
        <v>245</v>
      </c>
      <c r="M51" s="33">
        <v>46112</v>
      </c>
      <c r="N51" s="74">
        <f t="shared" ca="1" si="2"/>
        <v>0</v>
      </c>
      <c r="O51" s="107" t="s">
        <v>2</v>
      </c>
      <c r="P51" s="22"/>
    </row>
    <row r="52" spans="1:16" ht="51.6" customHeight="1" x14ac:dyDescent="0.3">
      <c r="A52" s="47" t="s">
        <v>246</v>
      </c>
      <c r="B52" s="31" t="s">
        <v>247</v>
      </c>
      <c r="C52" s="31">
        <v>0</v>
      </c>
      <c r="D52" s="32" t="s">
        <v>246</v>
      </c>
      <c r="E52" s="31" t="s">
        <v>248</v>
      </c>
      <c r="F52" s="43">
        <v>46112</v>
      </c>
      <c r="G52" s="35" t="s">
        <v>249</v>
      </c>
      <c r="H52" s="43">
        <v>46112</v>
      </c>
      <c r="I52" s="116">
        <f t="shared" si="0"/>
        <v>6</v>
      </c>
      <c r="J52" s="32" t="s">
        <v>250</v>
      </c>
      <c r="K52" s="33">
        <v>46118</v>
      </c>
      <c r="L52" s="35" t="s">
        <v>251</v>
      </c>
      <c r="M52" s="33">
        <v>46118</v>
      </c>
      <c r="N52" s="74">
        <f t="shared" ca="1" si="2"/>
        <v>0</v>
      </c>
      <c r="O52" s="107" t="s">
        <v>2</v>
      </c>
      <c r="P52" s="22"/>
    </row>
    <row r="53" spans="1:16" s="1" customFormat="1" ht="51.6" customHeight="1" x14ac:dyDescent="0.3">
      <c r="A53" s="47" t="s">
        <v>252</v>
      </c>
      <c r="B53" s="125" t="s">
        <v>253</v>
      </c>
      <c r="C53" s="125">
        <v>0</v>
      </c>
      <c r="D53" s="32" t="s">
        <v>252</v>
      </c>
      <c r="E53" s="31" t="s">
        <v>254</v>
      </c>
      <c r="F53" s="43">
        <v>46117</v>
      </c>
      <c r="G53" s="128" t="s">
        <v>255</v>
      </c>
      <c r="H53" s="39">
        <v>46117</v>
      </c>
      <c r="I53" s="116">
        <f t="shared" si="0"/>
        <v>1</v>
      </c>
      <c r="J53" s="135" t="s">
        <v>256</v>
      </c>
      <c r="K53" s="39">
        <v>46118</v>
      </c>
      <c r="L53" s="128" t="s">
        <v>257</v>
      </c>
      <c r="M53" s="38">
        <v>46118</v>
      </c>
      <c r="N53" s="74">
        <f t="shared" ca="1" si="2"/>
        <v>0</v>
      </c>
      <c r="O53" s="131" t="s">
        <v>2</v>
      </c>
      <c r="P53" s="22"/>
    </row>
    <row r="54" spans="1:16" s="1" customFormat="1" ht="51.6" customHeight="1" x14ac:dyDescent="0.3">
      <c r="A54" s="47" t="s">
        <v>258</v>
      </c>
      <c r="B54" s="127"/>
      <c r="C54" s="127"/>
      <c r="D54" s="32" t="s">
        <v>258</v>
      </c>
      <c r="E54" s="31" t="s">
        <v>259</v>
      </c>
      <c r="F54" s="43">
        <v>46117</v>
      </c>
      <c r="G54" s="130"/>
      <c r="H54" s="39">
        <v>46117</v>
      </c>
      <c r="I54" s="116">
        <f t="shared" si="0"/>
        <v>1</v>
      </c>
      <c r="J54" s="136"/>
      <c r="K54" s="39">
        <v>46118</v>
      </c>
      <c r="L54" s="130"/>
      <c r="M54" s="38">
        <v>46118</v>
      </c>
      <c r="N54" s="74">
        <f t="shared" ca="1" si="2"/>
        <v>0</v>
      </c>
      <c r="O54" s="132"/>
      <c r="P54" s="22"/>
    </row>
    <row r="55" spans="1:16" ht="51.6" customHeight="1" x14ac:dyDescent="0.3">
      <c r="A55" s="47" t="s">
        <v>260</v>
      </c>
      <c r="B55" s="125" t="s">
        <v>261</v>
      </c>
      <c r="C55" s="125">
        <v>0</v>
      </c>
      <c r="D55" s="32" t="s">
        <v>260</v>
      </c>
      <c r="E55" s="31" t="s">
        <v>262</v>
      </c>
      <c r="F55" s="123">
        <v>46117</v>
      </c>
      <c r="G55" s="133" t="s">
        <v>263</v>
      </c>
      <c r="H55" s="42">
        <v>46117</v>
      </c>
      <c r="I55" s="116">
        <f t="shared" si="0"/>
        <v>2</v>
      </c>
      <c r="J55" s="135" t="s">
        <v>264</v>
      </c>
      <c r="K55" s="39">
        <v>46119</v>
      </c>
      <c r="L55" s="128" t="s">
        <v>265</v>
      </c>
      <c r="M55" s="38">
        <v>46126</v>
      </c>
      <c r="N55" s="74">
        <f t="shared" ca="1" si="2"/>
        <v>0</v>
      </c>
      <c r="O55" s="131" t="s">
        <v>2</v>
      </c>
      <c r="P55" s="22"/>
    </row>
    <row r="56" spans="1:16" ht="51.6" customHeight="1" x14ac:dyDescent="0.3">
      <c r="A56" s="47" t="s">
        <v>266</v>
      </c>
      <c r="B56" s="127"/>
      <c r="C56" s="127"/>
      <c r="D56" s="32" t="s">
        <v>266</v>
      </c>
      <c r="E56" s="31" t="s">
        <v>267</v>
      </c>
      <c r="F56" s="124"/>
      <c r="G56" s="134"/>
      <c r="H56" s="42">
        <v>46117</v>
      </c>
      <c r="I56" s="116">
        <v>2</v>
      </c>
      <c r="J56" s="136"/>
      <c r="K56" s="39">
        <v>46119</v>
      </c>
      <c r="L56" s="130"/>
      <c r="M56" s="38">
        <v>46126</v>
      </c>
      <c r="N56" s="74">
        <f t="shared" ca="1" si="2"/>
        <v>0</v>
      </c>
      <c r="O56" s="132"/>
      <c r="P56" s="22"/>
    </row>
    <row r="57" spans="1:16" ht="51.6" customHeight="1" x14ac:dyDescent="0.3">
      <c r="A57" s="47" t="s">
        <v>268</v>
      </c>
      <c r="B57" s="31" t="s">
        <v>269</v>
      </c>
      <c r="C57" s="31">
        <v>0</v>
      </c>
      <c r="D57" s="32" t="s">
        <v>268</v>
      </c>
      <c r="E57" s="31" t="s">
        <v>270</v>
      </c>
      <c r="F57" s="43">
        <v>46117</v>
      </c>
      <c r="G57" s="35" t="s">
        <v>271</v>
      </c>
      <c r="H57" s="43">
        <v>46117</v>
      </c>
      <c r="I57" s="116">
        <f t="shared" si="0"/>
        <v>1</v>
      </c>
      <c r="J57" s="32" t="s">
        <v>272</v>
      </c>
      <c r="K57" s="33">
        <v>46118</v>
      </c>
      <c r="L57" s="35" t="s">
        <v>273</v>
      </c>
      <c r="M57" s="33">
        <v>46118</v>
      </c>
      <c r="N57" s="74">
        <f t="shared" ca="1" si="2"/>
        <v>0</v>
      </c>
      <c r="O57" s="107" t="s">
        <v>2</v>
      </c>
      <c r="P57" s="22"/>
    </row>
    <row r="58" spans="1:16" ht="51.6" customHeight="1" x14ac:dyDescent="0.3">
      <c r="A58" s="47" t="s">
        <v>274</v>
      </c>
      <c r="B58" s="31" t="s">
        <v>275</v>
      </c>
      <c r="C58" s="31">
        <v>0</v>
      </c>
      <c r="D58" s="32" t="s">
        <v>274</v>
      </c>
      <c r="E58" s="31" t="s">
        <v>276</v>
      </c>
      <c r="F58" s="43">
        <v>46117</v>
      </c>
      <c r="G58" s="35" t="s">
        <v>277</v>
      </c>
      <c r="H58" s="43">
        <v>46117</v>
      </c>
      <c r="I58" s="116">
        <f t="shared" si="0"/>
        <v>1</v>
      </c>
      <c r="J58" s="32" t="s">
        <v>278</v>
      </c>
      <c r="K58" s="33">
        <v>46118</v>
      </c>
      <c r="L58" s="35" t="s">
        <v>279</v>
      </c>
      <c r="M58" s="33">
        <v>46118</v>
      </c>
      <c r="N58" s="74">
        <f t="shared" ca="1" si="2"/>
        <v>0</v>
      </c>
      <c r="O58" s="107" t="s">
        <v>2</v>
      </c>
      <c r="P58" s="22"/>
    </row>
    <row r="59" spans="1:16" ht="51.6" customHeight="1" x14ac:dyDescent="0.3">
      <c r="A59" s="47" t="s">
        <v>280</v>
      </c>
      <c r="B59" s="31" t="s">
        <v>281</v>
      </c>
      <c r="C59" s="31">
        <v>0</v>
      </c>
      <c r="D59" s="32" t="s">
        <v>280</v>
      </c>
      <c r="E59" s="31" t="s">
        <v>282</v>
      </c>
      <c r="F59" s="43">
        <v>46119</v>
      </c>
      <c r="G59" s="35" t="s">
        <v>283</v>
      </c>
      <c r="H59" s="43">
        <v>46119</v>
      </c>
      <c r="I59" s="116">
        <f t="shared" si="0"/>
        <v>3</v>
      </c>
      <c r="J59" s="32" t="s">
        <v>284</v>
      </c>
      <c r="K59" s="33">
        <v>46122</v>
      </c>
      <c r="L59" s="35" t="s">
        <v>285</v>
      </c>
      <c r="M59" s="33">
        <v>46124</v>
      </c>
      <c r="N59" s="74">
        <f t="shared" ca="1" si="2"/>
        <v>0</v>
      </c>
      <c r="O59" s="107" t="s">
        <v>2</v>
      </c>
      <c r="P59" s="22"/>
    </row>
    <row r="60" spans="1:16" ht="51.6" customHeight="1" x14ac:dyDescent="0.3">
      <c r="A60" s="47" t="s">
        <v>286</v>
      </c>
      <c r="B60" s="31" t="s">
        <v>287</v>
      </c>
      <c r="C60" s="31">
        <v>0</v>
      </c>
      <c r="D60" s="32" t="s">
        <v>286</v>
      </c>
      <c r="E60" s="31" t="s">
        <v>288</v>
      </c>
      <c r="F60" s="43">
        <v>46119</v>
      </c>
      <c r="G60" s="35" t="s">
        <v>289</v>
      </c>
      <c r="H60" s="43">
        <v>46120</v>
      </c>
      <c r="I60" s="116">
        <f t="shared" si="0"/>
        <v>2</v>
      </c>
      <c r="J60" s="32" t="s">
        <v>290</v>
      </c>
      <c r="K60" s="33">
        <v>46122</v>
      </c>
      <c r="L60" s="35" t="s">
        <v>291</v>
      </c>
      <c r="M60" s="33">
        <v>46124</v>
      </c>
      <c r="N60" s="74">
        <f t="shared" ca="1" si="2"/>
        <v>0</v>
      </c>
      <c r="O60" s="107" t="s">
        <v>2</v>
      </c>
      <c r="P60" s="22"/>
    </row>
    <row r="61" spans="1:16" ht="51.6" customHeight="1" x14ac:dyDescent="0.3">
      <c r="A61" s="47" t="s">
        <v>292</v>
      </c>
      <c r="B61" s="31" t="s">
        <v>293</v>
      </c>
      <c r="C61" s="31">
        <v>0</v>
      </c>
      <c r="D61" s="32" t="s">
        <v>292</v>
      </c>
      <c r="E61" s="31" t="s">
        <v>294</v>
      </c>
      <c r="F61" s="43">
        <v>46120</v>
      </c>
      <c r="G61" s="35" t="s">
        <v>295</v>
      </c>
      <c r="H61" s="43">
        <v>46120</v>
      </c>
      <c r="I61" s="116">
        <f t="shared" si="0"/>
        <v>5</v>
      </c>
      <c r="J61" s="32" t="s">
        <v>296</v>
      </c>
      <c r="K61" s="33">
        <v>46125</v>
      </c>
      <c r="L61" s="35" t="s">
        <v>297</v>
      </c>
      <c r="M61" s="33">
        <v>46126</v>
      </c>
      <c r="N61" s="74">
        <f t="shared" ca="1" si="2"/>
        <v>0</v>
      </c>
      <c r="O61" s="107" t="s">
        <v>2</v>
      </c>
      <c r="P61" s="22"/>
    </row>
    <row r="62" spans="1:16" ht="51.6" customHeight="1" x14ac:dyDescent="0.3">
      <c r="A62" s="47" t="s">
        <v>298</v>
      </c>
      <c r="B62" s="31" t="s">
        <v>299</v>
      </c>
      <c r="C62" s="31">
        <v>0</v>
      </c>
      <c r="D62" s="32" t="s">
        <v>298</v>
      </c>
      <c r="E62" s="31" t="s">
        <v>300</v>
      </c>
      <c r="F62" s="43">
        <v>46120</v>
      </c>
      <c r="G62" s="35" t="s">
        <v>301</v>
      </c>
      <c r="H62" s="43">
        <v>46120</v>
      </c>
      <c r="I62" s="116">
        <f t="shared" si="0"/>
        <v>5</v>
      </c>
      <c r="J62" s="32" t="s">
        <v>302</v>
      </c>
      <c r="K62" s="33">
        <v>46125</v>
      </c>
      <c r="L62" s="35" t="s">
        <v>303</v>
      </c>
      <c r="M62" s="33">
        <v>46126</v>
      </c>
      <c r="N62" s="74">
        <f t="shared" ca="1" si="2"/>
        <v>0</v>
      </c>
      <c r="O62" s="107" t="s">
        <v>2</v>
      </c>
      <c r="P62" s="22"/>
    </row>
    <row r="63" spans="1:16" ht="51.6" customHeight="1" x14ac:dyDescent="0.3">
      <c r="A63" s="47" t="s">
        <v>304</v>
      </c>
      <c r="B63" s="31" t="s">
        <v>305</v>
      </c>
      <c r="C63" s="31">
        <v>0</v>
      </c>
      <c r="D63" s="32" t="s">
        <v>304</v>
      </c>
      <c r="E63" s="31" t="s">
        <v>306</v>
      </c>
      <c r="F63" s="43">
        <v>46120</v>
      </c>
      <c r="G63" s="35" t="s">
        <v>307</v>
      </c>
      <c r="H63" s="43">
        <v>46120</v>
      </c>
      <c r="I63" s="116">
        <f t="shared" si="0"/>
        <v>5</v>
      </c>
      <c r="J63" s="32" t="s">
        <v>308</v>
      </c>
      <c r="K63" s="33">
        <v>46125</v>
      </c>
      <c r="L63" s="35" t="s">
        <v>309</v>
      </c>
      <c r="M63" s="33">
        <v>46126</v>
      </c>
      <c r="N63" s="74">
        <f t="shared" ca="1" si="2"/>
        <v>0</v>
      </c>
      <c r="O63" s="107" t="s">
        <v>2</v>
      </c>
      <c r="P63" s="22"/>
    </row>
    <row r="64" spans="1:16" ht="51.6" customHeight="1" x14ac:dyDescent="0.3">
      <c r="A64" s="47" t="s">
        <v>310</v>
      </c>
      <c r="B64" s="31" t="s">
        <v>311</v>
      </c>
      <c r="C64" s="31">
        <v>0</v>
      </c>
      <c r="D64" s="32" t="s">
        <v>310</v>
      </c>
      <c r="E64" s="31" t="s">
        <v>312</v>
      </c>
      <c r="F64" s="43">
        <v>46120</v>
      </c>
      <c r="G64" s="35" t="s">
        <v>313</v>
      </c>
      <c r="H64" s="43">
        <v>46120</v>
      </c>
      <c r="I64" s="116">
        <f t="shared" si="0"/>
        <v>5</v>
      </c>
      <c r="J64" s="32" t="s">
        <v>314</v>
      </c>
      <c r="K64" s="33">
        <v>46125</v>
      </c>
      <c r="L64" s="35" t="s">
        <v>315</v>
      </c>
      <c r="M64" s="33">
        <v>46126</v>
      </c>
      <c r="N64" s="74">
        <f t="shared" ca="1" si="2"/>
        <v>0</v>
      </c>
      <c r="O64" s="107" t="s">
        <v>2</v>
      </c>
      <c r="P64" s="22"/>
    </row>
    <row r="65" spans="1:16" ht="51.6" customHeight="1" x14ac:dyDescent="0.3">
      <c r="A65" s="47" t="s">
        <v>316</v>
      </c>
      <c r="B65" s="31" t="s">
        <v>317</v>
      </c>
      <c r="C65" s="31">
        <v>0</v>
      </c>
      <c r="D65" s="32" t="s">
        <v>316</v>
      </c>
      <c r="E65" s="31" t="s">
        <v>318</v>
      </c>
      <c r="F65" s="43">
        <v>46120</v>
      </c>
      <c r="G65" s="35" t="s">
        <v>319</v>
      </c>
      <c r="H65" s="43">
        <v>46120</v>
      </c>
      <c r="I65" s="116">
        <f t="shared" si="0"/>
        <v>5</v>
      </c>
      <c r="J65" s="32" t="s">
        <v>320</v>
      </c>
      <c r="K65" s="33">
        <v>46125</v>
      </c>
      <c r="L65" s="35" t="s">
        <v>321</v>
      </c>
      <c r="M65" s="33">
        <v>46126</v>
      </c>
      <c r="N65" s="74">
        <f t="shared" ca="1" si="2"/>
        <v>0</v>
      </c>
      <c r="O65" s="107" t="s">
        <v>2</v>
      </c>
      <c r="P65" s="22"/>
    </row>
    <row r="66" spans="1:16" ht="51.6" customHeight="1" x14ac:dyDescent="0.3">
      <c r="A66" s="47" t="s">
        <v>322</v>
      </c>
      <c r="B66" s="31" t="s">
        <v>323</v>
      </c>
      <c r="C66" s="31">
        <v>0</v>
      </c>
      <c r="D66" s="32" t="s">
        <v>322</v>
      </c>
      <c r="E66" s="31" t="s">
        <v>324</v>
      </c>
      <c r="F66" s="43">
        <v>46120</v>
      </c>
      <c r="G66" s="35" t="s">
        <v>325</v>
      </c>
      <c r="H66" s="43">
        <v>46120</v>
      </c>
      <c r="I66" s="116">
        <f t="shared" si="0"/>
        <v>5</v>
      </c>
      <c r="J66" s="32" t="s">
        <v>326</v>
      </c>
      <c r="K66" s="33">
        <v>46125</v>
      </c>
      <c r="L66" s="35" t="s">
        <v>327</v>
      </c>
      <c r="M66" s="33">
        <v>46126</v>
      </c>
      <c r="N66" s="74">
        <f t="shared" ca="1" si="2"/>
        <v>0</v>
      </c>
      <c r="O66" s="107" t="s">
        <v>2</v>
      </c>
      <c r="P66" s="22"/>
    </row>
    <row r="67" spans="1:16" ht="51.6" customHeight="1" x14ac:dyDescent="0.3">
      <c r="A67" s="47" t="s">
        <v>328</v>
      </c>
      <c r="B67" s="31" t="s">
        <v>329</v>
      </c>
      <c r="C67" s="31">
        <v>0</v>
      </c>
      <c r="D67" s="32" t="s">
        <v>328</v>
      </c>
      <c r="E67" s="31" t="s">
        <v>330</v>
      </c>
      <c r="F67" s="44">
        <v>46120</v>
      </c>
      <c r="G67" s="35" t="s">
        <v>331</v>
      </c>
      <c r="H67" s="43">
        <v>46120</v>
      </c>
      <c r="I67" s="116">
        <f t="shared" si="0"/>
        <v>5</v>
      </c>
      <c r="J67" s="32" t="s">
        <v>332</v>
      </c>
      <c r="K67" s="33">
        <v>46125</v>
      </c>
      <c r="L67" s="35" t="s">
        <v>333</v>
      </c>
      <c r="M67" s="33">
        <v>46126</v>
      </c>
      <c r="N67" s="74">
        <f t="shared" ca="1" si="2"/>
        <v>0</v>
      </c>
      <c r="O67" s="107" t="s">
        <v>2</v>
      </c>
      <c r="P67" s="22"/>
    </row>
    <row r="68" spans="1:16" ht="51.6" customHeight="1" x14ac:dyDescent="0.3">
      <c r="A68" s="47" t="s">
        <v>334</v>
      </c>
      <c r="B68" s="31" t="s">
        <v>335</v>
      </c>
      <c r="C68" s="31">
        <v>0</v>
      </c>
      <c r="D68" s="32" t="s">
        <v>334</v>
      </c>
      <c r="E68" s="31" t="s">
        <v>336</v>
      </c>
      <c r="F68" s="43">
        <v>46120</v>
      </c>
      <c r="G68" s="35" t="s">
        <v>337</v>
      </c>
      <c r="H68" s="43">
        <v>46120</v>
      </c>
      <c r="I68" s="116">
        <f t="shared" si="0"/>
        <v>5</v>
      </c>
      <c r="J68" s="32" t="s">
        <v>338</v>
      </c>
      <c r="K68" s="33">
        <v>46125</v>
      </c>
      <c r="L68" s="35" t="s">
        <v>339</v>
      </c>
      <c r="M68" s="33">
        <v>46126</v>
      </c>
      <c r="N68" s="74">
        <f t="shared" ca="1" si="2"/>
        <v>0</v>
      </c>
      <c r="O68" s="107" t="s">
        <v>2</v>
      </c>
      <c r="P68" s="22"/>
    </row>
    <row r="69" spans="1:16" ht="51.6" customHeight="1" x14ac:dyDescent="0.3">
      <c r="A69" s="47" t="s">
        <v>340</v>
      </c>
      <c r="B69" s="31" t="s">
        <v>341</v>
      </c>
      <c r="C69" s="31">
        <v>0</v>
      </c>
      <c r="D69" s="32" t="s">
        <v>340</v>
      </c>
      <c r="E69" s="31" t="s">
        <v>342</v>
      </c>
      <c r="F69" s="43">
        <v>46120</v>
      </c>
      <c r="G69" s="35" t="s">
        <v>343</v>
      </c>
      <c r="H69" s="43">
        <v>46121</v>
      </c>
      <c r="I69" s="116">
        <f t="shared" si="0"/>
        <v>4</v>
      </c>
      <c r="J69" s="32" t="s">
        <v>344</v>
      </c>
      <c r="K69" s="33">
        <v>46125</v>
      </c>
      <c r="L69" s="35" t="s">
        <v>345</v>
      </c>
      <c r="M69" s="33">
        <v>46126</v>
      </c>
      <c r="N69" s="74">
        <f t="shared" ca="1" si="2"/>
        <v>0</v>
      </c>
      <c r="O69" s="107" t="s">
        <v>2</v>
      </c>
      <c r="P69" s="22"/>
    </row>
    <row r="70" spans="1:16" ht="51.6" customHeight="1" x14ac:dyDescent="0.3">
      <c r="A70" s="47" t="s">
        <v>346</v>
      </c>
      <c r="B70" s="31" t="s">
        <v>347</v>
      </c>
      <c r="C70" s="31">
        <v>0</v>
      </c>
      <c r="D70" s="32" t="s">
        <v>346</v>
      </c>
      <c r="E70" s="31" t="s">
        <v>348</v>
      </c>
      <c r="F70" s="43">
        <v>46122</v>
      </c>
      <c r="G70" s="35" t="s">
        <v>349</v>
      </c>
      <c r="H70" s="43">
        <v>46124</v>
      </c>
      <c r="I70" s="116">
        <f t="shared" ref="I70:I134" si="3">K70-H70</f>
        <v>2</v>
      </c>
      <c r="J70" s="32" t="s">
        <v>350</v>
      </c>
      <c r="K70" s="33">
        <v>46126</v>
      </c>
      <c r="L70" s="35" t="s">
        <v>351</v>
      </c>
      <c r="M70" s="33">
        <v>46132</v>
      </c>
      <c r="N70" s="74">
        <f t="shared" ca="1" si="2"/>
        <v>0</v>
      </c>
      <c r="O70" s="107" t="s">
        <v>2</v>
      </c>
      <c r="P70" s="22"/>
    </row>
    <row r="71" spans="1:16" ht="51.6" customHeight="1" x14ac:dyDescent="0.3">
      <c r="A71" s="47" t="s">
        <v>352</v>
      </c>
      <c r="B71" s="31" t="s">
        <v>353</v>
      </c>
      <c r="C71" s="31">
        <v>0</v>
      </c>
      <c r="D71" s="32" t="s">
        <v>352</v>
      </c>
      <c r="E71" s="31" t="s">
        <v>354</v>
      </c>
      <c r="F71" s="43">
        <v>46122</v>
      </c>
      <c r="G71" s="35" t="s">
        <v>355</v>
      </c>
      <c r="H71" s="43">
        <v>46124</v>
      </c>
      <c r="I71" s="116">
        <f t="shared" si="3"/>
        <v>2</v>
      </c>
      <c r="J71" s="32" t="s">
        <v>356</v>
      </c>
      <c r="K71" s="33">
        <v>46126</v>
      </c>
      <c r="L71" s="35" t="s">
        <v>357</v>
      </c>
      <c r="M71" s="33">
        <v>46126</v>
      </c>
      <c r="N71" s="74">
        <f t="shared" ca="1" si="2"/>
        <v>0</v>
      </c>
      <c r="O71" s="107" t="s">
        <v>2</v>
      </c>
      <c r="P71" s="22"/>
    </row>
    <row r="72" spans="1:16" ht="51.6" customHeight="1" x14ac:dyDescent="0.3">
      <c r="A72" s="47" t="s">
        <v>358</v>
      </c>
      <c r="B72" s="31" t="s">
        <v>359</v>
      </c>
      <c r="C72" s="31">
        <v>0</v>
      </c>
      <c r="D72" s="32" t="s">
        <v>358</v>
      </c>
      <c r="E72" s="31" t="s">
        <v>360</v>
      </c>
      <c r="F72" s="43">
        <v>46124</v>
      </c>
      <c r="G72" s="35" t="s">
        <v>361</v>
      </c>
      <c r="H72" s="43">
        <v>46124</v>
      </c>
      <c r="I72" s="116">
        <f t="shared" si="3"/>
        <v>4</v>
      </c>
      <c r="J72" s="32" t="s">
        <v>362</v>
      </c>
      <c r="K72" s="33">
        <v>46128</v>
      </c>
      <c r="L72" s="35" t="s">
        <v>363</v>
      </c>
      <c r="M72" s="33">
        <v>46128</v>
      </c>
      <c r="N72" s="74">
        <f t="shared" ca="1" si="2"/>
        <v>0</v>
      </c>
      <c r="O72" s="107" t="s">
        <v>2</v>
      </c>
      <c r="P72" s="22"/>
    </row>
    <row r="73" spans="1:16" ht="51.6" customHeight="1" x14ac:dyDescent="0.3">
      <c r="A73" s="47" t="s">
        <v>364</v>
      </c>
      <c r="B73" s="31" t="s">
        <v>365</v>
      </c>
      <c r="C73" s="31">
        <v>0</v>
      </c>
      <c r="D73" s="32" t="s">
        <v>364</v>
      </c>
      <c r="E73" s="31" t="s">
        <v>366</v>
      </c>
      <c r="F73" s="43">
        <v>46124</v>
      </c>
      <c r="G73" s="35" t="s">
        <v>367</v>
      </c>
      <c r="H73" s="43">
        <v>46125</v>
      </c>
      <c r="I73" s="116">
        <f t="shared" si="3"/>
        <v>10</v>
      </c>
      <c r="J73" s="32" t="s">
        <v>368</v>
      </c>
      <c r="K73" s="33">
        <v>46135</v>
      </c>
      <c r="L73" s="35" t="s">
        <v>369</v>
      </c>
      <c r="M73" s="33">
        <v>46135</v>
      </c>
      <c r="N73" s="74">
        <f t="shared" ca="1" si="2"/>
        <v>0</v>
      </c>
      <c r="O73" s="107" t="s">
        <v>2</v>
      </c>
      <c r="P73" s="22"/>
    </row>
    <row r="74" spans="1:16" ht="51.6" customHeight="1" x14ac:dyDescent="0.3">
      <c r="A74" s="47" t="s">
        <v>370</v>
      </c>
      <c r="B74" s="31" t="s">
        <v>371</v>
      </c>
      <c r="C74" s="31">
        <v>0</v>
      </c>
      <c r="D74" s="32" t="s">
        <v>370</v>
      </c>
      <c r="E74" s="31" t="s">
        <v>372</v>
      </c>
      <c r="F74" s="43">
        <v>46125</v>
      </c>
      <c r="G74" s="35" t="s">
        <v>373</v>
      </c>
      <c r="H74" s="43">
        <v>46125</v>
      </c>
      <c r="I74" s="116">
        <f t="shared" si="3"/>
        <v>1</v>
      </c>
      <c r="J74" s="32" t="s">
        <v>374</v>
      </c>
      <c r="K74" s="33">
        <v>46126</v>
      </c>
      <c r="L74" s="35" t="s">
        <v>375</v>
      </c>
      <c r="M74" s="33">
        <v>46126</v>
      </c>
      <c r="N74" s="74">
        <f t="shared" ca="1" si="2"/>
        <v>0</v>
      </c>
      <c r="O74" s="107" t="s">
        <v>2</v>
      </c>
      <c r="P74" s="22"/>
    </row>
    <row r="75" spans="1:16" ht="51.6" customHeight="1" x14ac:dyDescent="0.3">
      <c r="A75" s="47" t="s">
        <v>376</v>
      </c>
      <c r="B75" s="31" t="s">
        <v>377</v>
      </c>
      <c r="C75" s="31">
        <v>0</v>
      </c>
      <c r="D75" s="32" t="s">
        <v>376</v>
      </c>
      <c r="E75" s="31" t="s">
        <v>378</v>
      </c>
      <c r="F75" s="43">
        <v>46125</v>
      </c>
      <c r="G75" s="35" t="s">
        <v>379</v>
      </c>
      <c r="H75" s="43">
        <v>46125</v>
      </c>
      <c r="I75" s="116">
        <f t="shared" si="3"/>
        <v>3</v>
      </c>
      <c r="J75" s="32" t="s">
        <v>380</v>
      </c>
      <c r="K75" s="33">
        <v>46128</v>
      </c>
      <c r="L75" s="35" t="s">
        <v>381</v>
      </c>
      <c r="M75" s="33">
        <v>46128</v>
      </c>
      <c r="N75" s="74">
        <f t="shared" ca="1" si="2"/>
        <v>0</v>
      </c>
      <c r="O75" s="107" t="s">
        <v>2</v>
      </c>
      <c r="P75" s="22"/>
    </row>
    <row r="76" spans="1:16" ht="51.6" customHeight="1" x14ac:dyDescent="0.3">
      <c r="A76" s="47" t="s">
        <v>382</v>
      </c>
      <c r="B76" s="31" t="s">
        <v>383</v>
      </c>
      <c r="C76" s="31">
        <v>0</v>
      </c>
      <c r="D76" s="32" t="s">
        <v>382</v>
      </c>
      <c r="E76" s="31" t="s">
        <v>384</v>
      </c>
      <c r="F76" s="43">
        <v>46129</v>
      </c>
      <c r="G76" s="35" t="s">
        <v>385</v>
      </c>
      <c r="H76" s="43">
        <v>46131</v>
      </c>
      <c r="I76" s="116">
        <f t="shared" si="3"/>
        <v>4</v>
      </c>
      <c r="J76" s="32" t="s">
        <v>386</v>
      </c>
      <c r="K76" s="33">
        <v>46135</v>
      </c>
      <c r="L76" s="35" t="s">
        <v>387</v>
      </c>
      <c r="M76" s="33">
        <v>46135</v>
      </c>
      <c r="N76" s="74">
        <f t="shared" ca="1" si="2"/>
        <v>0</v>
      </c>
      <c r="O76" s="107" t="s">
        <v>2</v>
      </c>
      <c r="P76" s="22"/>
    </row>
    <row r="77" spans="1:16" ht="51.6" customHeight="1" x14ac:dyDescent="0.3">
      <c r="A77" s="47" t="s">
        <v>388</v>
      </c>
      <c r="B77" s="31" t="s">
        <v>389</v>
      </c>
      <c r="C77" s="31">
        <v>0</v>
      </c>
      <c r="D77" s="32" t="s">
        <v>388</v>
      </c>
      <c r="E77" s="31" t="s">
        <v>390</v>
      </c>
      <c r="F77" s="43">
        <v>46129</v>
      </c>
      <c r="G77" s="35" t="s">
        <v>391</v>
      </c>
      <c r="H77" s="43">
        <v>46131</v>
      </c>
      <c r="I77" s="116">
        <f t="shared" si="3"/>
        <v>4</v>
      </c>
      <c r="J77" s="32" t="s">
        <v>392</v>
      </c>
      <c r="K77" s="33">
        <v>46135</v>
      </c>
      <c r="L77" s="35" t="s">
        <v>393</v>
      </c>
      <c r="M77" s="33">
        <v>46135</v>
      </c>
      <c r="N77" s="74">
        <f t="shared" ca="1" si="2"/>
        <v>0</v>
      </c>
      <c r="O77" s="107" t="s">
        <v>2</v>
      </c>
      <c r="P77" s="22"/>
    </row>
    <row r="78" spans="1:16" ht="51.6" customHeight="1" x14ac:dyDescent="0.3">
      <c r="A78" s="47" t="s">
        <v>394</v>
      </c>
      <c r="B78" s="31" t="s">
        <v>395</v>
      </c>
      <c r="C78" s="31">
        <v>0</v>
      </c>
      <c r="D78" s="32" t="s">
        <v>394</v>
      </c>
      <c r="E78" s="31" t="s">
        <v>396</v>
      </c>
      <c r="F78" s="43">
        <v>46129</v>
      </c>
      <c r="G78" s="35" t="s">
        <v>397</v>
      </c>
      <c r="H78" s="43">
        <v>46131</v>
      </c>
      <c r="I78" s="116">
        <f t="shared" si="3"/>
        <v>4</v>
      </c>
      <c r="J78" s="32" t="s">
        <v>398</v>
      </c>
      <c r="K78" s="33">
        <v>46135</v>
      </c>
      <c r="L78" s="35" t="s">
        <v>399</v>
      </c>
      <c r="M78" s="33">
        <v>46135</v>
      </c>
      <c r="N78" s="74">
        <f t="shared" ca="1" si="2"/>
        <v>0</v>
      </c>
      <c r="O78" s="107" t="s">
        <v>2</v>
      </c>
      <c r="P78" s="22"/>
    </row>
    <row r="79" spans="1:16" ht="51.6" customHeight="1" x14ac:dyDescent="0.3">
      <c r="A79" s="47" t="s">
        <v>400</v>
      </c>
      <c r="B79" s="31" t="s">
        <v>401</v>
      </c>
      <c r="C79" s="31">
        <v>0</v>
      </c>
      <c r="D79" s="32" t="s">
        <v>400</v>
      </c>
      <c r="E79" s="31" t="s">
        <v>402</v>
      </c>
      <c r="F79" s="43">
        <v>46129</v>
      </c>
      <c r="G79" s="35" t="s">
        <v>403</v>
      </c>
      <c r="H79" s="43">
        <v>46131</v>
      </c>
      <c r="I79" s="116">
        <f t="shared" si="3"/>
        <v>2</v>
      </c>
      <c r="J79" s="32" t="s">
        <v>404</v>
      </c>
      <c r="K79" s="39">
        <v>46133</v>
      </c>
      <c r="L79" s="35" t="s">
        <v>405</v>
      </c>
      <c r="M79" s="33">
        <v>46133</v>
      </c>
      <c r="N79" s="74">
        <f t="shared" ca="1" si="2"/>
        <v>0</v>
      </c>
      <c r="O79" s="107" t="s">
        <v>2</v>
      </c>
      <c r="P79" s="22"/>
    </row>
    <row r="80" spans="1:16" ht="51.6" customHeight="1" x14ac:dyDescent="0.3">
      <c r="A80" s="47" t="s">
        <v>406</v>
      </c>
      <c r="B80" s="125" t="s">
        <v>407</v>
      </c>
      <c r="C80" s="125">
        <v>0</v>
      </c>
      <c r="D80" s="32" t="s">
        <v>406</v>
      </c>
      <c r="E80" s="125" t="s">
        <v>408</v>
      </c>
      <c r="F80" s="43">
        <v>46129</v>
      </c>
      <c r="G80" s="128" t="s">
        <v>409</v>
      </c>
      <c r="H80" s="123">
        <v>46131</v>
      </c>
      <c r="I80" s="116">
        <f t="shared" si="3"/>
        <v>2</v>
      </c>
      <c r="J80" s="135" t="s">
        <v>410</v>
      </c>
      <c r="K80" s="123">
        <v>46133</v>
      </c>
      <c r="L80" s="128" t="s">
        <v>411</v>
      </c>
      <c r="M80" s="33">
        <v>46133</v>
      </c>
      <c r="N80" s="74">
        <f t="shared" ca="1" si="2"/>
        <v>0</v>
      </c>
      <c r="O80" s="131" t="s">
        <v>2</v>
      </c>
      <c r="P80" s="22"/>
    </row>
    <row r="81" spans="1:16" ht="51.6" customHeight="1" x14ac:dyDescent="0.3">
      <c r="A81" s="47"/>
      <c r="B81" s="126"/>
      <c r="C81" s="126"/>
      <c r="D81" s="32" t="s">
        <v>412</v>
      </c>
      <c r="E81" s="126"/>
      <c r="F81" s="44">
        <v>46129</v>
      </c>
      <c r="G81" s="129"/>
      <c r="H81" s="137"/>
      <c r="I81" s="116">
        <f t="shared" si="3"/>
        <v>0</v>
      </c>
      <c r="J81" s="138"/>
      <c r="K81" s="137"/>
      <c r="L81" s="129"/>
      <c r="M81" s="33">
        <v>46133</v>
      </c>
      <c r="N81" s="74">
        <f t="shared" ca="1" si="2"/>
        <v>0</v>
      </c>
      <c r="O81" s="139"/>
      <c r="P81" s="22"/>
    </row>
    <row r="82" spans="1:16" ht="51.6" customHeight="1" x14ac:dyDescent="0.3">
      <c r="A82" s="47" t="s">
        <v>413</v>
      </c>
      <c r="B82" s="127"/>
      <c r="C82" s="127"/>
      <c r="D82" s="32" t="s">
        <v>413</v>
      </c>
      <c r="E82" s="127"/>
      <c r="F82" s="43">
        <v>46129</v>
      </c>
      <c r="G82" s="130"/>
      <c r="H82" s="124"/>
      <c r="I82" s="116">
        <f t="shared" si="3"/>
        <v>0</v>
      </c>
      <c r="J82" s="136"/>
      <c r="K82" s="124"/>
      <c r="L82" s="130"/>
      <c r="M82" s="33">
        <v>46133</v>
      </c>
      <c r="N82" s="74">
        <f t="shared" ca="1" si="2"/>
        <v>0</v>
      </c>
      <c r="O82" s="132"/>
      <c r="P82" s="22"/>
    </row>
    <row r="83" spans="1:16" ht="51.6" customHeight="1" x14ac:dyDescent="0.3">
      <c r="A83" s="47" t="s">
        <v>414</v>
      </c>
      <c r="B83" s="31" t="s">
        <v>415</v>
      </c>
      <c r="C83" s="31">
        <v>0</v>
      </c>
      <c r="D83" s="32" t="s">
        <v>414</v>
      </c>
      <c r="E83" s="31" t="s">
        <v>416</v>
      </c>
      <c r="F83" s="43">
        <v>46129</v>
      </c>
      <c r="G83" s="35" t="s">
        <v>417</v>
      </c>
      <c r="H83" s="43">
        <v>46131</v>
      </c>
      <c r="I83" s="116">
        <f t="shared" si="3"/>
        <v>2</v>
      </c>
      <c r="J83" s="32" t="s">
        <v>418</v>
      </c>
      <c r="K83" s="33">
        <v>46133</v>
      </c>
      <c r="L83" s="35" t="s">
        <v>419</v>
      </c>
      <c r="M83" s="33">
        <v>46133</v>
      </c>
      <c r="N83" s="74">
        <f t="shared" ca="1" si="2"/>
        <v>0</v>
      </c>
      <c r="O83" s="107" t="s">
        <v>2</v>
      </c>
      <c r="P83" s="22"/>
    </row>
    <row r="84" spans="1:16" ht="51.6" customHeight="1" x14ac:dyDescent="0.3">
      <c r="A84" s="47" t="s">
        <v>420</v>
      </c>
      <c r="B84" s="31" t="s">
        <v>421</v>
      </c>
      <c r="C84" s="31">
        <v>0</v>
      </c>
      <c r="D84" s="32" t="s">
        <v>420</v>
      </c>
      <c r="E84" s="31" t="s">
        <v>422</v>
      </c>
      <c r="F84" s="43">
        <v>46129</v>
      </c>
      <c r="G84" s="35" t="s">
        <v>423</v>
      </c>
      <c r="H84" s="43">
        <v>46131</v>
      </c>
      <c r="I84" s="116">
        <f t="shared" si="3"/>
        <v>2</v>
      </c>
      <c r="J84" s="32" t="s">
        <v>424</v>
      </c>
      <c r="K84" s="33">
        <v>46133</v>
      </c>
      <c r="L84" s="35" t="s">
        <v>425</v>
      </c>
      <c r="M84" s="33">
        <v>46133</v>
      </c>
      <c r="N84" s="74">
        <f t="shared" ref="N84:N147" ca="1" si="4">IF(AND(M84="",TODAY()-F84&gt;7),TODAY()-F84-7,0)</f>
        <v>0</v>
      </c>
      <c r="O84" s="107" t="s">
        <v>2</v>
      </c>
      <c r="P84" s="22"/>
    </row>
    <row r="85" spans="1:16" ht="51.6" customHeight="1" x14ac:dyDescent="0.3">
      <c r="A85" s="47" t="s">
        <v>426</v>
      </c>
      <c r="B85" s="31" t="s">
        <v>427</v>
      </c>
      <c r="C85" s="31">
        <v>0</v>
      </c>
      <c r="D85" s="32" t="s">
        <v>426</v>
      </c>
      <c r="E85" s="31" t="s">
        <v>428</v>
      </c>
      <c r="F85" s="43">
        <v>46129</v>
      </c>
      <c r="G85" s="35" t="s">
        <v>429</v>
      </c>
      <c r="H85" s="43">
        <v>46131</v>
      </c>
      <c r="I85" s="116">
        <f t="shared" si="3"/>
        <v>2</v>
      </c>
      <c r="J85" s="32" t="s">
        <v>430</v>
      </c>
      <c r="K85" s="33">
        <v>46133</v>
      </c>
      <c r="L85" s="35" t="s">
        <v>431</v>
      </c>
      <c r="M85" s="33">
        <v>46133</v>
      </c>
      <c r="N85" s="74">
        <f t="shared" ca="1" si="4"/>
        <v>0</v>
      </c>
      <c r="O85" s="107" t="s">
        <v>2</v>
      </c>
      <c r="P85" s="22"/>
    </row>
    <row r="86" spans="1:16" ht="51.6" customHeight="1" x14ac:dyDescent="0.3">
      <c r="A86" s="47" t="s">
        <v>432</v>
      </c>
      <c r="B86" s="31" t="s">
        <v>433</v>
      </c>
      <c r="C86" s="31">
        <v>0</v>
      </c>
      <c r="D86" s="32" t="s">
        <v>432</v>
      </c>
      <c r="E86" s="31" t="s">
        <v>434</v>
      </c>
      <c r="F86" s="43">
        <v>46131</v>
      </c>
      <c r="G86" s="35" t="s">
        <v>435</v>
      </c>
      <c r="H86" s="43">
        <v>46131</v>
      </c>
      <c r="I86" s="116">
        <f t="shared" si="3"/>
        <v>29</v>
      </c>
      <c r="J86" s="32" t="s">
        <v>436</v>
      </c>
      <c r="K86" s="37">
        <v>46160</v>
      </c>
      <c r="L86" s="35" t="s">
        <v>437</v>
      </c>
      <c r="M86" s="37">
        <v>46160</v>
      </c>
      <c r="N86" s="74">
        <f t="shared" ca="1" si="4"/>
        <v>0</v>
      </c>
      <c r="O86" s="107" t="s">
        <v>2</v>
      </c>
      <c r="P86" s="25" t="s">
        <v>438</v>
      </c>
    </row>
    <row r="87" spans="1:16" ht="51.6" customHeight="1" x14ac:dyDescent="0.3">
      <c r="A87" s="47" t="s">
        <v>432</v>
      </c>
      <c r="B87" s="31" t="s">
        <v>439</v>
      </c>
      <c r="C87" s="31">
        <v>1</v>
      </c>
      <c r="D87" s="32" t="s">
        <v>432</v>
      </c>
      <c r="E87" s="31" t="s">
        <v>434</v>
      </c>
      <c r="F87" s="43">
        <v>46203</v>
      </c>
      <c r="G87" s="35" t="s">
        <v>440</v>
      </c>
      <c r="H87" s="43">
        <v>46203</v>
      </c>
      <c r="I87" s="116">
        <f t="shared" ref="I87" si="5">K87-H87</f>
        <v>-24</v>
      </c>
      <c r="J87" s="32" t="s">
        <v>441</v>
      </c>
      <c r="K87" s="37">
        <v>46179</v>
      </c>
      <c r="L87" s="35" t="s">
        <v>442</v>
      </c>
      <c r="M87" s="37">
        <v>46209</v>
      </c>
      <c r="N87" s="74">
        <f t="shared" ca="1" si="4"/>
        <v>0</v>
      </c>
      <c r="O87" s="104" t="s">
        <v>2</v>
      </c>
      <c r="P87" s="117" t="s">
        <v>443</v>
      </c>
    </row>
    <row r="88" spans="1:16" ht="51.6" customHeight="1" x14ac:dyDescent="0.3">
      <c r="A88" s="47" t="s">
        <v>444</v>
      </c>
      <c r="B88" s="31" t="s">
        <v>445</v>
      </c>
      <c r="C88" s="31">
        <v>0</v>
      </c>
      <c r="D88" s="32" t="s">
        <v>444</v>
      </c>
      <c r="E88" s="31" t="s">
        <v>446</v>
      </c>
      <c r="F88" s="43">
        <v>46131</v>
      </c>
      <c r="G88" s="35" t="s">
        <v>447</v>
      </c>
      <c r="H88" s="43">
        <v>46131</v>
      </c>
      <c r="I88" s="116">
        <f t="shared" si="3"/>
        <v>4</v>
      </c>
      <c r="J88" s="32" t="s">
        <v>448</v>
      </c>
      <c r="K88" s="33">
        <v>46135</v>
      </c>
      <c r="L88" s="35" t="s">
        <v>449</v>
      </c>
      <c r="M88" s="33">
        <v>46135</v>
      </c>
      <c r="N88" s="74">
        <f t="shared" ca="1" si="4"/>
        <v>0</v>
      </c>
      <c r="O88" s="107" t="s">
        <v>2</v>
      </c>
      <c r="P88" s="22"/>
    </row>
    <row r="89" spans="1:16" ht="51.6" customHeight="1" x14ac:dyDescent="0.3">
      <c r="A89" s="47" t="s">
        <v>450</v>
      </c>
      <c r="B89" s="31" t="s">
        <v>451</v>
      </c>
      <c r="C89" s="31">
        <v>0</v>
      </c>
      <c r="D89" s="32" t="s">
        <v>450</v>
      </c>
      <c r="E89" s="31" t="s">
        <v>452</v>
      </c>
      <c r="F89" s="43">
        <v>46131</v>
      </c>
      <c r="G89" s="35" t="s">
        <v>453</v>
      </c>
      <c r="H89" s="43">
        <v>46131</v>
      </c>
      <c r="I89" s="116">
        <f t="shared" si="3"/>
        <v>4</v>
      </c>
      <c r="J89" s="32" t="s">
        <v>454</v>
      </c>
      <c r="K89" s="33">
        <v>46135</v>
      </c>
      <c r="L89" s="35" t="s">
        <v>455</v>
      </c>
      <c r="M89" s="33">
        <v>46135</v>
      </c>
      <c r="N89" s="74">
        <f t="shared" ca="1" si="4"/>
        <v>0</v>
      </c>
      <c r="O89" s="107" t="s">
        <v>2</v>
      </c>
      <c r="P89" s="22"/>
    </row>
    <row r="90" spans="1:16" ht="51.6" customHeight="1" x14ac:dyDescent="0.3">
      <c r="A90" s="47"/>
      <c r="B90" s="31" t="s">
        <v>456</v>
      </c>
      <c r="C90" s="31">
        <v>0</v>
      </c>
      <c r="D90" s="32" t="s">
        <v>457</v>
      </c>
      <c r="E90" s="31" t="s">
        <v>458</v>
      </c>
      <c r="F90" s="43">
        <v>46137</v>
      </c>
      <c r="G90" s="35" t="s">
        <v>459</v>
      </c>
      <c r="H90" s="43">
        <v>46138</v>
      </c>
      <c r="I90" s="116">
        <f t="shared" si="3"/>
        <v>3</v>
      </c>
      <c r="J90" s="32" t="s">
        <v>460</v>
      </c>
      <c r="K90" s="33">
        <v>46141</v>
      </c>
      <c r="L90" s="35" t="s">
        <v>461</v>
      </c>
      <c r="M90" s="33">
        <v>46141</v>
      </c>
      <c r="N90" s="74">
        <f t="shared" ca="1" si="4"/>
        <v>0</v>
      </c>
      <c r="O90" s="107" t="s">
        <v>2</v>
      </c>
      <c r="P90" s="22"/>
    </row>
    <row r="91" spans="1:16" ht="51.6" customHeight="1" x14ac:dyDescent="0.3">
      <c r="A91" s="47" t="s">
        <v>462</v>
      </c>
      <c r="B91" s="31" t="s">
        <v>463</v>
      </c>
      <c r="C91" s="31">
        <v>0</v>
      </c>
      <c r="D91" s="32" t="s">
        <v>462</v>
      </c>
      <c r="E91" s="31" t="s">
        <v>464</v>
      </c>
      <c r="F91" s="43">
        <v>46131</v>
      </c>
      <c r="G91" s="35" t="s">
        <v>465</v>
      </c>
      <c r="H91" s="43">
        <v>46131</v>
      </c>
      <c r="I91" s="116">
        <f t="shared" si="3"/>
        <v>10</v>
      </c>
      <c r="J91" s="32" t="s">
        <v>466</v>
      </c>
      <c r="K91" s="33">
        <v>46141</v>
      </c>
      <c r="L91" s="35" t="s">
        <v>467</v>
      </c>
      <c r="M91" s="33">
        <v>46141</v>
      </c>
      <c r="N91" s="74">
        <f t="shared" ca="1" si="4"/>
        <v>0</v>
      </c>
      <c r="O91" s="107" t="s">
        <v>2</v>
      </c>
      <c r="P91" s="25" t="s">
        <v>468</v>
      </c>
    </row>
    <row r="92" spans="1:16" ht="51.6" customHeight="1" x14ac:dyDescent="0.3">
      <c r="A92" s="47" t="s">
        <v>469</v>
      </c>
      <c r="B92" s="31" t="s">
        <v>470</v>
      </c>
      <c r="C92" s="31">
        <v>0</v>
      </c>
      <c r="D92" s="32" t="s">
        <v>469</v>
      </c>
      <c r="E92" s="31" t="s">
        <v>471</v>
      </c>
      <c r="F92" s="43">
        <v>46131</v>
      </c>
      <c r="G92" s="35" t="s">
        <v>472</v>
      </c>
      <c r="H92" s="43">
        <v>46131</v>
      </c>
      <c r="I92" s="116">
        <f t="shared" si="3"/>
        <v>4</v>
      </c>
      <c r="J92" s="32" t="s">
        <v>473</v>
      </c>
      <c r="K92" s="33">
        <v>46135</v>
      </c>
      <c r="L92" s="35" t="s">
        <v>474</v>
      </c>
      <c r="M92" s="33">
        <v>46135</v>
      </c>
      <c r="N92" s="74">
        <f t="shared" ca="1" si="4"/>
        <v>0</v>
      </c>
      <c r="O92" s="107" t="s">
        <v>2</v>
      </c>
      <c r="P92" s="22"/>
    </row>
    <row r="93" spans="1:16" ht="51.6" customHeight="1" x14ac:dyDescent="0.3">
      <c r="A93" s="47" t="s">
        <v>475</v>
      </c>
      <c r="B93" s="31" t="s">
        <v>476</v>
      </c>
      <c r="C93" s="31">
        <v>0</v>
      </c>
      <c r="D93" s="32" t="s">
        <v>475</v>
      </c>
      <c r="E93" s="31" t="s">
        <v>477</v>
      </c>
      <c r="F93" s="43">
        <v>46131</v>
      </c>
      <c r="G93" s="35" t="s">
        <v>478</v>
      </c>
      <c r="H93" s="43">
        <v>46131</v>
      </c>
      <c r="I93" s="116">
        <f t="shared" si="3"/>
        <v>4</v>
      </c>
      <c r="J93" s="32" t="s">
        <v>479</v>
      </c>
      <c r="K93" s="33">
        <v>46135</v>
      </c>
      <c r="L93" s="35" t="s">
        <v>480</v>
      </c>
      <c r="M93" s="33">
        <v>46135</v>
      </c>
      <c r="N93" s="74">
        <f t="shared" ca="1" si="4"/>
        <v>0</v>
      </c>
      <c r="O93" s="107" t="s">
        <v>2</v>
      </c>
      <c r="P93" s="22"/>
    </row>
    <row r="94" spans="1:16" ht="51.6" customHeight="1" x14ac:dyDescent="0.3">
      <c r="A94" s="47" t="s">
        <v>475</v>
      </c>
      <c r="B94" s="31" t="s">
        <v>481</v>
      </c>
      <c r="C94" s="31">
        <v>1</v>
      </c>
      <c r="D94" s="32" t="s">
        <v>482</v>
      </c>
      <c r="E94" s="31" t="s">
        <v>483</v>
      </c>
      <c r="F94" s="43">
        <v>46160</v>
      </c>
      <c r="G94" s="35" t="s">
        <v>484</v>
      </c>
      <c r="H94" s="43">
        <v>46160</v>
      </c>
      <c r="I94" s="116">
        <f t="shared" si="3"/>
        <v>4</v>
      </c>
      <c r="J94" s="32" t="s">
        <v>485</v>
      </c>
      <c r="K94" s="33">
        <v>46164</v>
      </c>
      <c r="L94" s="35" t="s">
        <v>486</v>
      </c>
      <c r="M94" s="33">
        <v>46164</v>
      </c>
      <c r="N94" s="74">
        <f t="shared" ca="1" si="4"/>
        <v>0</v>
      </c>
      <c r="O94" s="107" t="s">
        <v>2</v>
      </c>
      <c r="P94" s="22"/>
    </row>
    <row r="95" spans="1:16" ht="51.6" customHeight="1" x14ac:dyDescent="0.3">
      <c r="A95" s="47" t="s">
        <v>487</v>
      </c>
      <c r="B95" s="31" t="s">
        <v>488</v>
      </c>
      <c r="C95" s="31">
        <v>0</v>
      </c>
      <c r="D95" s="32" t="s">
        <v>487</v>
      </c>
      <c r="E95" s="31" t="s">
        <v>489</v>
      </c>
      <c r="F95" s="43">
        <v>46131</v>
      </c>
      <c r="G95" s="35" t="s">
        <v>490</v>
      </c>
      <c r="H95" s="43">
        <v>46131</v>
      </c>
      <c r="I95" s="116">
        <f t="shared" si="3"/>
        <v>4</v>
      </c>
      <c r="J95" s="32" t="s">
        <v>491</v>
      </c>
      <c r="K95" s="33">
        <v>46135</v>
      </c>
      <c r="L95" s="35" t="s">
        <v>492</v>
      </c>
      <c r="M95" s="33">
        <v>46135</v>
      </c>
      <c r="N95" s="74">
        <f t="shared" ca="1" si="4"/>
        <v>0</v>
      </c>
      <c r="O95" s="107" t="s">
        <v>2</v>
      </c>
      <c r="P95" s="22"/>
    </row>
    <row r="96" spans="1:16" ht="51.6" customHeight="1" x14ac:dyDescent="0.3">
      <c r="A96" s="47" t="s">
        <v>493</v>
      </c>
      <c r="B96" s="31" t="s">
        <v>494</v>
      </c>
      <c r="C96" s="31">
        <v>0</v>
      </c>
      <c r="D96" s="32" t="s">
        <v>493</v>
      </c>
      <c r="E96" s="31" t="s">
        <v>495</v>
      </c>
      <c r="F96" s="43">
        <v>46131</v>
      </c>
      <c r="G96" s="35" t="s">
        <v>496</v>
      </c>
      <c r="H96" s="43">
        <v>46131</v>
      </c>
      <c r="I96" s="116">
        <f t="shared" si="3"/>
        <v>4</v>
      </c>
      <c r="J96" s="32" t="s">
        <v>497</v>
      </c>
      <c r="K96" s="33">
        <v>46135</v>
      </c>
      <c r="L96" s="35" t="s">
        <v>498</v>
      </c>
      <c r="M96" s="33">
        <v>46135</v>
      </c>
      <c r="N96" s="74">
        <f t="shared" ca="1" si="4"/>
        <v>0</v>
      </c>
      <c r="O96" s="107" t="s">
        <v>2</v>
      </c>
      <c r="P96" s="22"/>
    </row>
    <row r="97" spans="1:16" ht="51.6" customHeight="1" x14ac:dyDescent="0.3">
      <c r="A97" s="47"/>
      <c r="B97" s="19" t="s">
        <v>499</v>
      </c>
      <c r="C97" s="31">
        <v>0</v>
      </c>
      <c r="D97" s="36" t="s">
        <v>500</v>
      </c>
      <c r="E97" s="19" t="s">
        <v>501</v>
      </c>
      <c r="F97" s="43">
        <v>46135</v>
      </c>
      <c r="G97" s="40" t="s">
        <v>502</v>
      </c>
      <c r="H97" s="39">
        <v>46135</v>
      </c>
      <c r="I97" s="116">
        <f t="shared" si="3"/>
        <v>7</v>
      </c>
      <c r="J97" s="36" t="s">
        <v>503</v>
      </c>
      <c r="K97" s="33">
        <v>46142</v>
      </c>
      <c r="L97" s="40" t="s">
        <v>504</v>
      </c>
      <c r="M97" s="33">
        <v>46142</v>
      </c>
      <c r="N97" s="74">
        <f t="shared" ca="1" si="4"/>
        <v>0</v>
      </c>
      <c r="O97" s="107" t="s">
        <v>2</v>
      </c>
      <c r="P97" s="23"/>
    </row>
    <row r="98" spans="1:16" ht="51.6" customHeight="1" x14ac:dyDescent="0.3">
      <c r="A98" s="47" t="s">
        <v>505</v>
      </c>
      <c r="B98" s="31" t="s">
        <v>506</v>
      </c>
      <c r="C98" s="31">
        <v>0</v>
      </c>
      <c r="D98" s="32" t="s">
        <v>505</v>
      </c>
      <c r="E98" s="31" t="s">
        <v>507</v>
      </c>
      <c r="F98" s="43">
        <v>46131</v>
      </c>
      <c r="G98" s="35" t="s">
        <v>508</v>
      </c>
      <c r="H98" s="43">
        <v>46131</v>
      </c>
      <c r="I98" s="116">
        <f t="shared" si="3"/>
        <v>4</v>
      </c>
      <c r="J98" s="32" t="s">
        <v>509</v>
      </c>
      <c r="K98" s="33">
        <v>46135</v>
      </c>
      <c r="L98" s="35" t="s">
        <v>510</v>
      </c>
      <c r="M98" s="33">
        <v>46135</v>
      </c>
      <c r="N98" s="74">
        <f t="shared" ca="1" si="4"/>
        <v>0</v>
      </c>
      <c r="O98" s="107" t="s">
        <v>2</v>
      </c>
      <c r="P98" s="22"/>
    </row>
    <row r="99" spans="1:16" ht="51.6" customHeight="1" x14ac:dyDescent="0.3">
      <c r="A99" s="47" t="s">
        <v>511</v>
      </c>
      <c r="B99" s="31" t="s">
        <v>512</v>
      </c>
      <c r="C99" s="31">
        <v>0</v>
      </c>
      <c r="D99" s="32" t="s">
        <v>511</v>
      </c>
      <c r="E99" s="31" t="s">
        <v>513</v>
      </c>
      <c r="F99" s="43">
        <v>46131</v>
      </c>
      <c r="G99" s="35" t="s">
        <v>514</v>
      </c>
      <c r="H99" s="43">
        <v>46131</v>
      </c>
      <c r="I99" s="116">
        <f t="shared" si="3"/>
        <v>3</v>
      </c>
      <c r="J99" s="32" t="s">
        <v>515</v>
      </c>
      <c r="K99" s="37">
        <v>46134</v>
      </c>
      <c r="L99" s="35" t="s">
        <v>516</v>
      </c>
      <c r="M99" s="37">
        <v>46134</v>
      </c>
      <c r="N99" s="74">
        <f t="shared" ca="1" si="4"/>
        <v>0</v>
      </c>
      <c r="O99" s="107" t="s">
        <v>2</v>
      </c>
      <c r="P99" s="22"/>
    </row>
    <row r="100" spans="1:16" ht="51.6" customHeight="1" x14ac:dyDescent="0.3">
      <c r="A100" s="47"/>
      <c r="B100" s="31" t="s">
        <v>517</v>
      </c>
      <c r="C100" s="31">
        <v>1</v>
      </c>
      <c r="D100" s="32" t="s">
        <v>518</v>
      </c>
      <c r="E100" s="31" t="s">
        <v>519</v>
      </c>
      <c r="F100" s="43">
        <v>46137</v>
      </c>
      <c r="G100" s="35" t="s">
        <v>520</v>
      </c>
      <c r="H100" s="43">
        <v>46138</v>
      </c>
      <c r="I100" s="116">
        <f t="shared" si="3"/>
        <v>3</v>
      </c>
      <c r="J100" s="32" t="s">
        <v>521</v>
      </c>
      <c r="K100" s="37">
        <v>46141</v>
      </c>
      <c r="L100" s="35" t="s">
        <v>522</v>
      </c>
      <c r="M100" s="37">
        <v>46141</v>
      </c>
      <c r="N100" s="74">
        <f t="shared" ca="1" si="4"/>
        <v>0</v>
      </c>
      <c r="O100" s="107" t="s">
        <v>2</v>
      </c>
      <c r="P100" s="22"/>
    </row>
    <row r="101" spans="1:16" ht="51.6" customHeight="1" x14ac:dyDescent="0.3">
      <c r="A101" s="47" t="s">
        <v>523</v>
      </c>
      <c r="B101" s="31" t="s">
        <v>524</v>
      </c>
      <c r="C101" s="31">
        <v>0</v>
      </c>
      <c r="D101" s="32" t="s">
        <v>523</v>
      </c>
      <c r="E101" s="31" t="s">
        <v>525</v>
      </c>
      <c r="F101" s="43">
        <v>46131</v>
      </c>
      <c r="G101" s="35" t="s">
        <v>526</v>
      </c>
      <c r="H101" s="43">
        <v>46131</v>
      </c>
      <c r="I101" s="116">
        <f t="shared" si="3"/>
        <v>3</v>
      </c>
      <c r="J101" s="32" t="s">
        <v>527</v>
      </c>
      <c r="K101" s="37">
        <v>46134</v>
      </c>
      <c r="L101" s="35" t="s">
        <v>528</v>
      </c>
      <c r="M101" s="37">
        <v>46134</v>
      </c>
      <c r="N101" s="74">
        <f t="shared" ca="1" si="4"/>
        <v>0</v>
      </c>
      <c r="O101" s="107" t="s">
        <v>2</v>
      </c>
      <c r="P101" s="22"/>
    </row>
    <row r="102" spans="1:16" ht="51.6" customHeight="1" x14ac:dyDescent="0.3">
      <c r="A102" s="47" t="s">
        <v>529</v>
      </c>
      <c r="B102" s="31" t="s">
        <v>530</v>
      </c>
      <c r="C102" s="31">
        <v>0</v>
      </c>
      <c r="D102" s="32" t="s">
        <v>529</v>
      </c>
      <c r="E102" s="31" t="s">
        <v>531</v>
      </c>
      <c r="F102" s="43">
        <v>46131</v>
      </c>
      <c r="G102" s="35" t="s">
        <v>532</v>
      </c>
      <c r="H102" s="43">
        <v>46131</v>
      </c>
      <c r="I102" s="116">
        <f t="shared" si="3"/>
        <v>3</v>
      </c>
      <c r="J102" s="32" t="s">
        <v>533</v>
      </c>
      <c r="K102" s="37">
        <v>46134</v>
      </c>
      <c r="L102" s="35" t="s">
        <v>534</v>
      </c>
      <c r="M102" s="33">
        <v>46134</v>
      </c>
      <c r="N102" s="74">
        <f t="shared" ca="1" si="4"/>
        <v>0</v>
      </c>
      <c r="O102" s="107" t="s">
        <v>2</v>
      </c>
      <c r="P102" s="22"/>
    </row>
    <row r="103" spans="1:16" ht="51.6" customHeight="1" x14ac:dyDescent="0.3">
      <c r="A103" s="47"/>
      <c r="B103" s="31" t="s">
        <v>535</v>
      </c>
      <c r="C103" s="31">
        <v>0</v>
      </c>
      <c r="D103" s="32" t="s">
        <v>536</v>
      </c>
      <c r="E103" s="31" t="s">
        <v>537</v>
      </c>
      <c r="F103" s="43">
        <v>46141</v>
      </c>
      <c r="G103" s="35" t="s">
        <v>538</v>
      </c>
      <c r="H103" s="43">
        <v>46141</v>
      </c>
      <c r="I103" s="116">
        <f t="shared" si="3"/>
        <v>1</v>
      </c>
      <c r="J103" s="32" t="s">
        <v>539</v>
      </c>
      <c r="K103" s="37">
        <v>46142</v>
      </c>
      <c r="L103" s="35" t="s">
        <v>540</v>
      </c>
      <c r="M103" s="33">
        <v>46142</v>
      </c>
      <c r="N103" s="74">
        <f t="shared" ca="1" si="4"/>
        <v>0</v>
      </c>
      <c r="O103" s="107" t="s">
        <v>2</v>
      </c>
      <c r="P103" s="22"/>
    </row>
    <row r="104" spans="1:16" ht="51.6" customHeight="1" x14ac:dyDescent="0.3">
      <c r="A104" s="47"/>
      <c r="B104" s="31" t="s">
        <v>541</v>
      </c>
      <c r="C104" s="31">
        <v>0</v>
      </c>
      <c r="D104" s="32" t="s">
        <v>542</v>
      </c>
      <c r="E104" s="31" t="s">
        <v>543</v>
      </c>
      <c r="F104" s="43">
        <v>46140</v>
      </c>
      <c r="G104" s="35" t="s">
        <v>544</v>
      </c>
      <c r="H104" s="43">
        <v>46141</v>
      </c>
      <c r="I104" s="116">
        <f t="shared" si="3"/>
        <v>5</v>
      </c>
      <c r="J104" s="32" t="s">
        <v>545</v>
      </c>
      <c r="K104" s="37">
        <v>46146</v>
      </c>
      <c r="L104" s="35" t="s">
        <v>546</v>
      </c>
      <c r="M104" s="33">
        <v>46146</v>
      </c>
      <c r="N104" s="74">
        <f t="shared" ca="1" si="4"/>
        <v>0</v>
      </c>
      <c r="O104" s="107" t="s">
        <v>2</v>
      </c>
      <c r="P104" s="22"/>
    </row>
    <row r="105" spans="1:16" ht="51.6" customHeight="1" x14ac:dyDescent="0.3">
      <c r="A105" s="47"/>
      <c r="B105" s="31" t="s">
        <v>547</v>
      </c>
      <c r="C105" s="31">
        <v>0</v>
      </c>
      <c r="D105" s="32" t="s">
        <v>548</v>
      </c>
      <c r="E105" s="31" t="s">
        <v>549</v>
      </c>
      <c r="F105" s="43">
        <v>46139</v>
      </c>
      <c r="G105" s="35" t="s">
        <v>550</v>
      </c>
      <c r="H105" s="43">
        <v>46139</v>
      </c>
      <c r="I105" s="116">
        <f t="shared" si="3"/>
        <v>1</v>
      </c>
      <c r="J105" s="32" t="s">
        <v>551</v>
      </c>
      <c r="K105" s="33">
        <v>46140</v>
      </c>
      <c r="L105" s="35" t="s">
        <v>552</v>
      </c>
      <c r="M105" s="33">
        <v>46140</v>
      </c>
      <c r="N105" s="74">
        <f t="shared" ca="1" si="4"/>
        <v>0</v>
      </c>
      <c r="O105" s="107" t="s">
        <v>2</v>
      </c>
      <c r="P105" s="22"/>
    </row>
    <row r="106" spans="1:16" ht="51.6" customHeight="1" x14ac:dyDescent="0.3">
      <c r="A106" s="47" t="s">
        <v>553</v>
      </c>
      <c r="B106" s="31" t="s">
        <v>554</v>
      </c>
      <c r="C106" s="31">
        <v>0</v>
      </c>
      <c r="D106" s="32" t="s">
        <v>553</v>
      </c>
      <c r="E106" s="31" t="s">
        <v>555</v>
      </c>
      <c r="F106" s="43">
        <v>46133</v>
      </c>
      <c r="G106" s="35" t="s">
        <v>556</v>
      </c>
      <c r="H106" s="43">
        <v>46131</v>
      </c>
      <c r="I106" s="116">
        <f t="shared" si="3"/>
        <v>10</v>
      </c>
      <c r="J106" s="32" t="s">
        <v>557</v>
      </c>
      <c r="K106" s="45">
        <v>46141</v>
      </c>
      <c r="L106" s="35" t="s">
        <v>558</v>
      </c>
      <c r="M106" s="45">
        <v>46141</v>
      </c>
      <c r="N106" s="74">
        <f t="shared" ca="1" si="4"/>
        <v>0</v>
      </c>
      <c r="O106" s="107" t="s">
        <v>2</v>
      </c>
      <c r="P106" s="22"/>
    </row>
    <row r="107" spans="1:16" ht="51.6" customHeight="1" x14ac:dyDescent="0.3">
      <c r="A107" s="47" t="s">
        <v>559</v>
      </c>
      <c r="B107" s="31" t="s">
        <v>560</v>
      </c>
      <c r="C107" s="31">
        <v>0</v>
      </c>
      <c r="D107" s="32" t="s">
        <v>559</v>
      </c>
      <c r="E107" s="31" t="s">
        <v>561</v>
      </c>
      <c r="F107" s="43">
        <v>46133</v>
      </c>
      <c r="G107" s="35" t="s">
        <v>562</v>
      </c>
      <c r="H107" s="43">
        <v>46133</v>
      </c>
      <c r="I107" s="116">
        <f t="shared" si="3"/>
        <v>8</v>
      </c>
      <c r="J107" s="32" t="s">
        <v>563</v>
      </c>
      <c r="K107" s="33">
        <v>46141</v>
      </c>
      <c r="L107" s="35" t="s">
        <v>564</v>
      </c>
      <c r="M107" s="33">
        <v>46156</v>
      </c>
      <c r="N107" s="74">
        <f t="shared" ca="1" si="4"/>
        <v>0</v>
      </c>
      <c r="O107" s="107" t="s">
        <v>2</v>
      </c>
      <c r="P107" s="22"/>
    </row>
    <row r="108" spans="1:16" ht="51.6" customHeight="1" x14ac:dyDescent="0.3">
      <c r="A108" s="47" t="s">
        <v>565</v>
      </c>
      <c r="B108" s="31" t="s">
        <v>566</v>
      </c>
      <c r="C108" s="31">
        <v>0</v>
      </c>
      <c r="D108" s="32" t="s">
        <v>565</v>
      </c>
      <c r="E108" s="31" t="s">
        <v>567</v>
      </c>
      <c r="F108" s="43">
        <v>46133</v>
      </c>
      <c r="G108" s="35" t="s">
        <v>568</v>
      </c>
      <c r="H108" s="43">
        <v>46133</v>
      </c>
      <c r="I108" s="116">
        <f t="shared" si="3"/>
        <v>2</v>
      </c>
      <c r="J108" s="32" t="s">
        <v>569</v>
      </c>
      <c r="K108" s="37">
        <v>46135</v>
      </c>
      <c r="L108" s="35" t="s">
        <v>570</v>
      </c>
      <c r="M108" s="33">
        <v>46135</v>
      </c>
      <c r="N108" s="74">
        <f t="shared" ca="1" si="4"/>
        <v>0</v>
      </c>
      <c r="O108" s="107" t="s">
        <v>2</v>
      </c>
      <c r="P108" s="22"/>
    </row>
    <row r="109" spans="1:16" ht="51.6" customHeight="1" x14ac:dyDescent="0.3">
      <c r="A109" s="47" t="s">
        <v>571</v>
      </c>
      <c r="B109" s="31" t="s">
        <v>572</v>
      </c>
      <c r="C109" s="31">
        <v>0</v>
      </c>
      <c r="D109" s="32" t="s">
        <v>571</v>
      </c>
      <c r="E109" s="31" t="s">
        <v>573</v>
      </c>
      <c r="F109" s="43">
        <v>46133</v>
      </c>
      <c r="G109" s="35" t="s">
        <v>574</v>
      </c>
      <c r="H109" s="43">
        <v>46133</v>
      </c>
      <c r="I109" s="116">
        <f t="shared" si="3"/>
        <v>2</v>
      </c>
      <c r="J109" s="32" t="s">
        <v>575</v>
      </c>
      <c r="K109" s="37">
        <v>46135</v>
      </c>
      <c r="L109" s="35" t="s">
        <v>576</v>
      </c>
      <c r="M109" s="33">
        <v>46135</v>
      </c>
      <c r="N109" s="74">
        <f t="shared" ca="1" si="4"/>
        <v>0</v>
      </c>
      <c r="O109" s="107" t="s">
        <v>2</v>
      </c>
      <c r="P109" s="22"/>
    </row>
    <row r="110" spans="1:16" ht="51.6" customHeight="1" x14ac:dyDescent="0.3">
      <c r="A110" s="47" t="s">
        <v>577</v>
      </c>
      <c r="B110" s="31" t="s">
        <v>578</v>
      </c>
      <c r="C110" s="31">
        <v>0</v>
      </c>
      <c r="D110" s="32" t="s">
        <v>577</v>
      </c>
      <c r="E110" s="31" t="s">
        <v>579</v>
      </c>
      <c r="F110" s="43">
        <v>46133</v>
      </c>
      <c r="G110" s="35" t="s">
        <v>580</v>
      </c>
      <c r="H110" s="43">
        <v>46133</v>
      </c>
      <c r="I110" s="116">
        <f t="shared" si="3"/>
        <v>2</v>
      </c>
      <c r="J110" s="32" t="s">
        <v>581</v>
      </c>
      <c r="K110" s="37">
        <v>46135</v>
      </c>
      <c r="L110" s="35" t="s">
        <v>582</v>
      </c>
      <c r="M110" s="33">
        <v>46135</v>
      </c>
      <c r="N110" s="74">
        <f t="shared" ca="1" si="4"/>
        <v>0</v>
      </c>
      <c r="O110" s="107" t="s">
        <v>2</v>
      </c>
      <c r="P110" s="22"/>
    </row>
    <row r="111" spans="1:16" ht="51.6" customHeight="1" x14ac:dyDescent="0.3">
      <c r="A111" s="47" t="s">
        <v>583</v>
      </c>
      <c r="B111" s="31" t="s">
        <v>584</v>
      </c>
      <c r="C111" s="31">
        <v>0</v>
      </c>
      <c r="D111" s="32" t="s">
        <v>583</v>
      </c>
      <c r="E111" s="31" t="s">
        <v>585</v>
      </c>
      <c r="F111" s="43">
        <v>46133</v>
      </c>
      <c r="G111" s="35" t="s">
        <v>586</v>
      </c>
      <c r="H111" s="43">
        <v>46133</v>
      </c>
      <c r="I111" s="116">
        <f t="shared" si="3"/>
        <v>2</v>
      </c>
      <c r="J111" s="32" t="s">
        <v>587</v>
      </c>
      <c r="K111" s="33">
        <v>46135</v>
      </c>
      <c r="L111" s="35" t="s">
        <v>588</v>
      </c>
      <c r="M111" s="33">
        <v>46135</v>
      </c>
      <c r="N111" s="74">
        <f t="shared" ca="1" si="4"/>
        <v>0</v>
      </c>
      <c r="O111" s="107" t="s">
        <v>2</v>
      </c>
      <c r="P111" s="22"/>
    </row>
    <row r="112" spans="1:16" ht="51.6" customHeight="1" x14ac:dyDescent="0.3">
      <c r="A112" s="47" t="s">
        <v>589</v>
      </c>
      <c r="B112" s="31" t="s">
        <v>590</v>
      </c>
      <c r="C112" s="31">
        <v>0</v>
      </c>
      <c r="D112" s="32" t="s">
        <v>589</v>
      </c>
      <c r="E112" s="31" t="s">
        <v>591</v>
      </c>
      <c r="F112" s="43">
        <v>46133</v>
      </c>
      <c r="G112" s="35" t="s">
        <v>592</v>
      </c>
      <c r="H112" s="43">
        <v>46133</v>
      </c>
      <c r="I112" s="116">
        <f t="shared" si="3"/>
        <v>2</v>
      </c>
      <c r="J112" s="32" t="s">
        <v>593</v>
      </c>
      <c r="K112" s="33">
        <v>46135</v>
      </c>
      <c r="L112" s="35" t="s">
        <v>594</v>
      </c>
      <c r="M112" s="33">
        <v>46135</v>
      </c>
      <c r="N112" s="74">
        <f t="shared" ca="1" si="4"/>
        <v>0</v>
      </c>
      <c r="O112" s="107" t="s">
        <v>2</v>
      </c>
      <c r="P112" s="22"/>
    </row>
    <row r="113" spans="1:16" ht="51.6" customHeight="1" x14ac:dyDescent="0.3">
      <c r="A113" s="47" t="s">
        <v>595</v>
      </c>
      <c r="B113" s="31" t="s">
        <v>596</v>
      </c>
      <c r="C113" s="31">
        <v>0</v>
      </c>
      <c r="D113" s="32" t="s">
        <v>595</v>
      </c>
      <c r="E113" s="31" t="s">
        <v>597</v>
      </c>
      <c r="F113" s="43">
        <v>46133</v>
      </c>
      <c r="G113" s="35" t="s">
        <v>598</v>
      </c>
      <c r="H113" s="43">
        <v>46133</v>
      </c>
      <c r="I113" s="116">
        <f t="shared" si="3"/>
        <v>3</v>
      </c>
      <c r="J113" s="32" t="s">
        <v>599</v>
      </c>
      <c r="K113" s="33">
        <v>46136</v>
      </c>
      <c r="L113" s="35" t="s">
        <v>600</v>
      </c>
      <c r="M113" s="33">
        <v>46138</v>
      </c>
      <c r="N113" s="74">
        <f t="shared" ca="1" si="4"/>
        <v>0</v>
      </c>
      <c r="O113" s="107" t="s">
        <v>2</v>
      </c>
      <c r="P113" s="22"/>
    </row>
    <row r="114" spans="1:16" ht="51.6" customHeight="1" x14ac:dyDescent="0.3">
      <c r="A114" s="47" t="s">
        <v>601</v>
      </c>
      <c r="B114" s="31" t="s">
        <v>602</v>
      </c>
      <c r="C114" s="31">
        <v>0</v>
      </c>
      <c r="D114" s="32" t="s">
        <v>601</v>
      </c>
      <c r="E114" s="31" t="s">
        <v>603</v>
      </c>
      <c r="F114" s="43">
        <v>46133</v>
      </c>
      <c r="G114" s="35" t="s">
        <v>604</v>
      </c>
      <c r="H114" s="43">
        <v>46133</v>
      </c>
      <c r="I114" s="116">
        <f t="shared" si="3"/>
        <v>2</v>
      </c>
      <c r="J114" s="32" t="s">
        <v>605</v>
      </c>
      <c r="K114" s="33">
        <v>46135</v>
      </c>
      <c r="L114" s="35" t="s">
        <v>606</v>
      </c>
      <c r="M114" s="33">
        <v>46135</v>
      </c>
      <c r="N114" s="74">
        <f t="shared" ca="1" si="4"/>
        <v>0</v>
      </c>
      <c r="O114" s="107" t="s">
        <v>2</v>
      </c>
      <c r="P114" s="22"/>
    </row>
    <row r="115" spans="1:16" ht="51.6" customHeight="1" x14ac:dyDescent="0.3">
      <c r="A115" s="47"/>
      <c r="B115" s="31" t="s">
        <v>607</v>
      </c>
      <c r="C115" s="31">
        <v>1</v>
      </c>
      <c r="D115" s="32" t="s">
        <v>608</v>
      </c>
      <c r="E115" s="31" t="s">
        <v>609</v>
      </c>
      <c r="F115" s="43">
        <v>46139</v>
      </c>
      <c r="G115" s="35" t="s">
        <v>610</v>
      </c>
      <c r="H115" s="43">
        <v>46139</v>
      </c>
      <c r="I115" s="116">
        <f t="shared" si="3"/>
        <v>1</v>
      </c>
      <c r="J115" s="32" t="s">
        <v>611</v>
      </c>
      <c r="K115" s="33">
        <v>46140</v>
      </c>
      <c r="L115" s="35" t="s">
        <v>612</v>
      </c>
      <c r="M115" s="33">
        <v>46140</v>
      </c>
      <c r="N115" s="74">
        <f t="shared" ca="1" si="4"/>
        <v>0</v>
      </c>
      <c r="O115" s="107" t="s">
        <v>2</v>
      </c>
      <c r="P115" s="22"/>
    </row>
    <row r="116" spans="1:16" ht="51.6" customHeight="1" x14ac:dyDescent="0.3">
      <c r="A116" s="47" t="s">
        <v>613</v>
      </c>
      <c r="B116" s="31" t="s">
        <v>614</v>
      </c>
      <c r="C116" s="31">
        <v>0</v>
      </c>
      <c r="D116" s="32" t="s">
        <v>613</v>
      </c>
      <c r="E116" s="31" t="s">
        <v>615</v>
      </c>
      <c r="F116" s="43">
        <v>46133</v>
      </c>
      <c r="G116" s="35" t="s">
        <v>616</v>
      </c>
      <c r="H116" s="43">
        <v>46133</v>
      </c>
      <c r="I116" s="116">
        <f t="shared" si="3"/>
        <v>6</v>
      </c>
      <c r="J116" s="32" t="s">
        <v>617</v>
      </c>
      <c r="K116" s="33">
        <v>46139</v>
      </c>
      <c r="L116" s="35" t="s">
        <v>618</v>
      </c>
      <c r="M116" s="33">
        <v>46139</v>
      </c>
      <c r="N116" s="74">
        <f t="shared" ca="1" si="4"/>
        <v>0</v>
      </c>
      <c r="O116" s="107" t="s">
        <v>2</v>
      </c>
      <c r="P116" s="22"/>
    </row>
    <row r="117" spans="1:16" ht="51.6" customHeight="1" x14ac:dyDescent="0.3">
      <c r="A117" s="47" t="s">
        <v>619</v>
      </c>
      <c r="B117" s="31" t="s">
        <v>620</v>
      </c>
      <c r="C117" s="31">
        <v>0</v>
      </c>
      <c r="D117" s="32" t="s">
        <v>619</v>
      </c>
      <c r="E117" s="31" t="s">
        <v>621</v>
      </c>
      <c r="F117" s="43">
        <v>46133</v>
      </c>
      <c r="G117" s="35" t="s">
        <v>622</v>
      </c>
      <c r="H117" s="43">
        <v>46133</v>
      </c>
      <c r="I117" s="116">
        <f t="shared" si="3"/>
        <v>6</v>
      </c>
      <c r="J117" s="32" t="s">
        <v>623</v>
      </c>
      <c r="K117" s="33">
        <v>46139</v>
      </c>
      <c r="L117" s="35" t="s">
        <v>624</v>
      </c>
      <c r="M117" s="33">
        <v>46139</v>
      </c>
      <c r="N117" s="74">
        <f t="shared" ca="1" si="4"/>
        <v>0</v>
      </c>
      <c r="O117" s="107" t="s">
        <v>2</v>
      </c>
      <c r="P117" s="22"/>
    </row>
    <row r="118" spans="1:16" ht="51.6" customHeight="1" x14ac:dyDescent="0.3">
      <c r="A118" s="47" t="s">
        <v>625</v>
      </c>
      <c r="B118" s="31" t="s">
        <v>626</v>
      </c>
      <c r="C118" s="31">
        <v>0</v>
      </c>
      <c r="D118" s="32" t="s">
        <v>625</v>
      </c>
      <c r="E118" s="31" t="s">
        <v>627</v>
      </c>
      <c r="F118" s="43">
        <v>46133</v>
      </c>
      <c r="G118" s="35" t="s">
        <v>628</v>
      </c>
      <c r="H118" s="43">
        <v>46133</v>
      </c>
      <c r="I118" s="116">
        <f t="shared" si="3"/>
        <v>2</v>
      </c>
      <c r="J118" s="32" t="s">
        <v>629</v>
      </c>
      <c r="K118" s="33">
        <v>46135</v>
      </c>
      <c r="L118" s="35" t="s">
        <v>630</v>
      </c>
      <c r="M118" s="33">
        <v>46135</v>
      </c>
      <c r="N118" s="74">
        <f t="shared" ca="1" si="4"/>
        <v>0</v>
      </c>
      <c r="O118" s="107" t="s">
        <v>2</v>
      </c>
      <c r="P118" s="22"/>
    </row>
    <row r="119" spans="1:16" ht="51.6" customHeight="1" x14ac:dyDescent="0.3">
      <c r="A119" s="47" t="s">
        <v>631</v>
      </c>
      <c r="B119" s="31" t="s">
        <v>632</v>
      </c>
      <c r="C119" s="31">
        <v>0</v>
      </c>
      <c r="D119" s="32" t="s">
        <v>631</v>
      </c>
      <c r="E119" s="31" t="s">
        <v>633</v>
      </c>
      <c r="F119" s="43">
        <v>46133</v>
      </c>
      <c r="G119" s="35" t="s">
        <v>634</v>
      </c>
      <c r="H119" s="43">
        <v>46133</v>
      </c>
      <c r="I119" s="116">
        <f t="shared" si="3"/>
        <v>6</v>
      </c>
      <c r="J119" s="32" t="s">
        <v>635</v>
      </c>
      <c r="K119" s="33">
        <v>46139</v>
      </c>
      <c r="L119" s="35" t="s">
        <v>636</v>
      </c>
      <c r="M119" s="33">
        <v>46139</v>
      </c>
      <c r="N119" s="74">
        <f t="shared" ca="1" si="4"/>
        <v>0</v>
      </c>
      <c r="O119" s="107" t="s">
        <v>2</v>
      </c>
      <c r="P119" s="22"/>
    </row>
    <row r="120" spans="1:16" ht="51.6" customHeight="1" x14ac:dyDescent="0.3">
      <c r="A120" s="47" t="s">
        <v>637</v>
      </c>
      <c r="B120" s="31" t="s">
        <v>638</v>
      </c>
      <c r="C120" s="31">
        <v>0</v>
      </c>
      <c r="D120" s="32" t="s">
        <v>637</v>
      </c>
      <c r="E120" s="31" t="s">
        <v>639</v>
      </c>
      <c r="F120" s="43">
        <v>46133</v>
      </c>
      <c r="G120" s="35" t="s">
        <v>640</v>
      </c>
      <c r="H120" s="44">
        <v>46138</v>
      </c>
      <c r="I120" s="116">
        <f t="shared" si="3"/>
        <v>1</v>
      </c>
      <c r="J120" s="32" t="s">
        <v>641</v>
      </c>
      <c r="K120" s="33">
        <v>46139</v>
      </c>
      <c r="L120" s="35" t="s">
        <v>642</v>
      </c>
      <c r="M120" s="33">
        <v>46139</v>
      </c>
      <c r="N120" s="74">
        <f t="shared" ca="1" si="4"/>
        <v>0</v>
      </c>
      <c r="O120" s="107" t="s">
        <v>2</v>
      </c>
      <c r="P120" s="22"/>
    </row>
    <row r="121" spans="1:16" ht="51.6" customHeight="1" x14ac:dyDescent="0.3">
      <c r="A121" s="47" t="s">
        <v>643</v>
      </c>
      <c r="B121" s="31" t="s">
        <v>644</v>
      </c>
      <c r="C121" s="31">
        <v>0</v>
      </c>
      <c r="D121" s="32" t="s">
        <v>643</v>
      </c>
      <c r="E121" s="31" t="s">
        <v>645</v>
      </c>
      <c r="F121" s="43">
        <v>46133</v>
      </c>
      <c r="G121" s="35" t="s">
        <v>646</v>
      </c>
      <c r="H121" s="43">
        <v>46133</v>
      </c>
      <c r="I121" s="116">
        <f t="shared" si="3"/>
        <v>2</v>
      </c>
      <c r="J121" s="32" t="s">
        <v>647</v>
      </c>
      <c r="K121" s="33">
        <v>46135</v>
      </c>
      <c r="L121" s="35" t="s">
        <v>648</v>
      </c>
      <c r="M121" s="33">
        <v>46135</v>
      </c>
      <c r="N121" s="74">
        <f t="shared" ca="1" si="4"/>
        <v>0</v>
      </c>
      <c r="O121" s="107" t="s">
        <v>2</v>
      </c>
      <c r="P121" s="22"/>
    </row>
    <row r="122" spans="1:16" ht="51.6" customHeight="1" x14ac:dyDescent="0.3">
      <c r="A122" s="47" t="s">
        <v>649</v>
      </c>
      <c r="B122" s="31" t="s">
        <v>650</v>
      </c>
      <c r="C122" s="31">
        <v>0</v>
      </c>
      <c r="D122" s="32" t="s">
        <v>649</v>
      </c>
      <c r="E122" s="31" t="s">
        <v>651</v>
      </c>
      <c r="F122" s="43">
        <v>46133</v>
      </c>
      <c r="G122" s="35" t="s">
        <v>652</v>
      </c>
      <c r="H122" s="43">
        <v>46133</v>
      </c>
      <c r="I122" s="116">
        <f t="shared" si="3"/>
        <v>6</v>
      </c>
      <c r="J122" s="32" t="s">
        <v>653</v>
      </c>
      <c r="K122" s="33">
        <v>46139</v>
      </c>
      <c r="L122" s="35" t="s">
        <v>654</v>
      </c>
      <c r="M122" s="33">
        <v>46139</v>
      </c>
      <c r="N122" s="74">
        <f t="shared" ca="1" si="4"/>
        <v>0</v>
      </c>
      <c r="O122" s="107" t="s">
        <v>2</v>
      </c>
      <c r="P122" s="22"/>
    </row>
    <row r="123" spans="1:16" ht="51.6" customHeight="1" x14ac:dyDescent="0.3">
      <c r="A123" s="47" t="s">
        <v>655</v>
      </c>
      <c r="B123" s="31" t="s">
        <v>656</v>
      </c>
      <c r="C123" s="31">
        <v>0</v>
      </c>
      <c r="D123" s="32" t="s">
        <v>655</v>
      </c>
      <c r="E123" s="31" t="s">
        <v>657</v>
      </c>
      <c r="F123" s="43">
        <v>46133</v>
      </c>
      <c r="G123" s="35" t="s">
        <v>658</v>
      </c>
      <c r="H123" s="43">
        <v>46133</v>
      </c>
      <c r="I123" s="116">
        <f t="shared" si="3"/>
        <v>6</v>
      </c>
      <c r="J123" s="32" t="s">
        <v>659</v>
      </c>
      <c r="K123" s="33">
        <v>46139</v>
      </c>
      <c r="L123" s="35" t="s">
        <v>660</v>
      </c>
      <c r="M123" s="33">
        <v>46139</v>
      </c>
      <c r="N123" s="74">
        <f t="shared" ca="1" si="4"/>
        <v>0</v>
      </c>
      <c r="O123" s="107" t="s">
        <v>2</v>
      </c>
      <c r="P123" s="22"/>
    </row>
    <row r="124" spans="1:16" ht="51.6" customHeight="1" x14ac:dyDescent="0.3">
      <c r="A124" s="47" t="s">
        <v>661</v>
      </c>
      <c r="B124" s="31" t="s">
        <v>662</v>
      </c>
      <c r="C124" s="31">
        <v>0</v>
      </c>
      <c r="D124" s="32" t="s">
        <v>661</v>
      </c>
      <c r="E124" s="31" t="s">
        <v>663</v>
      </c>
      <c r="F124" s="43">
        <v>46133</v>
      </c>
      <c r="G124" s="35" t="s">
        <v>664</v>
      </c>
      <c r="H124" s="43">
        <v>46133</v>
      </c>
      <c r="I124" s="116">
        <f t="shared" si="3"/>
        <v>6</v>
      </c>
      <c r="J124" s="32" t="s">
        <v>665</v>
      </c>
      <c r="K124" s="33">
        <v>46139</v>
      </c>
      <c r="L124" s="35" t="s">
        <v>666</v>
      </c>
      <c r="M124" s="33">
        <v>46139</v>
      </c>
      <c r="N124" s="74">
        <f t="shared" ca="1" si="4"/>
        <v>0</v>
      </c>
      <c r="O124" s="107" t="s">
        <v>2</v>
      </c>
      <c r="P124" s="22"/>
    </row>
    <row r="125" spans="1:16" ht="51.6" customHeight="1" x14ac:dyDescent="0.3">
      <c r="A125" s="47" t="s">
        <v>667</v>
      </c>
      <c r="B125" s="31" t="s">
        <v>668</v>
      </c>
      <c r="C125" s="31">
        <v>0</v>
      </c>
      <c r="D125" s="32" t="s">
        <v>667</v>
      </c>
      <c r="E125" s="31" t="s">
        <v>669</v>
      </c>
      <c r="F125" s="43">
        <v>46133</v>
      </c>
      <c r="G125" s="35" t="s">
        <v>670</v>
      </c>
      <c r="H125" s="44">
        <v>46138</v>
      </c>
      <c r="I125" s="116">
        <f t="shared" si="3"/>
        <v>1</v>
      </c>
      <c r="J125" s="32" t="s">
        <v>671</v>
      </c>
      <c r="K125" s="33">
        <v>46139</v>
      </c>
      <c r="L125" s="35" t="s">
        <v>672</v>
      </c>
      <c r="M125" s="33">
        <v>46139</v>
      </c>
      <c r="N125" s="74">
        <f t="shared" ca="1" si="4"/>
        <v>0</v>
      </c>
      <c r="O125" s="107" t="s">
        <v>2</v>
      </c>
      <c r="P125" s="22"/>
    </row>
    <row r="126" spans="1:16" ht="51.6" customHeight="1" x14ac:dyDescent="0.3">
      <c r="A126" s="47" t="s">
        <v>673</v>
      </c>
      <c r="B126" s="19" t="s">
        <v>674</v>
      </c>
      <c r="C126" s="31">
        <v>0</v>
      </c>
      <c r="D126" s="36" t="s">
        <v>673</v>
      </c>
      <c r="E126" s="19" t="s">
        <v>675</v>
      </c>
      <c r="F126" s="43">
        <v>46133</v>
      </c>
      <c r="G126" s="40" t="s">
        <v>676</v>
      </c>
      <c r="H126" s="39">
        <v>46133</v>
      </c>
      <c r="I126" s="116">
        <f t="shared" si="3"/>
        <v>2</v>
      </c>
      <c r="J126" s="36" t="s">
        <v>677</v>
      </c>
      <c r="K126" s="33">
        <v>46135</v>
      </c>
      <c r="L126" s="40" t="s">
        <v>678</v>
      </c>
      <c r="M126" s="33">
        <v>46135</v>
      </c>
      <c r="N126" s="74">
        <f t="shared" ca="1" si="4"/>
        <v>0</v>
      </c>
      <c r="O126" s="107" t="s">
        <v>2</v>
      </c>
      <c r="P126" s="23"/>
    </row>
    <row r="127" spans="1:16" ht="51.6" customHeight="1" x14ac:dyDescent="0.3">
      <c r="A127" s="47"/>
      <c r="B127" s="19" t="s">
        <v>679</v>
      </c>
      <c r="C127" s="31">
        <v>0</v>
      </c>
      <c r="D127" s="36" t="s">
        <v>680</v>
      </c>
      <c r="E127" s="19" t="s">
        <v>681</v>
      </c>
      <c r="F127" s="43">
        <v>46135</v>
      </c>
      <c r="G127" s="40" t="s">
        <v>682</v>
      </c>
      <c r="H127" s="39">
        <v>46135</v>
      </c>
      <c r="I127" s="116">
        <f t="shared" si="3"/>
        <v>1</v>
      </c>
      <c r="J127" s="36" t="s">
        <v>683</v>
      </c>
      <c r="K127" s="33">
        <v>46136</v>
      </c>
      <c r="L127" s="40" t="s">
        <v>684</v>
      </c>
      <c r="M127" s="33">
        <v>46138</v>
      </c>
      <c r="N127" s="74">
        <f t="shared" ca="1" si="4"/>
        <v>0</v>
      </c>
      <c r="O127" s="107" t="s">
        <v>2</v>
      </c>
      <c r="P127" s="23"/>
    </row>
    <row r="128" spans="1:16" ht="68.400000000000006" customHeight="1" x14ac:dyDescent="0.3">
      <c r="A128" s="47"/>
      <c r="B128" s="19" t="s">
        <v>685</v>
      </c>
      <c r="C128" s="31">
        <v>0</v>
      </c>
      <c r="D128" s="36" t="s">
        <v>686</v>
      </c>
      <c r="E128" s="19" t="s">
        <v>687</v>
      </c>
      <c r="F128" s="43">
        <v>46135</v>
      </c>
      <c r="G128" s="40" t="s">
        <v>688</v>
      </c>
      <c r="H128" s="39">
        <v>46135</v>
      </c>
      <c r="I128" s="116">
        <f t="shared" si="3"/>
        <v>7</v>
      </c>
      <c r="J128" s="36" t="s">
        <v>689</v>
      </c>
      <c r="K128" s="33">
        <v>46142</v>
      </c>
      <c r="L128" s="40" t="s">
        <v>690</v>
      </c>
      <c r="M128" s="33">
        <v>46142</v>
      </c>
      <c r="N128" s="74">
        <f t="shared" ca="1" si="4"/>
        <v>0</v>
      </c>
      <c r="O128" s="107" t="s">
        <v>2</v>
      </c>
      <c r="P128" s="23"/>
    </row>
    <row r="129" spans="1:16" ht="68.400000000000006" customHeight="1" x14ac:dyDescent="0.3">
      <c r="A129" s="47"/>
      <c r="B129" s="19" t="s">
        <v>691</v>
      </c>
      <c r="C129" s="31">
        <v>0</v>
      </c>
      <c r="D129" s="36" t="s">
        <v>692</v>
      </c>
      <c r="E129" s="19" t="s">
        <v>693</v>
      </c>
      <c r="F129" s="43">
        <v>46140</v>
      </c>
      <c r="G129" s="40" t="s">
        <v>694</v>
      </c>
      <c r="H129" s="39">
        <v>46140</v>
      </c>
      <c r="I129" s="116">
        <f t="shared" si="3"/>
        <v>2</v>
      </c>
      <c r="J129" s="36" t="s">
        <v>695</v>
      </c>
      <c r="K129" s="33">
        <v>46142</v>
      </c>
      <c r="L129" s="40" t="s">
        <v>696</v>
      </c>
      <c r="M129" s="33">
        <v>46142</v>
      </c>
      <c r="N129" s="74">
        <f t="shared" ca="1" si="4"/>
        <v>0</v>
      </c>
      <c r="O129" s="107" t="s">
        <v>2</v>
      </c>
      <c r="P129" s="23"/>
    </row>
    <row r="130" spans="1:16" ht="68.400000000000006" customHeight="1" x14ac:dyDescent="0.3">
      <c r="A130" s="47"/>
      <c r="B130" s="19" t="s">
        <v>697</v>
      </c>
      <c r="C130" s="31">
        <v>0</v>
      </c>
      <c r="D130" s="36" t="s">
        <v>698</v>
      </c>
      <c r="E130" s="19" t="s">
        <v>699</v>
      </c>
      <c r="F130" s="43">
        <v>46140</v>
      </c>
      <c r="G130" s="40" t="s">
        <v>700</v>
      </c>
      <c r="H130" s="39">
        <v>46140</v>
      </c>
      <c r="I130" s="116">
        <f t="shared" si="3"/>
        <v>2</v>
      </c>
      <c r="J130" s="36" t="s">
        <v>701</v>
      </c>
      <c r="K130" s="33">
        <v>46142</v>
      </c>
      <c r="L130" s="40" t="s">
        <v>702</v>
      </c>
      <c r="M130" s="33">
        <v>46142</v>
      </c>
      <c r="N130" s="74">
        <f t="shared" ca="1" si="4"/>
        <v>0</v>
      </c>
      <c r="O130" s="107" t="s">
        <v>2</v>
      </c>
      <c r="P130" s="23"/>
    </row>
    <row r="131" spans="1:16" ht="68.400000000000006" customHeight="1" x14ac:dyDescent="0.3">
      <c r="A131" s="47"/>
      <c r="B131" s="19" t="s">
        <v>703</v>
      </c>
      <c r="C131" s="31">
        <v>0</v>
      </c>
      <c r="D131" s="36" t="s">
        <v>704</v>
      </c>
      <c r="E131" s="19" t="s">
        <v>705</v>
      </c>
      <c r="F131" s="43">
        <v>46140</v>
      </c>
      <c r="G131" s="40" t="s">
        <v>706</v>
      </c>
      <c r="H131" s="39">
        <v>46140</v>
      </c>
      <c r="I131" s="116">
        <f t="shared" si="3"/>
        <v>2</v>
      </c>
      <c r="J131" s="36" t="s">
        <v>707</v>
      </c>
      <c r="K131" s="33">
        <v>46142</v>
      </c>
      <c r="L131" s="40" t="s">
        <v>708</v>
      </c>
      <c r="M131" s="33">
        <v>46142</v>
      </c>
      <c r="N131" s="74">
        <f t="shared" ca="1" si="4"/>
        <v>0</v>
      </c>
      <c r="O131" s="107" t="s">
        <v>2</v>
      </c>
      <c r="P131" s="23"/>
    </row>
    <row r="132" spans="1:16" ht="68.400000000000006" customHeight="1" x14ac:dyDescent="0.3">
      <c r="A132" s="47"/>
      <c r="B132" s="19" t="s">
        <v>709</v>
      </c>
      <c r="C132" s="31">
        <v>0</v>
      </c>
      <c r="D132" s="36" t="s">
        <v>710</v>
      </c>
      <c r="E132" s="19" t="s">
        <v>711</v>
      </c>
      <c r="F132" s="43">
        <v>46145</v>
      </c>
      <c r="G132" s="40" t="s">
        <v>712</v>
      </c>
      <c r="H132" s="39">
        <v>46145</v>
      </c>
      <c r="I132" s="116">
        <f t="shared" si="3"/>
        <v>10</v>
      </c>
      <c r="J132" s="36" t="s">
        <v>713</v>
      </c>
      <c r="K132" s="33">
        <v>46155</v>
      </c>
      <c r="L132" s="40" t="s">
        <v>714</v>
      </c>
      <c r="M132" s="33">
        <v>46155</v>
      </c>
      <c r="N132" s="74">
        <f t="shared" ca="1" si="4"/>
        <v>0</v>
      </c>
      <c r="O132" s="107" t="s">
        <v>2</v>
      </c>
      <c r="P132" s="23"/>
    </row>
    <row r="133" spans="1:16" ht="68.400000000000006" customHeight="1" x14ac:dyDescent="0.3">
      <c r="A133" s="47"/>
      <c r="B133" s="19" t="s">
        <v>715</v>
      </c>
      <c r="C133" s="31">
        <v>0</v>
      </c>
      <c r="D133" s="36" t="s">
        <v>716</v>
      </c>
      <c r="E133" s="19" t="s">
        <v>717</v>
      </c>
      <c r="F133" s="43">
        <v>46141</v>
      </c>
      <c r="G133" s="40" t="s">
        <v>718</v>
      </c>
      <c r="H133" s="39">
        <v>46141</v>
      </c>
      <c r="I133" s="116">
        <f t="shared" si="3"/>
        <v>12</v>
      </c>
      <c r="J133" s="36" t="s">
        <v>719</v>
      </c>
      <c r="K133" s="33">
        <v>46153</v>
      </c>
      <c r="L133" s="40" t="s">
        <v>720</v>
      </c>
      <c r="M133" s="33">
        <v>46153</v>
      </c>
      <c r="N133" s="74">
        <f t="shared" ca="1" si="4"/>
        <v>0</v>
      </c>
      <c r="O133" s="107" t="s">
        <v>2</v>
      </c>
      <c r="P133" s="23"/>
    </row>
    <row r="134" spans="1:16" ht="68.400000000000006" customHeight="1" x14ac:dyDescent="0.3">
      <c r="A134" s="47"/>
      <c r="B134" s="19" t="s">
        <v>721</v>
      </c>
      <c r="C134" s="31">
        <v>0</v>
      </c>
      <c r="D134" s="36" t="s">
        <v>722</v>
      </c>
      <c r="E134" s="19" t="s">
        <v>723</v>
      </c>
      <c r="F134" s="43">
        <v>46148</v>
      </c>
      <c r="G134" s="40" t="s">
        <v>724</v>
      </c>
      <c r="H134" s="39">
        <v>46148</v>
      </c>
      <c r="I134" s="116">
        <f t="shared" si="3"/>
        <v>5</v>
      </c>
      <c r="J134" s="36" t="s">
        <v>725</v>
      </c>
      <c r="K134" s="33">
        <v>46153</v>
      </c>
      <c r="L134" s="40" t="s">
        <v>726</v>
      </c>
      <c r="M134" s="33">
        <v>46153</v>
      </c>
      <c r="N134" s="74">
        <f t="shared" ca="1" si="4"/>
        <v>0</v>
      </c>
      <c r="O134" s="107" t="s">
        <v>2</v>
      </c>
      <c r="P134" s="23"/>
    </row>
    <row r="135" spans="1:16" ht="68.400000000000006" customHeight="1" x14ac:dyDescent="0.3">
      <c r="A135" s="47"/>
      <c r="B135" s="19" t="s">
        <v>727</v>
      </c>
      <c r="C135" s="31">
        <v>0</v>
      </c>
      <c r="D135" s="36" t="s">
        <v>728</v>
      </c>
      <c r="E135" s="19" t="s">
        <v>729</v>
      </c>
      <c r="F135" s="43">
        <v>46150</v>
      </c>
      <c r="G135" s="40" t="s">
        <v>730</v>
      </c>
      <c r="H135" s="39">
        <v>46152</v>
      </c>
      <c r="I135" s="116">
        <f t="shared" ref="I135:I150" si="6">K135-H135</f>
        <v>8</v>
      </c>
      <c r="J135" s="36" t="s">
        <v>731</v>
      </c>
      <c r="K135" s="33">
        <v>46160</v>
      </c>
      <c r="L135" s="40" t="s">
        <v>732</v>
      </c>
      <c r="M135" s="33">
        <v>46160</v>
      </c>
      <c r="N135" s="74">
        <f t="shared" ca="1" si="4"/>
        <v>0</v>
      </c>
      <c r="O135" s="107" t="s">
        <v>2</v>
      </c>
      <c r="P135" s="23"/>
    </row>
    <row r="136" spans="1:16" ht="51.6" customHeight="1" x14ac:dyDescent="0.3">
      <c r="A136" s="47"/>
      <c r="B136" s="19" t="s">
        <v>733</v>
      </c>
      <c r="C136" s="31">
        <v>0</v>
      </c>
      <c r="D136" s="36" t="s">
        <v>734</v>
      </c>
      <c r="E136" s="19" t="s">
        <v>735</v>
      </c>
      <c r="F136" s="43">
        <v>46136</v>
      </c>
      <c r="G136" s="40" t="s">
        <v>736</v>
      </c>
      <c r="H136" s="39">
        <v>46138</v>
      </c>
      <c r="I136" s="116">
        <f t="shared" si="6"/>
        <v>3</v>
      </c>
      <c r="J136" s="36" t="s">
        <v>737</v>
      </c>
      <c r="K136" s="33">
        <v>46141</v>
      </c>
      <c r="L136" s="40" t="s">
        <v>738</v>
      </c>
      <c r="M136" s="33">
        <v>46141</v>
      </c>
      <c r="N136" s="74">
        <f t="shared" ca="1" si="4"/>
        <v>0</v>
      </c>
      <c r="O136" s="107" t="s">
        <v>2</v>
      </c>
      <c r="P136" s="23"/>
    </row>
    <row r="137" spans="1:16" ht="51.6" customHeight="1" x14ac:dyDescent="0.3">
      <c r="A137" s="47"/>
      <c r="B137" s="19" t="s">
        <v>739</v>
      </c>
      <c r="C137" s="31">
        <v>0</v>
      </c>
      <c r="D137" s="36" t="s">
        <v>740</v>
      </c>
      <c r="E137" s="19" t="s">
        <v>741</v>
      </c>
      <c r="F137" s="43">
        <v>46140</v>
      </c>
      <c r="G137" s="7" t="s">
        <v>742</v>
      </c>
      <c r="H137" s="39">
        <v>46140</v>
      </c>
      <c r="I137" s="116">
        <f t="shared" si="6"/>
        <v>2</v>
      </c>
      <c r="J137" s="13" t="s">
        <v>743</v>
      </c>
      <c r="K137" s="4">
        <v>46142</v>
      </c>
      <c r="L137" s="7" t="s">
        <v>744</v>
      </c>
      <c r="M137" s="4">
        <v>46142</v>
      </c>
      <c r="N137" s="74">
        <f t="shared" ca="1" si="4"/>
        <v>0</v>
      </c>
      <c r="O137" s="107" t="s">
        <v>2</v>
      </c>
      <c r="P137" s="23"/>
    </row>
    <row r="138" spans="1:16" ht="51.6" customHeight="1" x14ac:dyDescent="0.3">
      <c r="A138" s="47"/>
      <c r="B138" s="19" t="s">
        <v>745</v>
      </c>
      <c r="C138" s="31">
        <v>0</v>
      </c>
      <c r="D138" s="36" t="s">
        <v>746</v>
      </c>
      <c r="E138" s="19" t="s">
        <v>747</v>
      </c>
      <c r="F138" s="43">
        <v>46139</v>
      </c>
      <c r="G138" s="40" t="s">
        <v>748</v>
      </c>
      <c r="H138" s="39">
        <v>46139</v>
      </c>
      <c r="I138" s="116">
        <f t="shared" si="6"/>
        <v>1</v>
      </c>
      <c r="J138" s="36" t="s">
        <v>749</v>
      </c>
      <c r="K138" s="33">
        <v>46140</v>
      </c>
      <c r="L138" s="40" t="s">
        <v>750</v>
      </c>
      <c r="M138" s="33">
        <v>46140</v>
      </c>
      <c r="N138" s="74">
        <f t="shared" ca="1" si="4"/>
        <v>0</v>
      </c>
      <c r="O138" s="107" t="s">
        <v>2</v>
      </c>
      <c r="P138" s="23"/>
    </row>
    <row r="139" spans="1:16" ht="51.6" customHeight="1" x14ac:dyDescent="0.3">
      <c r="A139" s="47"/>
      <c r="B139" s="19" t="s">
        <v>751</v>
      </c>
      <c r="C139" s="31">
        <v>0</v>
      </c>
      <c r="D139" s="36" t="s">
        <v>752</v>
      </c>
      <c r="E139" s="19" t="s">
        <v>753</v>
      </c>
      <c r="F139" s="43">
        <v>46140</v>
      </c>
      <c r="G139" s="40" t="s">
        <v>754</v>
      </c>
      <c r="H139" s="39">
        <v>46140</v>
      </c>
      <c r="I139" s="116">
        <f t="shared" si="6"/>
        <v>2</v>
      </c>
      <c r="J139" s="36" t="s">
        <v>755</v>
      </c>
      <c r="K139" s="33">
        <v>46142</v>
      </c>
      <c r="L139" s="40" t="s">
        <v>756</v>
      </c>
      <c r="M139" s="38">
        <v>46142</v>
      </c>
      <c r="N139" s="74">
        <f t="shared" ca="1" si="4"/>
        <v>0</v>
      </c>
      <c r="O139" s="107" t="s">
        <v>2</v>
      </c>
      <c r="P139" s="23"/>
    </row>
    <row r="140" spans="1:16" ht="51.6" customHeight="1" x14ac:dyDescent="0.3">
      <c r="A140" s="47"/>
      <c r="B140" s="19" t="s">
        <v>757</v>
      </c>
      <c r="C140" s="31">
        <v>0</v>
      </c>
      <c r="D140" s="36" t="s">
        <v>758</v>
      </c>
      <c r="E140" s="19" t="s">
        <v>759</v>
      </c>
      <c r="F140" s="43">
        <v>46140</v>
      </c>
      <c r="G140" s="40" t="s">
        <v>760</v>
      </c>
      <c r="H140" s="39">
        <v>46140</v>
      </c>
      <c r="I140" s="116">
        <f t="shared" si="6"/>
        <v>2</v>
      </c>
      <c r="J140" s="36" t="s">
        <v>761</v>
      </c>
      <c r="K140" s="33">
        <v>46142</v>
      </c>
      <c r="L140" s="40" t="s">
        <v>762</v>
      </c>
      <c r="M140" s="38">
        <v>46142</v>
      </c>
      <c r="N140" s="74">
        <f t="shared" ca="1" si="4"/>
        <v>0</v>
      </c>
      <c r="O140" s="107" t="s">
        <v>2</v>
      </c>
      <c r="P140" s="23"/>
    </row>
    <row r="141" spans="1:16" ht="51.6" customHeight="1" x14ac:dyDescent="0.3">
      <c r="A141" s="47"/>
      <c r="B141" s="19" t="s">
        <v>763</v>
      </c>
      <c r="C141" s="31">
        <v>0</v>
      </c>
      <c r="D141" s="36" t="s">
        <v>764</v>
      </c>
      <c r="E141" s="19" t="s">
        <v>765</v>
      </c>
      <c r="F141" s="43">
        <v>46084</v>
      </c>
      <c r="G141" s="40" t="s">
        <v>766</v>
      </c>
      <c r="H141" s="39">
        <v>46140</v>
      </c>
      <c r="I141" s="116">
        <f t="shared" si="6"/>
        <v>2</v>
      </c>
      <c r="J141" s="36" t="s">
        <v>767</v>
      </c>
      <c r="K141" s="33">
        <v>46142</v>
      </c>
      <c r="L141" s="40" t="s">
        <v>768</v>
      </c>
      <c r="M141" s="33">
        <v>46142</v>
      </c>
      <c r="N141" s="74">
        <f t="shared" ca="1" si="4"/>
        <v>0</v>
      </c>
      <c r="O141" s="107" t="s">
        <v>2</v>
      </c>
      <c r="P141" s="23"/>
    </row>
    <row r="142" spans="1:16" ht="51.6" customHeight="1" x14ac:dyDescent="0.3">
      <c r="A142" s="47"/>
      <c r="B142" s="19" t="s">
        <v>769</v>
      </c>
      <c r="C142" s="31">
        <v>0</v>
      </c>
      <c r="D142" s="36" t="s">
        <v>770</v>
      </c>
      <c r="E142" s="19" t="s">
        <v>771</v>
      </c>
      <c r="F142" s="43">
        <v>46141</v>
      </c>
      <c r="G142" s="40" t="s">
        <v>772</v>
      </c>
      <c r="H142" s="39">
        <v>46141</v>
      </c>
      <c r="I142" s="116">
        <f t="shared" si="6"/>
        <v>5</v>
      </c>
      <c r="J142" s="36" t="s">
        <v>773</v>
      </c>
      <c r="K142" s="33">
        <v>46146</v>
      </c>
      <c r="L142" s="40" t="s">
        <v>774</v>
      </c>
      <c r="M142" s="33">
        <v>46146</v>
      </c>
      <c r="N142" s="74">
        <f t="shared" ca="1" si="4"/>
        <v>0</v>
      </c>
      <c r="O142" s="107" t="s">
        <v>2</v>
      </c>
      <c r="P142" s="23"/>
    </row>
    <row r="143" spans="1:16" ht="51.6" customHeight="1" x14ac:dyDescent="0.3">
      <c r="A143" s="47"/>
      <c r="B143" s="19" t="s">
        <v>775</v>
      </c>
      <c r="C143" s="31">
        <v>0</v>
      </c>
      <c r="D143" s="36" t="s">
        <v>776</v>
      </c>
      <c r="E143" s="19" t="s">
        <v>777</v>
      </c>
      <c r="F143" s="43">
        <v>46141</v>
      </c>
      <c r="G143" s="40" t="s">
        <v>778</v>
      </c>
      <c r="H143" s="39">
        <v>46141</v>
      </c>
      <c r="I143" s="116">
        <f t="shared" si="6"/>
        <v>5</v>
      </c>
      <c r="J143" s="36" t="s">
        <v>779</v>
      </c>
      <c r="K143" s="33">
        <v>46146</v>
      </c>
      <c r="L143" s="40" t="s">
        <v>780</v>
      </c>
      <c r="M143" s="33">
        <v>46146</v>
      </c>
      <c r="N143" s="74">
        <f t="shared" ca="1" si="4"/>
        <v>0</v>
      </c>
      <c r="O143" s="107" t="s">
        <v>2</v>
      </c>
      <c r="P143" s="23"/>
    </row>
    <row r="144" spans="1:16" ht="51.6" customHeight="1" x14ac:dyDescent="0.3">
      <c r="A144" s="47"/>
      <c r="B144" s="19" t="s">
        <v>781</v>
      </c>
      <c r="C144" s="31">
        <v>0</v>
      </c>
      <c r="D144" s="36" t="s">
        <v>782</v>
      </c>
      <c r="E144" s="19" t="s">
        <v>783</v>
      </c>
      <c r="F144" s="43">
        <v>46141</v>
      </c>
      <c r="G144" s="40" t="s">
        <v>784</v>
      </c>
      <c r="H144" s="39">
        <v>46141</v>
      </c>
      <c r="I144" s="116">
        <f t="shared" si="6"/>
        <v>5</v>
      </c>
      <c r="J144" s="36" t="s">
        <v>785</v>
      </c>
      <c r="K144" s="33">
        <v>46146</v>
      </c>
      <c r="L144" s="40" t="s">
        <v>786</v>
      </c>
      <c r="M144" s="33">
        <v>46146</v>
      </c>
      <c r="N144" s="74">
        <f t="shared" ca="1" si="4"/>
        <v>0</v>
      </c>
      <c r="O144" s="107" t="s">
        <v>2</v>
      </c>
      <c r="P144" s="23"/>
    </row>
    <row r="145" spans="1:16" ht="51.6" customHeight="1" x14ac:dyDescent="0.3">
      <c r="A145" s="47"/>
      <c r="B145" s="19" t="s">
        <v>787</v>
      </c>
      <c r="C145" s="31">
        <v>0</v>
      </c>
      <c r="D145" s="36" t="s">
        <v>788</v>
      </c>
      <c r="E145" s="19" t="s">
        <v>789</v>
      </c>
      <c r="F145" s="43">
        <v>46141</v>
      </c>
      <c r="G145" s="40" t="s">
        <v>790</v>
      </c>
      <c r="H145" s="39">
        <v>46141</v>
      </c>
      <c r="I145" s="116">
        <f t="shared" si="6"/>
        <v>5</v>
      </c>
      <c r="J145" s="36" t="s">
        <v>791</v>
      </c>
      <c r="K145" s="33">
        <v>46146</v>
      </c>
      <c r="L145" s="40" t="s">
        <v>792</v>
      </c>
      <c r="M145" s="33">
        <v>46146</v>
      </c>
      <c r="N145" s="74">
        <f t="shared" ca="1" si="4"/>
        <v>0</v>
      </c>
      <c r="O145" s="107" t="s">
        <v>2</v>
      </c>
      <c r="P145" s="23"/>
    </row>
    <row r="146" spans="1:16" ht="51.6" customHeight="1" x14ac:dyDescent="0.3">
      <c r="A146" s="47"/>
      <c r="B146" s="19" t="s">
        <v>793</v>
      </c>
      <c r="C146" s="31">
        <v>0</v>
      </c>
      <c r="D146" s="36" t="s">
        <v>794</v>
      </c>
      <c r="E146" s="19" t="s">
        <v>795</v>
      </c>
      <c r="F146" s="43">
        <v>46141</v>
      </c>
      <c r="G146" s="40" t="s">
        <v>796</v>
      </c>
      <c r="H146" s="39">
        <v>46141</v>
      </c>
      <c r="I146" s="116">
        <f t="shared" si="6"/>
        <v>5</v>
      </c>
      <c r="J146" s="36" t="s">
        <v>797</v>
      </c>
      <c r="K146" s="33">
        <v>46146</v>
      </c>
      <c r="L146" s="40" t="s">
        <v>798</v>
      </c>
      <c r="M146" s="33">
        <v>46146</v>
      </c>
      <c r="N146" s="74">
        <f t="shared" ca="1" si="4"/>
        <v>0</v>
      </c>
      <c r="O146" s="107" t="s">
        <v>2</v>
      </c>
      <c r="P146" s="23"/>
    </row>
    <row r="147" spans="1:16" ht="51.6" customHeight="1" x14ac:dyDescent="0.3">
      <c r="A147" s="47"/>
      <c r="B147" s="19" t="s">
        <v>799</v>
      </c>
      <c r="C147" s="31">
        <v>0</v>
      </c>
      <c r="D147" s="36" t="s">
        <v>800</v>
      </c>
      <c r="E147" s="19" t="s">
        <v>801</v>
      </c>
      <c r="F147" s="43">
        <v>46142</v>
      </c>
      <c r="G147" s="40" t="s">
        <v>802</v>
      </c>
      <c r="H147" s="39">
        <v>46142</v>
      </c>
      <c r="I147" s="116">
        <f t="shared" si="6"/>
        <v>5</v>
      </c>
      <c r="J147" s="36" t="s">
        <v>803</v>
      </c>
      <c r="K147" s="33">
        <v>46147</v>
      </c>
      <c r="L147" s="40" t="s">
        <v>804</v>
      </c>
      <c r="M147" s="33">
        <v>46147</v>
      </c>
      <c r="N147" s="74">
        <f t="shared" ca="1" si="4"/>
        <v>0</v>
      </c>
      <c r="O147" s="107" t="s">
        <v>2</v>
      </c>
      <c r="P147" s="23"/>
    </row>
    <row r="148" spans="1:16" ht="51.6" customHeight="1" x14ac:dyDescent="0.3">
      <c r="A148" s="47"/>
      <c r="B148" s="19" t="s">
        <v>805</v>
      </c>
      <c r="C148" s="31">
        <v>0</v>
      </c>
      <c r="D148" s="36" t="s">
        <v>760</v>
      </c>
      <c r="E148" s="19" t="s">
        <v>806</v>
      </c>
      <c r="F148" s="43">
        <v>46140</v>
      </c>
      <c r="G148" s="40" t="s">
        <v>807</v>
      </c>
      <c r="H148" s="39">
        <v>46140</v>
      </c>
      <c r="I148" s="116">
        <f t="shared" si="6"/>
        <v>1</v>
      </c>
      <c r="J148" s="36" t="s">
        <v>808</v>
      </c>
      <c r="K148" s="33">
        <v>46141</v>
      </c>
      <c r="L148" s="40" t="s">
        <v>809</v>
      </c>
      <c r="M148" s="33">
        <v>46142</v>
      </c>
      <c r="N148" s="74">
        <f t="shared" ref="N148:N211" ca="1" si="7">IF(AND(M148="",TODAY()-F148&gt;7),TODAY()-F148-7,0)</f>
        <v>0</v>
      </c>
      <c r="O148" s="107" t="s">
        <v>2</v>
      </c>
      <c r="P148" s="23"/>
    </row>
    <row r="149" spans="1:16" ht="51.6" customHeight="1" x14ac:dyDescent="0.3">
      <c r="A149" s="47"/>
      <c r="B149" s="19" t="s">
        <v>810</v>
      </c>
      <c r="C149" s="19">
        <v>1</v>
      </c>
      <c r="D149" s="36" t="s">
        <v>811</v>
      </c>
      <c r="E149" s="19" t="s">
        <v>812</v>
      </c>
      <c r="F149" s="39">
        <v>46153</v>
      </c>
      <c r="G149" s="40" t="s">
        <v>813</v>
      </c>
      <c r="H149" s="39">
        <v>46153</v>
      </c>
      <c r="I149" s="116">
        <f t="shared" si="6"/>
        <v>11</v>
      </c>
      <c r="J149" s="36" t="s">
        <v>814</v>
      </c>
      <c r="K149" s="33">
        <v>46164</v>
      </c>
      <c r="L149" s="40" t="s">
        <v>815</v>
      </c>
      <c r="M149" s="33">
        <v>46164</v>
      </c>
      <c r="N149" s="74">
        <f t="shared" ca="1" si="7"/>
        <v>0</v>
      </c>
      <c r="O149" s="104" t="s">
        <v>2</v>
      </c>
      <c r="P149" s="23"/>
    </row>
    <row r="150" spans="1:16" ht="51.6" customHeight="1" x14ac:dyDescent="0.3">
      <c r="A150" s="99"/>
      <c r="B150" s="31" t="s">
        <v>816</v>
      </c>
      <c r="C150" s="61">
        <v>2</v>
      </c>
      <c r="D150" s="61" t="s">
        <v>817</v>
      </c>
      <c r="E150" s="61" t="s">
        <v>818</v>
      </c>
      <c r="F150" s="84">
        <v>46166</v>
      </c>
      <c r="G150" s="83" t="s">
        <v>819</v>
      </c>
      <c r="H150" s="84">
        <v>46166</v>
      </c>
      <c r="I150" s="116">
        <f t="shared" si="6"/>
        <v>12</v>
      </c>
      <c r="J150" s="36" t="s">
        <v>820</v>
      </c>
      <c r="K150" s="62">
        <v>46178</v>
      </c>
      <c r="L150" s="40" t="s">
        <v>821</v>
      </c>
      <c r="M150" s="77">
        <v>46178</v>
      </c>
      <c r="N150" s="74">
        <f t="shared" ca="1" si="7"/>
        <v>0</v>
      </c>
      <c r="O150" s="108" t="s">
        <v>2</v>
      </c>
      <c r="P150" s="58"/>
    </row>
    <row r="151" spans="1:16" ht="51.6" customHeight="1" x14ac:dyDescent="0.3">
      <c r="A151" s="47"/>
      <c r="B151" s="51" t="s">
        <v>822</v>
      </c>
      <c r="C151" s="30">
        <v>0</v>
      </c>
      <c r="D151" s="52" t="s">
        <v>823</v>
      </c>
      <c r="E151" s="51" t="s">
        <v>824</v>
      </c>
      <c r="F151" s="42">
        <v>46142</v>
      </c>
      <c r="G151" s="76" t="s">
        <v>825</v>
      </c>
      <c r="H151" s="114">
        <v>46142</v>
      </c>
      <c r="I151" s="116">
        <f>K151-H151</f>
        <v>20</v>
      </c>
      <c r="J151" s="36" t="s">
        <v>826</v>
      </c>
      <c r="K151" s="33">
        <v>46162</v>
      </c>
      <c r="L151" s="40" t="s">
        <v>827</v>
      </c>
      <c r="M151" s="33">
        <v>46162</v>
      </c>
      <c r="N151" s="74">
        <f t="shared" ca="1" si="7"/>
        <v>0</v>
      </c>
      <c r="O151" s="106" t="s">
        <v>2</v>
      </c>
      <c r="P151" s="29" t="s">
        <v>828</v>
      </c>
    </row>
    <row r="152" spans="1:16" ht="51.6" customHeight="1" x14ac:dyDescent="0.3">
      <c r="A152" s="47"/>
      <c r="B152" s="19" t="s">
        <v>829</v>
      </c>
      <c r="C152" s="31">
        <v>0</v>
      </c>
      <c r="D152" s="36" t="s">
        <v>830</v>
      </c>
      <c r="E152" s="19" t="s">
        <v>831</v>
      </c>
      <c r="F152" s="43">
        <v>46142</v>
      </c>
      <c r="G152" s="40" t="s">
        <v>832</v>
      </c>
      <c r="H152" s="39">
        <v>46142</v>
      </c>
      <c r="I152" s="116">
        <f t="shared" ref="I152:I158" si="8">K152-H152</f>
        <v>15</v>
      </c>
      <c r="J152" s="36" t="s">
        <v>833</v>
      </c>
      <c r="K152" s="33">
        <v>46157</v>
      </c>
      <c r="L152" s="40" t="s">
        <v>834</v>
      </c>
      <c r="M152" s="33">
        <v>46159</v>
      </c>
      <c r="N152" s="74">
        <f t="shared" ca="1" si="7"/>
        <v>0</v>
      </c>
      <c r="O152" s="107" t="s">
        <v>2</v>
      </c>
      <c r="P152" s="29" t="s">
        <v>835</v>
      </c>
    </row>
    <row r="153" spans="1:16" ht="51.6" customHeight="1" x14ac:dyDescent="0.3">
      <c r="A153" s="47"/>
      <c r="B153" s="19" t="s">
        <v>836</v>
      </c>
      <c r="C153" s="31">
        <v>0</v>
      </c>
      <c r="D153" s="36" t="s">
        <v>837</v>
      </c>
      <c r="E153" s="19" t="s">
        <v>838</v>
      </c>
      <c r="F153" s="43">
        <v>46142</v>
      </c>
      <c r="G153" s="40" t="s">
        <v>839</v>
      </c>
      <c r="H153" s="39">
        <v>46142</v>
      </c>
      <c r="I153" s="116">
        <f t="shared" si="8"/>
        <v>6</v>
      </c>
      <c r="J153" s="36" t="s">
        <v>840</v>
      </c>
      <c r="K153" s="33">
        <v>46148</v>
      </c>
      <c r="L153" s="40" t="s">
        <v>841</v>
      </c>
      <c r="M153" s="33">
        <v>46148</v>
      </c>
      <c r="N153" s="74">
        <f t="shared" ca="1" si="7"/>
        <v>0</v>
      </c>
      <c r="O153" s="107" t="s">
        <v>2</v>
      </c>
      <c r="P153" s="23"/>
    </row>
    <row r="154" spans="1:16" ht="51.6" customHeight="1" x14ac:dyDescent="0.3">
      <c r="A154" s="47"/>
      <c r="B154" s="19" t="s">
        <v>842</v>
      </c>
      <c r="C154" s="31">
        <v>0</v>
      </c>
      <c r="D154" s="36" t="s">
        <v>843</v>
      </c>
      <c r="E154" s="19" t="s">
        <v>844</v>
      </c>
      <c r="F154" s="43">
        <v>46145</v>
      </c>
      <c r="G154" s="40" t="s">
        <v>845</v>
      </c>
      <c r="H154" s="39">
        <v>46145</v>
      </c>
      <c r="I154" s="116">
        <f t="shared" si="8"/>
        <v>8</v>
      </c>
      <c r="J154" s="36" t="s">
        <v>846</v>
      </c>
      <c r="K154" s="33">
        <v>46153</v>
      </c>
      <c r="L154" s="40" t="s">
        <v>847</v>
      </c>
      <c r="M154" s="33">
        <v>46153</v>
      </c>
      <c r="N154" s="74">
        <f t="shared" ca="1" si="7"/>
        <v>0</v>
      </c>
      <c r="O154" s="107" t="s">
        <v>2</v>
      </c>
      <c r="P154" s="23"/>
    </row>
    <row r="155" spans="1:16" ht="51.6" customHeight="1" x14ac:dyDescent="0.3">
      <c r="A155" s="47"/>
      <c r="B155" s="19" t="s">
        <v>848</v>
      </c>
      <c r="C155" s="31">
        <v>0</v>
      </c>
      <c r="D155" s="36" t="s">
        <v>849</v>
      </c>
      <c r="E155" s="19" t="s">
        <v>850</v>
      </c>
      <c r="F155" s="43">
        <v>46142</v>
      </c>
      <c r="G155" s="40" t="s">
        <v>851</v>
      </c>
      <c r="H155" s="39">
        <v>46142</v>
      </c>
      <c r="I155" s="116">
        <f t="shared" si="8"/>
        <v>4</v>
      </c>
      <c r="J155" s="36" t="s">
        <v>852</v>
      </c>
      <c r="K155" s="33">
        <v>46146</v>
      </c>
      <c r="L155" s="40" t="s">
        <v>853</v>
      </c>
      <c r="M155" s="33">
        <v>46146</v>
      </c>
      <c r="N155" s="74">
        <f t="shared" ca="1" si="7"/>
        <v>0</v>
      </c>
      <c r="O155" s="107" t="s">
        <v>2</v>
      </c>
      <c r="P155" s="23"/>
    </row>
    <row r="156" spans="1:16" ht="51.6" customHeight="1" x14ac:dyDescent="0.3">
      <c r="A156" s="47"/>
      <c r="B156" s="19" t="s">
        <v>854</v>
      </c>
      <c r="C156" s="31">
        <v>0</v>
      </c>
      <c r="D156" s="36" t="s">
        <v>855</v>
      </c>
      <c r="E156" s="19" t="s">
        <v>856</v>
      </c>
      <c r="F156" s="43">
        <v>46142</v>
      </c>
      <c r="G156" s="40" t="s">
        <v>857</v>
      </c>
      <c r="H156" s="39">
        <v>46142</v>
      </c>
      <c r="I156" s="116">
        <f t="shared" si="8"/>
        <v>11</v>
      </c>
      <c r="J156" s="36" t="s">
        <v>858</v>
      </c>
      <c r="K156" s="33">
        <v>46153</v>
      </c>
      <c r="L156" s="40" t="s">
        <v>859</v>
      </c>
      <c r="M156" s="33">
        <v>46153</v>
      </c>
      <c r="N156" s="74">
        <f t="shared" ca="1" si="7"/>
        <v>0</v>
      </c>
      <c r="O156" s="107" t="s">
        <v>2</v>
      </c>
      <c r="P156" s="23"/>
    </row>
    <row r="157" spans="1:16" ht="51.6" customHeight="1" x14ac:dyDescent="0.3">
      <c r="A157" s="47"/>
      <c r="B157" s="19" t="s">
        <v>860</v>
      </c>
      <c r="C157" s="31">
        <v>0</v>
      </c>
      <c r="D157" s="36" t="s">
        <v>861</v>
      </c>
      <c r="E157" s="19" t="s">
        <v>862</v>
      </c>
      <c r="F157" s="43">
        <v>46144</v>
      </c>
      <c r="G157" s="40" t="s">
        <v>863</v>
      </c>
      <c r="H157" s="39">
        <v>46145</v>
      </c>
      <c r="I157" s="116">
        <f t="shared" si="8"/>
        <v>8</v>
      </c>
      <c r="J157" s="36" t="s">
        <v>864</v>
      </c>
      <c r="K157" s="33">
        <v>46153</v>
      </c>
      <c r="L157" s="40" t="s">
        <v>865</v>
      </c>
      <c r="M157" s="33">
        <v>46153</v>
      </c>
      <c r="N157" s="74">
        <f t="shared" ca="1" si="7"/>
        <v>0</v>
      </c>
      <c r="O157" s="107" t="s">
        <v>2</v>
      </c>
      <c r="P157" s="23"/>
    </row>
    <row r="158" spans="1:16" ht="51.6" customHeight="1" x14ac:dyDescent="0.3">
      <c r="A158" s="47"/>
      <c r="B158" s="19" t="s">
        <v>866</v>
      </c>
      <c r="C158" s="31">
        <v>0</v>
      </c>
      <c r="D158" s="36" t="s">
        <v>867</v>
      </c>
      <c r="E158" s="19" t="s">
        <v>868</v>
      </c>
      <c r="F158" s="43">
        <v>46144</v>
      </c>
      <c r="G158" s="40" t="s">
        <v>869</v>
      </c>
      <c r="H158" s="39">
        <v>46145</v>
      </c>
      <c r="I158" s="116">
        <f t="shared" si="8"/>
        <v>8</v>
      </c>
      <c r="J158" s="36" t="s">
        <v>870</v>
      </c>
      <c r="K158" s="33">
        <v>46153</v>
      </c>
      <c r="L158" s="40" t="s">
        <v>871</v>
      </c>
      <c r="M158" s="33">
        <v>46153</v>
      </c>
      <c r="N158" s="74">
        <f t="shared" ca="1" si="7"/>
        <v>0</v>
      </c>
      <c r="O158" s="107" t="s">
        <v>2</v>
      </c>
      <c r="P158" s="23"/>
    </row>
    <row r="159" spans="1:16" ht="51.6" customHeight="1" x14ac:dyDescent="0.3">
      <c r="A159" s="47"/>
      <c r="B159" s="19" t="s">
        <v>872</v>
      </c>
      <c r="C159" s="31">
        <v>0</v>
      </c>
      <c r="D159" s="36" t="s">
        <v>873</v>
      </c>
      <c r="E159" s="19" t="s">
        <v>874</v>
      </c>
      <c r="F159" s="43">
        <v>46144</v>
      </c>
      <c r="G159" s="40" t="s">
        <v>875</v>
      </c>
      <c r="H159" s="38">
        <v>46145</v>
      </c>
      <c r="I159" s="116">
        <f>K159-H159</f>
        <v>17</v>
      </c>
      <c r="J159" s="36" t="s">
        <v>876</v>
      </c>
      <c r="K159" s="38">
        <v>46162</v>
      </c>
      <c r="L159" s="40" t="s">
        <v>877</v>
      </c>
      <c r="M159" s="38">
        <v>46162</v>
      </c>
      <c r="N159" s="74">
        <f t="shared" ca="1" si="7"/>
        <v>0</v>
      </c>
      <c r="O159" s="107" t="s">
        <v>2</v>
      </c>
      <c r="P159" s="29" t="s">
        <v>878</v>
      </c>
    </row>
    <row r="160" spans="1:16" ht="51.6" customHeight="1" x14ac:dyDescent="0.3">
      <c r="A160" s="47"/>
      <c r="B160" s="19" t="s">
        <v>879</v>
      </c>
      <c r="C160" s="31">
        <v>0</v>
      </c>
      <c r="D160" s="36" t="s">
        <v>880</v>
      </c>
      <c r="E160" s="19" t="s">
        <v>881</v>
      </c>
      <c r="F160" s="43">
        <v>46144</v>
      </c>
      <c r="G160" s="40" t="s">
        <v>882</v>
      </c>
      <c r="H160" s="39">
        <v>46145</v>
      </c>
      <c r="I160" s="116">
        <f t="shared" ref="I160:I176" si="9">K160-H160</f>
        <v>8</v>
      </c>
      <c r="J160" s="36" t="s">
        <v>883</v>
      </c>
      <c r="K160" s="33">
        <v>46153</v>
      </c>
      <c r="L160" s="40" t="s">
        <v>884</v>
      </c>
      <c r="M160" s="33">
        <v>46153</v>
      </c>
      <c r="N160" s="74">
        <f t="shared" ca="1" si="7"/>
        <v>0</v>
      </c>
      <c r="O160" s="107" t="s">
        <v>2</v>
      </c>
      <c r="P160" s="23"/>
    </row>
    <row r="161" spans="1:16" ht="51.6" customHeight="1" x14ac:dyDescent="0.3">
      <c r="A161" s="47"/>
      <c r="B161" s="19" t="s">
        <v>885</v>
      </c>
      <c r="C161" s="31">
        <v>0</v>
      </c>
      <c r="D161" s="36" t="s">
        <v>886</v>
      </c>
      <c r="E161" s="19" t="s">
        <v>887</v>
      </c>
      <c r="F161" s="43">
        <v>46145</v>
      </c>
      <c r="G161" s="40" t="s">
        <v>888</v>
      </c>
      <c r="H161" s="39">
        <v>46145</v>
      </c>
      <c r="I161" s="116">
        <f t="shared" si="9"/>
        <v>8</v>
      </c>
      <c r="J161" s="36" t="s">
        <v>889</v>
      </c>
      <c r="K161" s="33">
        <v>46153</v>
      </c>
      <c r="L161" s="40" t="s">
        <v>890</v>
      </c>
      <c r="M161" s="33">
        <v>46153</v>
      </c>
      <c r="N161" s="74">
        <f t="shared" ca="1" si="7"/>
        <v>0</v>
      </c>
      <c r="O161" s="107" t="s">
        <v>2</v>
      </c>
      <c r="P161" s="23"/>
    </row>
    <row r="162" spans="1:16" ht="51.6" customHeight="1" x14ac:dyDescent="0.3">
      <c r="A162" s="47"/>
      <c r="B162" s="19" t="s">
        <v>891</v>
      </c>
      <c r="C162" s="31">
        <v>0</v>
      </c>
      <c r="D162" s="36" t="s">
        <v>892</v>
      </c>
      <c r="E162" s="19" t="s">
        <v>893</v>
      </c>
      <c r="F162" s="43">
        <v>46145</v>
      </c>
      <c r="G162" s="40" t="s">
        <v>894</v>
      </c>
      <c r="H162" s="39">
        <v>46145</v>
      </c>
      <c r="I162" s="116">
        <f t="shared" si="9"/>
        <v>8</v>
      </c>
      <c r="J162" s="36" t="s">
        <v>895</v>
      </c>
      <c r="K162" s="33">
        <v>46153</v>
      </c>
      <c r="L162" s="40" t="s">
        <v>896</v>
      </c>
      <c r="M162" s="33">
        <v>46153</v>
      </c>
      <c r="N162" s="74">
        <f t="shared" ca="1" si="7"/>
        <v>0</v>
      </c>
      <c r="O162" s="107" t="s">
        <v>2</v>
      </c>
      <c r="P162" s="23"/>
    </row>
    <row r="163" spans="1:16" ht="51.6" customHeight="1" x14ac:dyDescent="0.3">
      <c r="A163" s="47"/>
      <c r="B163" s="19" t="s">
        <v>897</v>
      </c>
      <c r="C163" s="31">
        <v>1</v>
      </c>
      <c r="D163" s="36" t="s">
        <v>898</v>
      </c>
      <c r="E163" s="19" t="s">
        <v>899</v>
      </c>
      <c r="F163" s="43">
        <v>46180</v>
      </c>
      <c r="G163" s="40" t="s">
        <v>900</v>
      </c>
      <c r="H163" s="39">
        <v>46180</v>
      </c>
      <c r="I163" s="116">
        <f t="shared" si="9"/>
        <v>1</v>
      </c>
      <c r="J163" s="36" t="s">
        <v>901</v>
      </c>
      <c r="K163" s="33">
        <v>46181</v>
      </c>
      <c r="L163" s="40" t="s">
        <v>902</v>
      </c>
      <c r="M163" s="33">
        <v>46181</v>
      </c>
      <c r="N163" s="74">
        <f t="shared" ca="1" si="7"/>
        <v>0</v>
      </c>
      <c r="O163" s="107" t="s">
        <v>2</v>
      </c>
      <c r="P163" s="23"/>
    </row>
    <row r="164" spans="1:16" ht="51.6" customHeight="1" x14ac:dyDescent="0.3">
      <c r="A164" s="47"/>
      <c r="B164" s="19" t="s">
        <v>903</v>
      </c>
      <c r="C164" s="31">
        <v>0</v>
      </c>
      <c r="D164" s="36" t="s">
        <v>904</v>
      </c>
      <c r="E164" s="19" t="s">
        <v>905</v>
      </c>
      <c r="F164" s="43">
        <v>46153</v>
      </c>
      <c r="G164" s="40" t="s">
        <v>906</v>
      </c>
      <c r="H164" s="39">
        <v>46153</v>
      </c>
      <c r="I164" s="116">
        <f t="shared" si="9"/>
        <v>10</v>
      </c>
      <c r="J164" s="36" t="s">
        <v>907</v>
      </c>
      <c r="K164" s="33">
        <v>46163</v>
      </c>
      <c r="L164" s="40" t="s">
        <v>908</v>
      </c>
      <c r="M164" s="33">
        <v>46163</v>
      </c>
      <c r="N164" s="74">
        <f t="shared" ca="1" si="7"/>
        <v>0</v>
      </c>
      <c r="O164" s="107" t="s">
        <v>2</v>
      </c>
      <c r="P164" s="23"/>
    </row>
    <row r="165" spans="1:16" ht="51.6" customHeight="1" x14ac:dyDescent="0.3">
      <c r="A165" s="47"/>
      <c r="B165" s="19" t="s">
        <v>909</v>
      </c>
      <c r="C165" s="31">
        <v>1</v>
      </c>
      <c r="D165" s="36" t="s">
        <v>910</v>
      </c>
      <c r="E165" s="19" t="s">
        <v>911</v>
      </c>
      <c r="F165" s="43">
        <v>46180</v>
      </c>
      <c r="G165" s="40" t="s">
        <v>912</v>
      </c>
      <c r="H165" s="39">
        <v>46180</v>
      </c>
      <c r="I165" s="116">
        <f t="shared" si="9"/>
        <v>8</v>
      </c>
      <c r="J165" s="36" t="s">
        <v>913</v>
      </c>
      <c r="K165" s="33">
        <v>46188</v>
      </c>
      <c r="L165" s="40" t="s">
        <v>914</v>
      </c>
      <c r="M165" s="33">
        <v>46188</v>
      </c>
      <c r="N165" s="74">
        <f t="shared" ca="1" si="7"/>
        <v>0</v>
      </c>
      <c r="O165" s="107" t="s">
        <v>2</v>
      </c>
      <c r="P165" s="23"/>
    </row>
    <row r="166" spans="1:16" ht="51.6" customHeight="1" x14ac:dyDescent="0.3">
      <c r="A166" s="47"/>
      <c r="B166" s="19" t="s">
        <v>915</v>
      </c>
      <c r="C166" s="31">
        <v>0</v>
      </c>
      <c r="D166" s="36" t="s">
        <v>916</v>
      </c>
      <c r="E166" s="19" t="s">
        <v>917</v>
      </c>
      <c r="F166" s="43">
        <v>46148</v>
      </c>
      <c r="G166" s="40" t="s">
        <v>918</v>
      </c>
      <c r="H166" s="39">
        <v>46152</v>
      </c>
      <c r="I166" s="116">
        <f t="shared" si="9"/>
        <v>8</v>
      </c>
      <c r="J166" s="36" t="s">
        <v>919</v>
      </c>
      <c r="K166" s="33">
        <v>46160</v>
      </c>
      <c r="L166" s="40" t="s">
        <v>920</v>
      </c>
      <c r="M166" s="33">
        <v>46160</v>
      </c>
      <c r="N166" s="74">
        <f t="shared" ca="1" si="7"/>
        <v>0</v>
      </c>
      <c r="O166" s="107" t="s">
        <v>2</v>
      </c>
      <c r="P166" s="23"/>
    </row>
    <row r="167" spans="1:16" ht="51.6" customHeight="1" x14ac:dyDescent="0.3">
      <c r="A167" s="47"/>
      <c r="B167" s="19" t="s">
        <v>921</v>
      </c>
      <c r="C167" s="31">
        <v>0</v>
      </c>
      <c r="D167" s="36" t="s">
        <v>922</v>
      </c>
      <c r="E167" s="19" t="s">
        <v>923</v>
      </c>
      <c r="F167" s="43">
        <v>46161</v>
      </c>
      <c r="G167" s="40" t="s">
        <v>924</v>
      </c>
      <c r="H167" s="39">
        <v>46161</v>
      </c>
      <c r="I167" s="116">
        <f t="shared" si="9"/>
        <v>13</v>
      </c>
      <c r="J167" s="36" t="s">
        <v>925</v>
      </c>
      <c r="K167" s="33">
        <v>46174</v>
      </c>
      <c r="L167" s="40" t="s">
        <v>926</v>
      </c>
      <c r="M167" s="33">
        <v>46174</v>
      </c>
      <c r="N167" s="74">
        <f t="shared" ca="1" si="7"/>
        <v>0</v>
      </c>
      <c r="O167" s="107" t="s">
        <v>2</v>
      </c>
      <c r="P167" s="23"/>
    </row>
    <row r="168" spans="1:16" ht="51.6" customHeight="1" x14ac:dyDescent="0.3">
      <c r="A168" s="47"/>
      <c r="B168" s="19" t="s">
        <v>927</v>
      </c>
      <c r="C168" s="31">
        <v>1</v>
      </c>
      <c r="D168" s="36" t="s">
        <v>928</v>
      </c>
      <c r="E168" s="19" t="s">
        <v>929</v>
      </c>
      <c r="F168" s="43">
        <v>46182</v>
      </c>
      <c r="G168" s="40" t="s">
        <v>930</v>
      </c>
      <c r="H168" s="39">
        <v>46182</v>
      </c>
      <c r="I168" s="116">
        <f t="shared" si="9"/>
        <v>6</v>
      </c>
      <c r="J168" s="36" t="s">
        <v>931</v>
      </c>
      <c r="K168" s="33">
        <v>46188</v>
      </c>
      <c r="L168" s="40" t="s">
        <v>932</v>
      </c>
      <c r="M168" s="33">
        <v>46188</v>
      </c>
      <c r="N168" s="74">
        <f t="shared" ca="1" si="7"/>
        <v>0</v>
      </c>
      <c r="O168" s="107" t="s">
        <v>2</v>
      </c>
      <c r="P168" s="23"/>
    </row>
    <row r="169" spans="1:16" ht="51.6" customHeight="1" x14ac:dyDescent="0.3">
      <c r="A169" s="47"/>
      <c r="B169" s="19" t="s">
        <v>933</v>
      </c>
      <c r="C169" s="31">
        <v>0</v>
      </c>
      <c r="D169" s="36" t="s">
        <v>934</v>
      </c>
      <c r="E169" s="19" t="s">
        <v>935</v>
      </c>
      <c r="F169" s="43">
        <v>46150</v>
      </c>
      <c r="G169" s="40" t="s">
        <v>936</v>
      </c>
      <c r="H169" s="39">
        <v>46152</v>
      </c>
      <c r="I169" s="116">
        <f t="shared" si="9"/>
        <v>8</v>
      </c>
      <c r="J169" s="36" t="s">
        <v>937</v>
      </c>
      <c r="K169" s="33">
        <v>46160</v>
      </c>
      <c r="L169" s="40" t="s">
        <v>938</v>
      </c>
      <c r="M169" s="33">
        <v>46160</v>
      </c>
      <c r="N169" s="74">
        <f t="shared" ca="1" si="7"/>
        <v>0</v>
      </c>
      <c r="O169" s="107" t="s">
        <v>2</v>
      </c>
      <c r="P169" s="23"/>
    </row>
    <row r="170" spans="1:16" ht="51.6" customHeight="1" x14ac:dyDescent="0.3">
      <c r="A170" s="47"/>
      <c r="B170" s="19" t="s">
        <v>939</v>
      </c>
      <c r="C170" s="46">
        <v>0</v>
      </c>
      <c r="D170" s="13" t="s">
        <v>940</v>
      </c>
      <c r="E170" s="5" t="s">
        <v>941</v>
      </c>
      <c r="F170" s="8">
        <v>46148</v>
      </c>
      <c r="G170" s="7" t="s">
        <v>942</v>
      </c>
      <c r="H170" s="85">
        <v>46148</v>
      </c>
      <c r="I170" s="116">
        <f t="shared" si="9"/>
        <v>12</v>
      </c>
      <c r="J170" s="13" t="s">
        <v>943</v>
      </c>
      <c r="K170" s="4">
        <v>46160</v>
      </c>
      <c r="L170" s="7" t="s">
        <v>944</v>
      </c>
      <c r="M170" s="4">
        <v>46160</v>
      </c>
      <c r="N170" s="74">
        <f t="shared" ca="1" si="7"/>
        <v>0</v>
      </c>
      <c r="O170" s="107" t="s">
        <v>2</v>
      </c>
      <c r="P170" s="23"/>
    </row>
    <row r="171" spans="1:16" ht="51.6" customHeight="1" x14ac:dyDescent="0.3">
      <c r="A171" s="47"/>
      <c r="B171" s="19" t="s">
        <v>945</v>
      </c>
      <c r="C171" s="46">
        <v>0</v>
      </c>
      <c r="D171" s="13" t="s">
        <v>946</v>
      </c>
      <c r="E171" s="5" t="s">
        <v>947</v>
      </c>
      <c r="F171" s="8">
        <v>46148</v>
      </c>
      <c r="G171" s="7" t="s">
        <v>948</v>
      </c>
      <c r="H171" s="85">
        <v>46148</v>
      </c>
      <c r="I171" s="116">
        <f t="shared" si="9"/>
        <v>12</v>
      </c>
      <c r="J171" s="13" t="s">
        <v>949</v>
      </c>
      <c r="K171" s="4">
        <v>46160</v>
      </c>
      <c r="L171" s="7" t="s">
        <v>950</v>
      </c>
      <c r="M171" s="4">
        <v>46160</v>
      </c>
      <c r="N171" s="74">
        <f t="shared" ca="1" si="7"/>
        <v>0</v>
      </c>
      <c r="O171" s="107" t="s">
        <v>2</v>
      </c>
      <c r="P171" s="29" t="s">
        <v>951</v>
      </c>
    </row>
    <row r="172" spans="1:16" ht="51.6" customHeight="1" x14ac:dyDescent="0.3">
      <c r="A172" s="47"/>
      <c r="B172" s="19" t="s">
        <v>952</v>
      </c>
      <c r="C172" s="46">
        <v>0</v>
      </c>
      <c r="D172" s="13" t="s">
        <v>953</v>
      </c>
      <c r="E172" s="5" t="s">
        <v>954</v>
      </c>
      <c r="F172" s="8">
        <v>46148</v>
      </c>
      <c r="G172" s="7" t="s">
        <v>955</v>
      </c>
      <c r="H172" s="85">
        <v>46148</v>
      </c>
      <c r="I172" s="116">
        <f t="shared" si="9"/>
        <v>12</v>
      </c>
      <c r="J172" s="13" t="s">
        <v>956</v>
      </c>
      <c r="K172" s="4">
        <v>46160</v>
      </c>
      <c r="L172" s="7" t="s">
        <v>957</v>
      </c>
      <c r="M172" s="4">
        <v>46160</v>
      </c>
      <c r="N172" s="74">
        <f t="shared" ca="1" si="7"/>
        <v>0</v>
      </c>
      <c r="O172" s="107" t="s">
        <v>2</v>
      </c>
      <c r="P172" s="23"/>
    </row>
    <row r="173" spans="1:16" ht="51.6" customHeight="1" x14ac:dyDescent="0.3">
      <c r="A173" s="47"/>
      <c r="B173" s="19" t="s">
        <v>958</v>
      </c>
      <c r="C173" s="46">
        <v>0</v>
      </c>
      <c r="D173" s="13" t="s">
        <v>959</v>
      </c>
      <c r="E173" s="5" t="s">
        <v>960</v>
      </c>
      <c r="F173" s="8">
        <v>46151</v>
      </c>
      <c r="G173" s="7" t="s">
        <v>961</v>
      </c>
      <c r="H173" s="85">
        <v>46152</v>
      </c>
      <c r="I173" s="116">
        <f t="shared" si="9"/>
        <v>1</v>
      </c>
      <c r="J173" s="13" t="s">
        <v>962</v>
      </c>
      <c r="K173" s="4">
        <v>46153</v>
      </c>
      <c r="L173" s="7" t="s">
        <v>963</v>
      </c>
      <c r="M173" s="4">
        <v>46153</v>
      </c>
      <c r="N173" s="74">
        <f t="shared" ca="1" si="7"/>
        <v>0</v>
      </c>
      <c r="O173" s="107" t="s">
        <v>2</v>
      </c>
      <c r="P173" s="23"/>
    </row>
    <row r="174" spans="1:16" ht="51.6" customHeight="1" x14ac:dyDescent="0.3">
      <c r="A174" s="47"/>
      <c r="B174" s="19" t="s">
        <v>964</v>
      </c>
      <c r="C174" s="46">
        <v>0</v>
      </c>
      <c r="D174" s="13" t="s">
        <v>965</v>
      </c>
      <c r="E174" s="5" t="s">
        <v>966</v>
      </c>
      <c r="F174" s="8">
        <v>46151</v>
      </c>
      <c r="G174" s="7" t="s">
        <v>967</v>
      </c>
      <c r="H174" s="85">
        <v>46152</v>
      </c>
      <c r="I174" s="116">
        <f t="shared" si="9"/>
        <v>3</v>
      </c>
      <c r="J174" s="13" t="s">
        <v>968</v>
      </c>
      <c r="K174" s="4">
        <v>46155</v>
      </c>
      <c r="L174" s="7" t="s">
        <v>969</v>
      </c>
      <c r="M174" s="4">
        <v>46155</v>
      </c>
      <c r="N174" s="74">
        <f t="shared" ca="1" si="7"/>
        <v>0</v>
      </c>
      <c r="O174" s="107" t="s">
        <v>2</v>
      </c>
      <c r="P174" s="23"/>
    </row>
    <row r="175" spans="1:16" ht="51.6" customHeight="1" x14ac:dyDescent="0.3">
      <c r="A175" s="47"/>
      <c r="B175" s="19" t="s">
        <v>970</v>
      </c>
      <c r="C175" s="46">
        <v>0</v>
      </c>
      <c r="D175" s="13" t="s">
        <v>971</v>
      </c>
      <c r="E175" s="5" t="s">
        <v>972</v>
      </c>
      <c r="F175" s="8">
        <v>46151</v>
      </c>
      <c r="G175" s="7" t="s">
        <v>973</v>
      </c>
      <c r="H175" s="85">
        <v>46152</v>
      </c>
      <c r="I175" s="116">
        <f t="shared" si="9"/>
        <v>9</v>
      </c>
      <c r="J175" s="13" t="s">
        <v>974</v>
      </c>
      <c r="K175" s="4">
        <v>46161</v>
      </c>
      <c r="L175" s="7" t="s">
        <v>975</v>
      </c>
      <c r="M175" s="4">
        <v>46161</v>
      </c>
      <c r="N175" s="74">
        <f t="shared" ca="1" si="7"/>
        <v>0</v>
      </c>
      <c r="O175" s="107" t="s">
        <v>2</v>
      </c>
      <c r="P175" s="23"/>
    </row>
    <row r="176" spans="1:16" ht="51.6" customHeight="1" x14ac:dyDescent="0.3">
      <c r="A176" s="47"/>
      <c r="B176" s="19" t="s">
        <v>976</v>
      </c>
      <c r="C176" s="46">
        <v>0</v>
      </c>
      <c r="D176" s="13" t="s">
        <v>977</v>
      </c>
      <c r="E176" s="5" t="s">
        <v>978</v>
      </c>
      <c r="F176" s="8">
        <v>46153</v>
      </c>
      <c r="G176" s="7" t="s">
        <v>979</v>
      </c>
      <c r="H176" s="85">
        <v>46153</v>
      </c>
      <c r="I176" s="116">
        <f t="shared" si="9"/>
        <v>7</v>
      </c>
      <c r="J176" s="13" t="s">
        <v>980</v>
      </c>
      <c r="K176" s="4">
        <v>46160</v>
      </c>
      <c r="L176" s="7" t="s">
        <v>981</v>
      </c>
      <c r="M176" s="4">
        <v>46160</v>
      </c>
      <c r="N176" s="74">
        <f t="shared" ca="1" si="7"/>
        <v>0</v>
      </c>
      <c r="O176" s="107" t="s">
        <v>2</v>
      </c>
      <c r="P176" s="23"/>
    </row>
    <row r="177" spans="1:16" ht="51.6" customHeight="1" x14ac:dyDescent="0.3">
      <c r="A177" s="47"/>
      <c r="B177" s="19" t="s">
        <v>982</v>
      </c>
      <c r="C177" s="46">
        <v>0</v>
      </c>
      <c r="D177" s="13" t="s">
        <v>983</v>
      </c>
      <c r="E177" s="5" t="s">
        <v>984</v>
      </c>
      <c r="F177" s="8">
        <v>46153</v>
      </c>
      <c r="G177" s="7" t="s">
        <v>985</v>
      </c>
      <c r="H177" s="15">
        <v>46153</v>
      </c>
      <c r="I177" s="116">
        <f>K177-H177</f>
        <v>9</v>
      </c>
      <c r="J177" s="13" t="s">
        <v>986</v>
      </c>
      <c r="K177" s="4">
        <v>46162</v>
      </c>
      <c r="L177" s="7" t="s">
        <v>987</v>
      </c>
      <c r="M177" s="4">
        <v>46162</v>
      </c>
      <c r="N177" s="74">
        <f t="shared" ca="1" si="7"/>
        <v>0</v>
      </c>
      <c r="O177" s="107" t="s">
        <v>2</v>
      </c>
      <c r="P177" s="23"/>
    </row>
    <row r="178" spans="1:16" ht="51.6" customHeight="1" x14ac:dyDescent="0.3">
      <c r="A178" s="47"/>
      <c r="B178" s="19" t="s">
        <v>988</v>
      </c>
      <c r="C178" s="46">
        <v>0</v>
      </c>
      <c r="D178" s="13" t="s">
        <v>989</v>
      </c>
      <c r="E178" s="5" t="s">
        <v>990</v>
      </c>
      <c r="F178" s="8">
        <v>46153</v>
      </c>
      <c r="G178" s="7" t="s">
        <v>991</v>
      </c>
      <c r="H178" s="85">
        <v>46153</v>
      </c>
      <c r="I178" s="116">
        <f t="shared" ref="I178:I185" si="10">K178-H178</f>
        <v>7</v>
      </c>
      <c r="J178" s="13" t="s">
        <v>992</v>
      </c>
      <c r="K178" s="4">
        <v>46160</v>
      </c>
      <c r="L178" s="7" t="s">
        <v>993</v>
      </c>
      <c r="M178" s="4">
        <v>46160</v>
      </c>
      <c r="N178" s="74">
        <f t="shared" ca="1" si="7"/>
        <v>0</v>
      </c>
      <c r="O178" s="107" t="s">
        <v>2</v>
      </c>
      <c r="P178" s="23"/>
    </row>
    <row r="179" spans="1:16" ht="51.6" customHeight="1" x14ac:dyDescent="0.3">
      <c r="A179" s="47"/>
      <c r="B179" s="19" t="s">
        <v>994</v>
      </c>
      <c r="C179" s="46">
        <v>0</v>
      </c>
      <c r="D179" s="13" t="s">
        <v>995</v>
      </c>
      <c r="E179" s="5" t="s">
        <v>996</v>
      </c>
      <c r="F179" s="8">
        <v>46153</v>
      </c>
      <c r="G179" s="7" t="s">
        <v>997</v>
      </c>
      <c r="H179" s="85">
        <v>46153</v>
      </c>
      <c r="I179" s="116">
        <f t="shared" si="10"/>
        <v>1</v>
      </c>
      <c r="J179" s="13" t="s">
        <v>998</v>
      </c>
      <c r="K179" s="4">
        <v>46154</v>
      </c>
      <c r="L179" s="7" t="s">
        <v>999</v>
      </c>
      <c r="M179" s="4">
        <v>46154</v>
      </c>
      <c r="N179" s="74">
        <f t="shared" ca="1" si="7"/>
        <v>0</v>
      </c>
      <c r="O179" s="107" t="s">
        <v>2</v>
      </c>
      <c r="P179" s="23"/>
    </row>
    <row r="180" spans="1:16" ht="51.6" customHeight="1" x14ac:dyDescent="0.3">
      <c r="A180" s="47"/>
      <c r="B180" s="19" t="s">
        <v>1000</v>
      </c>
      <c r="C180" s="46">
        <v>0</v>
      </c>
      <c r="D180" s="13" t="s">
        <v>1001</v>
      </c>
      <c r="E180" s="5" t="s">
        <v>1002</v>
      </c>
      <c r="F180" s="8">
        <v>46153</v>
      </c>
      <c r="G180" s="7" t="s">
        <v>1003</v>
      </c>
      <c r="H180" s="85">
        <v>46153</v>
      </c>
      <c r="I180" s="116">
        <f t="shared" si="10"/>
        <v>7</v>
      </c>
      <c r="J180" s="13" t="s">
        <v>1004</v>
      </c>
      <c r="K180" s="4">
        <v>46160</v>
      </c>
      <c r="L180" s="7" t="s">
        <v>1005</v>
      </c>
      <c r="M180" s="4">
        <v>46160</v>
      </c>
      <c r="N180" s="74">
        <f t="shared" ca="1" si="7"/>
        <v>0</v>
      </c>
      <c r="O180" s="107" t="s">
        <v>2</v>
      </c>
      <c r="P180" s="23"/>
    </row>
    <row r="181" spans="1:16" ht="51.6" customHeight="1" x14ac:dyDescent="0.3">
      <c r="A181" s="47"/>
      <c r="B181" s="19" t="s">
        <v>1006</v>
      </c>
      <c r="C181" s="46">
        <v>0</v>
      </c>
      <c r="D181" s="13" t="s">
        <v>1007</v>
      </c>
      <c r="E181" s="5" t="s">
        <v>1008</v>
      </c>
      <c r="F181" s="8">
        <v>46153</v>
      </c>
      <c r="G181" s="7" t="s">
        <v>1009</v>
      </c>
      <c r="H181" s="85">
        <v>46153</v>
      </c>
      <c r="I181" s="116">
        <f t="shared" si="10"/>
        <v>7</v>
      </c>
      <c r="J181" s="13" t="s">
        <v>1010</v>
      </c>
      <c r="K181" s="4">
        <v>46160</v>
      </c>
      <c r="L181" s="7" t="s">
        <v>1011</v>
      </c>
      <c r="M181" s="4">
        <v>46160</v>
      </c>
      <c r="N181" s="74">
        <f t="shared" ca="1" si="7"/>
        <v>0</v>
      </c>
      <c r="O181" s="107" t="s">
        <v>2</v>
      </c>
      <c r="P181" s="23"/>
    </row>
    <row r="182" spans="1:16" ht="51.6" customHeight="1" x14ac:dyDescent="0.3">
      <c r="A182" s="47"/>
      <c r="B182" s="19" t="s">
        <v>1012</v>
      </c>
      <c r="C182" s="46">
        <v>0</v>
      </c>
      <c r="D182" s="13" t="s">
        <v>1013</v>
      </c>
      <c r="E182" s="5" t="s">
        <v>1014</v>
      </c>
      <c r="F182" s="8">
        <v>46153</v>
      </c>
      <c r="G182" s="7" t="s">
        <v>1015</v>
      </c>
      <c r="H182" s="85">
        <v>46153</v>
      </c>
      <c r="I182" s="116">
        <f t="shared" si="10"/>
        <v>7</v>
      </c>
      <c r="J182" s="13" t="s">
        <v>1016</v>
      </c>
      <c r="K182" s="4">
        <v>46160</v>
      </c>
      <c r="L182" s="7" t="s">
        <v>1017</v>
      </c>
      <c r="M182" s="4">
        <v>46160</v>
      </c>
      <c r="N182" s="74">
        <f t="shared" ca="1" si="7"/>
        <v>0</v>
      </c>
      <c r="O182" s="107" t="s">
        <v>2</v>
      </c>
      <c r="P182" s="23"/>
    </row>
    <row r="183" spans="1:16" ht="51.6" customHeight="1" x14ac:dyDescent="0.3">
      <c r="A183" s="47"/>
      <c r="B183" s="19" t="s">
        <v>1018</v>
      </c>
      <c r="C183" s="46">
        <v>0</v>
      </c>
      <c r="D183" s="13" t="s">
        <v>1019</v>
      </c>
      <c r="E183" s="5" t="s">
        <v>1020</v>
      </c>
      <c r="F183" s="8">
        <v>46153</v>
      </c>
      <c r="G183" s="7" t="s">
        <v>1021</v>
      </c>
      <c r="H183" s="85">
        <v>46153</v>
      </c>
      <c r="I183" s="116">
        <f t="shared" si="10"/>
        <v>7</v>
      </c>
      <c r="J183" s="13" t="s">
        <v>1022</v>
      </c>
      <c r="K183" s="4">
        <v>46160</v>
      </c>
      <c r="L183" s="7" t="s">
        <v>1023</v>
      </c>
      <c r="M183" s="4">
        <v>46160</v>
      </c>
      <c r="N183" s="74">
        <f t="shared" ca="1" si="7"/>
        <v>0</v>
      </c>
      <c r="O183" s="107" t="s">
        <v>2</v>
      </c>
      <c r="P183" s="23"/>
    </row>
    <row r="184" spans="1:16" ht="51.6" customHeight="1" x14ac:dyDescent="0.3">
      <c r="A184" s="47"/>
      <c r="B184" s="19" t="s">
        <v>1024</v>
      </c>
      <c r="C184" s="5">
        <v>0</v>
      </c>
      <c r="D184" s="13" t="s">
        <v>1025</v>
      </c>
      <c r="E184" s="5" t="s">
        <v>1026</v>
      </c>
      <c r="F184" s="85">
        <v>46153</v>
      </c>
      <c r="G184" s="7" t="s">
        <v>1027</v>
      </c>
      <c r="H184" s="85">
        <v>46153</v>
      </c>
      <c r="I184" s="116">
        <f t="shared" si="10"/>
        <v>7</v>
      </c>
      <c r="J184" s="13" t="s">
        <v>1028</v>
      </c>
      <c r="K184" s="4">
        <v>46160</v>
      </c>
      <c r="L184" s="7" t="s">
        <v>1029</v>
      </c>
      <c r="M184" s="4">
        <v>46160</v>
      </c>
      <c r="N184" s="74">
        <f t="shared" ca="1" si="7"/>
        <v>0</v>
      </c>
      <c r="O184" s="104" t="s">
        <v>2</v>
      </c>
      <c r="P184" s="23"/>
    </row>
    <row r="185" spans="1:16" ht="51.6" customHeight="1" x14ac:dyDescent="0.3">
      <c r="A185" s="99"/>
      <c r="B185" s="31" t="s">
        <v>1030</v>
      </c>
      <c r="C185" s="63">
        <v>1</v>
      </c>
      <c r="D185" s="63" t="s">
        <v>1031</v>
      </c>
      <c r="E185" s="63" t="s">
        <v>1032</v>
      </c>
      <c r="F185" s="87">
        <v>46166</v>
      </c>
      <c r="G185" s="86" t="s">
        <v>1033</v>
      </c>
      <c r="H185" s="87">
        <v>46166</v>
      </c>
      <c r="I185" s="116">
        <f t="shared" si="10"/>
        <v>15</v>
      </c>
      <c r="J185" s="13" t="s">
        <v>1034</v>
      </c>
      <c r="K185" s="4">
        <v>46181</v>
      </c>
      <c r="L185" s="13" t="s">
        <v>1035</v>
      </c>
      <c r="M185" s="4">
        <v>46182</v>
      </c>
      <c r="N185" s="74">
        <f t="shared" ca="1" si="7"/>
        <v>0</v>
      </c>
      <c r="O185" s="108" t="s">
        <v>2</v>
      </c>
      <c r="P185" s="68" t="s">
        <v>1036</v>
      </c>
    </row>
    <row r="186" spans="1:16" ht="51.6" customHeight="1" x14ac:dyDescent="0.3">
      <c r="A186" s="47"/>
      <c r="B186" s="51" t="s">
        <v>1037</v>
      </c>
      <c r="C186" s="54">
        <v>0</v>
      </c>
      <c r="D186" s="55" t="s">
        <v>1038</v>
      </c>
      <c r="E186" s="56" t="s">
        <v>1039</v>
      </c>
      <c r="F186" s="100">
        <v>46154</v>
      </c>
      <c r="G186" s="88" t="s">
        <v>1038</v>
      </c>
      <c r="H186" s="111">
        <v>46154</v>
      </c>
      <c r="I186" s="116">
        <f>K186-H186</f>
        <v>8</v>
      </c>
      <c r="J186" s="13" t="s">
        <v>1040</v>
      </c>
      <c r="K186" s="4">
        <v>46162</v>
      </c>
      <c r="L186" s="7" t="s">
        <v>1041</v>
      </c>
      <c r="M186" s="4">
        <v>46162</v>
      </c>
      <c r="N186" s="74">
        <f t="shared" ca="1" si="7"/>
        <v>0</v>
      </c>
      <c r="O186" s="106" t="s">
        <v>2</v>
      </c>
      <c r="P186" s="23"/>
    </row>
    <row r="187" spans="1:16" ht="51.6" customHeight="1" x14ac:dyDescent="0.3">
      <c r="A187" s="47"/>
      <c r="B187" s="19" t="s">
        <v>1042</v>
      </c>
      <c r="C187" s="46">
        <v>0</v>
      </c>
      <c r="D187" s="13" t="s">
        <v>1043</v>
      </c>
      <c r="E187" s="5" t="s">
        <v>1044</v>
      </c>
      <c r="F187" s="8">
        <v>46161</v>
      </c>
      <c r="G187" s="47" t="s">
        <v>1045</v>
      </c>
      <c r="H187" s="89">
        <v>46161</v>
      </c>
      <c r="I187" s="116">
        <f t="shared" ref="I187:I205" si="11">K187-H187</f>
        <v>6</v>
      </c>
      <c r="J187" s="13" t="s">
        <v>1046</v>
      </c>
      <c r="K187" s="4">
        <v>46167</v>
      </c>
      <c r="L187" s="7" t="s">
        <v>1047</v>
      </c>
      <c r="M187" s="4">
        <v>46167</v>
      </c>
      <c r="N187" s="74">
        <f t="shared" ca="1" si="7"/>
        <v>0</v>
      </c>
      <c r="O187" s="107" t="s">
        <v>2</v>
      </c>
      <c r="P187" s="23"/>
    </row>
    <row r="188" spans="1:16" ht="51.6" customHeight="1" x14ac:dyDescent="0.3">
      <c r="A188" s="47"/>
      <c r="B188" s="19" t="s">
        <v>1048</v>
      </c>
      <c r="C188" s="46">
        <v>0</v>
      </c>
      <c r="D188" s="13" t="s">
        <v>1049</v>
      </c>
      <c r="E188" s="5" t="s">
        <v>1050</v>
      </c>
      <c r="F188" s="8">
        <v>46154</v>
      </c>
      <c r="G188" s="47" t="s">
        <v>1051</v>
      </c>
      <c r="H188" s="89">
        <v>46154</v>
      </c>
      <c r="I188" s="116">
        <f t="shared" si="11"/>
        <v>6</v>
      </c>
      <c r="J188" s="13" t="s">
        <v>1052</v>
      </c>
      <c r="K188" s="8">
        <v>46160</v>
      </c>
      <c r="L188" s="7" t="s">
        <v>1053</v>
      </c>
      <c r="M188" s="4">
        <v>46160</v>
      </c>
      <c r="N188" s="74">
        <f t="shared" ca="1" si="7"/>
        <v>0</v>
      </c>
      <c r="O188" s="107" t="s">
        <v>2</v>
      </c>
      <c r="P188" s="23"/>
    </row>
    <row r="189" spans="1:16" ht="51.6" customHeight="1" x14ac:dyDescent="0.3">
      <c r="A189" s="47"/>
      <c r="B189" s="19" t="s">
        <v>1054</v>
      </c>
      <c r="C189" s="46">
        <v>0</v>
      </c>
      <c r="D189" s="13" t="s">
        <v>1055</v>
      </c>
      <c r="E189" s="5" t="s">
        <v>1056</v>
      </c>
      <c r="F189" s="8">
        <v>46154</v>
      </c>
      <c r="G189" s="47" t="s">
        <v>1057</v>
      </c>
      <c r="H189" s="89">
        <v>46154</v>
      </c>
      <c r="I189" s="116">
        <f t="shared" si="11"/>
        <v>6</v>
      </c>
      <c r="J189" s="13" t="s">
        <v>1058</v>
      </c>
      <c r="K189" s="4">
        <v>46160</v>
      </c>
      <c r="L189" s="7" t="s">
        <v>1059</v>
      </c>
      <c r="M189" s="4">
        <v>46160</v>
      </c>
      <c r="N189" s="74">
        <f t="shared" ca="1" si="7"/>
        <v>0</v>
      </c>
      <c r="O189" s="107" t="s">
        <v>2</v>
      </c>
      <c r="P189" s="23"/>
    </row>
    <row r="190" spans="1:16" ht="51.6" customHeight="1" x14ac:dyDescent="0.3">
      <c r="A190" s="47"/>
      <c r="B190" s="19" t="s">
        <v>1060</v>
      </c>
      <c r="C190" s="46">
        <v>0</v>
      </c>
      <c r="D190" s="3" t="s">
        <v>1061</v>
      </c>
      <c r="E190" s="46" t="s">
        <v>1062</v>
      </c>
      <c r="F190" s="8">
        <v>46154</v>
      </c>
      <c r="G190" s="47" t="s">
        <v>1063</v>
      </c>
      <c r="H190" s="90">
        <v>46154</v>
      </c>
      <c r="I190" s="116">
        <f t="shared" si="11"/>
        <v>6</v>
      </c>
      <c r="J190" s="3" t="s">
        <v>1064</v>
      </c>
      <c r="K190" s="4">
        <v>46160</v>
      </c>
      <c r="L190" s="47" t="s">
        <v>1065</v>
      </c>
      <c r="M190" s="4">
        <v>46160</v>
      </c>
      <c r="N190" s="74">
        <f t="shared" ca="1" si="7"/>
        <v>0</v>
      </c>
      <c r="O190" s="107" t="s">
        <v>2</v>
      </c>
      <c r="P190" s="22"/>
    </row>
    <row r="191" spans="1:16" ht="51.6" customHeight="1" x14ac:dyDescent="0.3">
      <c r="A191" s="47"/>
      <c r="B191" s="19" t="s">
        <v>1066</v>
      </c>
      <c r="C191" s="46">
        <v>0</v>
      </c>
      <c r="D191" s="13" t="s">
        <v>1067</v>
      </c>
      <c r="E191" s="5" t="s">
        <v>1068</v>
      </c>
      <c r="F191" s="8">
        <v>46158</v>
      </c>
      <c r="G191" s="47" t="s">
        <v>1069</v>
      </c>
      <c r="H191" s="89">
        <v>46159</v>
      </c>
      <c r="I191" s="116">
        <f t="shared" si="11"/>
        <v>4</v>
      </c>
      <c r="J191" s="13" t="s">
        <v>1070</v>
      </c>
      <c r="K191" s="4">
        <v>46163</v>
      </c>
      <c r="L191" s="7" t="s">
        <v>1071</v>
      </c>
      <c r="M191" s="4">
        <v>46163</v>
      </c>
      <c r="N191" s="74">
        <f t="shared" ca="1" si="7"/>
        <v>0</v>
      </c>
      <c r="O191" s="107" t="s">
        <v>2</v>
      </c>
      <c r="P191" s="14"/>
    </row>
    <row r="192" spans="1:16" ht="51.6" customHeight="1" x14ac:dyDescent="0.3">
      <c r="A192" s="47"/>
      <c r="B192" s="19" t="s">
        <v>1072</v>
      </c>
      <c r="C192" s="46">
        <v>0</v>
      </c>
      <c r="D192" s="13" t="s">
        <v>1073</v>
      </c>
      <c r="E192" s="5" t="s">
        <v>1074</v>
      </c>
      <c r="F192" s="8">
        <v>46158</v>
      </c>
      <c r="G192" s="48" t="s">
        <v>1075</v>
      </c>
      <c r="H192" s="89">
        <v>46159</v>
      </c>
      <c r="I192" s="116">
        <f t="shared" si="11"/>
        <v>8</v>
      </c>
      <c r="J192" s="13" t="s">
        <v>1076</v>
      </c>
      <c r="K192" s="4">
        <v>46167</v>
      </c>
      <c r="L192" s="7" t="s">
        <v>1077</v>
      </c>
      <c r="M192" s="4">
        <v>46167</v>
      </c>
      <c r="N192" s="74">
        <f t="shared" ca="1" si="7"/>
        <v>0</v>
      </c>
      <c r="O192" s="107" t="s">
        <v>2</v>
      </c>
      <c r="P192" s="49" t="s">
        <v>1078</v>
      </c>
    </row>
    <row r="193" spans="1:16" ht="51.6" customHeight="1" x14ac:dyDescent="0.3">
      <c r="A193" s="47"/>
      <c r="B193" s="19" t="s">
        <v>1079</v>
      </c>
      <c r="C193" s="46">
        <v>1</v>
      </c>
      <c r="D193" s="13" t="s">
        <v>1080</v>
      </c>
      <c r="E193" s="5" t="s">
        <v>1081</v>
      </c>
      <c r="F193" s="8">
        <v>46176</v>
      </c>
      <c r="G193" s="48" t="s">
        <v>1082</v>
      </c>
      <c r="H193" s="8">
        <v>46176</v>
      </c>
      <c r="I193" s="116">
        <f t="shared" si="11"/>
        <v>5</v>
      </c>
      <c r="J193" s="13" t="s">
        <v>1083</v>
      </c>
      <c r="K193" s="4">
        <v>46181</v>
      </c>
      <c r="L193" s="7" t="s">
        <v>1084</v>
      </c>
      <c r="M193" s="4">
        <v>46181</v>
      </c>
      <c r="N193" s="74">
        <f t="shared" ca="1" si="7"/>
        <v>0</v>
      </c>
      <c r="O193" s="107" t="s">
        <v>2</v>
      </c>
      <c r="P193" s="49"/>
    </row>
    <row r="194" spans="1:16" ht="51.6" customHeight="1" x14ac:dyDescent="0.3">
      <c r="A194" s="47"/>
      <c r="B194" s="19" t="s">
        <v>1085</v>
      </c>
      <c r="C194" s="46">
        <v>0</v>
      </c>
      <c r="D194" s="13" t="s">
        <v>1086</v>
      </c>
      <c r="E194" s="5" t="s">
        <v>1087</v>
      </c>
      <c r="F194" s="89">
        <v>46159</v>
      </c>
      <c r="G194" s="7" t="s">
        <v>1088</v>
      </c>
      <c r="H194" s="89">
        <v>46159</v>
      </c>
      <c r="I194" s="116">
        <f t="shared" si="11"/>
        <v>15</v>
      </c>
      <c r="J194" s="13" t="s">
        <v>1089</v>
      </c>
      <c r="K194" s="4">
        <v>46174</v>
      </c>
      <c r="L194" s="7" t="s">
        <v>1090</v>
      </c>
      <c r="M194" s="4">
        <v>46174</v>
      </c>
      <c r="N194" s="74">
        <f t="shared" ca="1" si="7"/>
        <v>0</v>
      </c>
      <c r="O194" s="107" t="s">
        <v>2</v>
      </c>
      <c r="P194" s="14"/>
    </row>
    <row r="195" spans="1:16" ht="28.95" customHeight="1" x14ac:dyDescent="0.3">
      <c r="A195" s="47"/>
      <c r="B195" s="19" t="s">
        <v>1091</v>
      </c>
      <c r="C195" s="46">
        <v>0</v>
      </c>
      <c r="D195" s="13" t="s">
        <v>1092</v>
      </c>
      <c r="E195" s="5" t="s">
        <v>1093</v>
      </c>
      <c r="F195" s="89">
        <v>46159</v>
      </c>
      <c r="G195" s="7" t="s">
        <v>1094</v>
      </c>
      <c r="H195" s="89">
        <v>46159</v>
      </c>
      <c r="I195" s="116">
        <f t="shared" si="11"/>
        <v>8</v>
      </c>
      <c r="J195" s="13" t="s">
        <v>1095</v>
      </c>
      <c r="K195" s="4">
        <v>46167</v>
      </c>
      <c r="L195" s="7" t="s">
        <v>1096</v>
      </c>
      <c r="M195" s="4">
        <v>46167</v>
      </c>
      <c r="N195" s="74">
        <f t="shared" ca="1" si="7"/>
        <v>0</v>
      </c>
      <c r="O195" s="107" t="s">
        <v>2</v>
      </c>
      <c r="P195" s="14"/>
    </row>
    <row r="196" spans="1:16" ht="28.95" customHeight="1" x14ac:dyDescent="0.3">
      <c r="A196" s="47"/>
      <c r="B196" s="19" t="s">
        <v>1097</v>
      </c>
      <c r="C196" s="5">
        <v>0</v>
      </c>
      <c r="D196" s="13" t="s">
        <v>1098</v>
      </c>
      <c r="E196" s="5" t="s">
        <v>1099</v>
      </c>
      <c r="F196" s="89">
        <v>46180</v>
      </c>
      <c r="G196" s="7" t="s">
        <v>1100</v>
      </c>
      <c r="H196" s="89">
        <v>46180</v>
      </c>
      <c r="I196" s="116">
        <f t="shared" si="11"/>
        <v>8</v>
      </c>
      <c r="J196" s="13" t="s">
        <v>1101</v>
      </c>
      <c r="K196" s="4">
        <v>46188</v>
      </c>
      <c r="L196" s="7" t="s">
        <v>1102</v>
      </c>
      <c r="M196" s="4">
        <v>46188</v>
      </c>
      <c r="N196" s="74">
        <f t="shared" ca="1" si="7"/>
        <v>0</v>
      </c>
      <c r="O196" s="104" t="s">
        <v>2</v>
      </c>
      <c r="P196" s="49" t="s">
        <v>1103</v>
      </c>
    </row>
    <row r="197" spans="1:16" ht="28.95" customHeight="1" x14ac:dyDescent="0.3">
      <c r="A197" s="47"/>
      <c r="B197" s="19" t="s">
        <v>1104</v>
      </c>
      <c r="C197" s="5">
        <v>0</v>
      </c>
      <c r="D197" s="13" t="s">
        <v>1105</v>
      </c>
      <c r="E197" s="5" t="s">
        <v>1106</v>
      </c>
      <c r="F197" s="89">
        <v>46162</v>
      </c>
      <c r="G197" s="7" t="s">
        <v>1107</v>
      </c>
      <c r="H197" s="89">
        <v>46162</v>
      </c>
      <c r="I197" s="116">
        <f t="shared" si="11"/>
        <v>12</v>
      </c>
      <c r="J197" s="13" t="s">
        <v>1108</v>
      </c>
      <c r="K197" s="4">
        <v>46174</v>
      </c>
      <c r="L197" s="7" t="s">
        <v>1109</v>
      </c>
      <c r="M197" s="4">
        <v>46174</v>
      </c>
      <c r="N197" s="74">
        <f t="shared" ca="1" si="7"/>
        <v>0</v>
      </c>
      <c r="O197" s="104" t="s">
        <v>2</v>
      </c>
      <c r="P197" s="14"/>
    </row>
    <row r="198" spans="1:16" ht="28.95" customHeight="1" x14ac:dyDescent="0.3">
      <c r="A198" s="99"/>
      <c r="B198" s="19" t="s">
        <v>1110</v>
      </c>
      <c r="C198" s="5">
        <v>0</v>
      </c>
      <c r="D198" s="13" t="s">
        <v>1111</v>
      </c>
      <c r="E198" s="5" t="s">
        <v>1112</v>
      </c>
      <c r="F198" s="89">
        <v>46177</v>
      </c>
      <c r="G198" s="7" t="s">
        <v>1113</v>
      </c>
      <c r="H198" s="89">
        <v>46178</v>
      </c>
      <c r="I198" s="116">
        <f t="shared" si="11"/>
        <v>3</v>
      </c>
      <c r="J198" s="13" t="s">
        <v>1114</v>
      </c>
      <c r="K198" s="4">
        <v>46181</v>
      </c>
      <c r="L198" s="7" t="s">
        <v>1115</v>
      </c>
      <c r="M198" s="4">
        <v>46181</v>
      </c>
      <c r="N198" s="74">
        <f t="shared" ca="1" si="7"/>
        <v>0</v>
      </c>
      <c r="O198" s="69" t="s">
        <v>2</v>
      </c>
      <c r="P198" s="59"/>
    </row>
    <row r="199" spans="1:16" ht="28.95" customHeight="1" x14ac:dyDescent="0.3">
      <c r="A199" s="99"/>
      <c r="B199" s="19" t="s">
        <v>1116</v>
      </c>
      <c r="C199" s="5">
        <v>0</v>
      </c>
      <c r="D199" s="13" t="s">
        <v>1117</v>
      </c>
      <c r="E199" s="5" t="s">
        <v>1118</v>
      </c>
      <c r="F199" s="89">
        <v>46180</v>
      </c>
      <c r="G199" s="7" t="s">
        <v>1119</v>
      </c>
      <c r="H199" s="89">
        <v>46180</v>
      </c>
      <c r="I199" s="116">
        <f t="shared" si="11"/>
        <v>2</v>
      </c>
      <c r="J199" s="13" t="s">
        <v>1120</v>
      </c>
      <c r="K199" s="4">
        <v>46182</v>
      </c>
      <c r="L199" s="7" t="s">
        <v>1121</v>
      </c>
      <c r="M199" s="4">
        <v>46182</v>
      </c>
      <c r="N199" s="74">
        <f t="shared" ca="1" si="7"/>
        <v>0</v>
      </c>
      <c r="O199" s="69" t="s">
        <v>2</v>
      </c>
      <c r="P199" s="59"/>
    </row>
    <row r="200" spans="1:16" ht="28.95" customHeight="1" x14ac:dyDescent="0.3">
      <c r="A200" s="99"/>
      <c r="B200" s="19" t="s">
        <v>1122</v>
      </c>
      <c r="C200" s="5">
        <v>0</v>
      </c>
      <c r="D200" s="13" t="s">
        <v>1123</v>
      </c>
      <c r="E200" s="5" t="s">
        <v>1124</v>
      </c>
      <c r="F200" s="89">
        <v>46187</v>
      </c>
      <c r="G200" s="7" t="s">
        <v>1125</v>
      </c>
      <c r="H200" s="89">
        <v>46187</v>
      </c>
      <c r="I200" s="116">
        <f t="shared" si="11"/>
        <v>14</v>
      </c>
      <c r="J200" s="13" t="s">
        <v>1126</v>
      </c>
      <c r="K200" s="4">
        <v>46201</v>
      </c>
      <c r="L200" s="7" t="s">
        <v>1127</v>
      </c>
      <c r="M200" s="4">
        <v>46201</v>
      </c>
      <c r="N200" s="74">
        <f t="shared" ca="1" si="7"/>
        <v>0</v>
      </c>
      <c r="O200" s="69" t="s">
        <v>2</v>
      </c>
      <c r="P200" s="59"/>
    </row>
    <row r="201" spans="1:16" ht="28.95" customHeight="1" x14ac:dyDescent="0.3">
      <c r="A201" s="99"/>
      <c r="B201" s="31" t="s">
        <v>1128</v>
      </c>
      <c r="C201" s="63">
        <v>0</v>
      </c>
      <c r="D201" s="63" t="s">
        <v>1129</v>
      </c>
      <c r="E201" s="63" t="s">
        <v>1130</v>
      </c>
      <c r="F201" s="87">
        <v>46161</v>
      </c>
      <c r="G201" s="7" t="s">
        <v>1131</v>
      </c>
      <c r="H201" s="89">
        <v>46161</v>
      </c>
      <c r="I201" s="116">
        <f t="shared" si="11"/>
        <v>16</v>
      </c>
      <c r="J201" s="13" t="s">
        <v>1132</v>
      </c>
      <c r="K201" s="4">
        <v>46177</v>
      </c>
      <c r="L201" s="7" t="s">
        <v>1133</v>
      </c>
      <c r="M201" s="4">
        <v>46177</v>
      </c>
      <c r="N201" s="74">
        <f t="shared" ca="1" si="7"/>
        <v>0</v>
      </c>
      <c r="O201" s="108" t="s">
        <v>2</v>
      </c>
      <c r="P201" s="59"/>
    </row>
    <row r="202" spans="1:16" ht="28.95" customHeight="1" x14ac:dyDescent="0.3">
      <c r="A202" s="99"/>
      <c r="B202" s="31" t="s">
        <v>1134</v>
      </c>
      <c r="C202" s="63">
        <v>0</v>
      </c>
      <c r="D202" s="63" t="s">
        <v>1135</v>
      </c>
      <c r="E202" s="63" t="s">
        <v>1136</v>
      </c>
      <c r="F202" s="87">
        <v>46161</v>
      </c>
      <c r="G202" s="7" t="s">
        <v>1137</v>
      </c>
      <c r="H202" s="89">
        <v>46161</v>
      </c>
      <c r="I202" s="116">
        <f t="shared" si="11"/>
        <v>16</v>
      </c>
      <c r="J202" s="13" t="s">
        <v>1138</v>
      </c>
      <c r="K202" s="4">
        <v>46177</v>
      </c>
      <c r="L202" s="7" t="s">
        <v>1139</v>
      </c>
      <c r="M202" s="4">
        <v>46177</v>
      </c>
      <c r="N202" s="74">
        <f t="shared" ca="1" si="7"/>
        <v>0</v>
      </c>
      <c r="O202" s="108" t="s">
        <v>2</v>
      </c>
      <c r="P202" s="59"/>
    </row>
    <row r="203" spans="1:16" ht="51.6" customHeight="1" x14ac:dyDescent="0.3">
      <c r="A203" s="47"/>
      <c r="B203" s="51" t="s">
        <v>1140</v>
      </c>
      <c r="C203" s="54">
        <v>0</v>
      </c>
      <c r="D203" s="55" t="s">
        <v>1141</v>
      </c>
      <c r="E203" s="56" t="s">
        <v>1142</v>
      </c>
      <c r="F203" s="100">
        <v>46161</v>
      </c>
      <c r="G203" s="7" t="s">
        <v>1143</v>
      </c>
      <c r="H203" s="89">
        <v>46161</v>
      </c>
      <c r="I203" s="116">
        <f t="shared" si="11"/>
        <v>6</v>
      </c>
      <c r="J203" s="13" t="s">
        <v>1144</v>
      </c>
      <c r="K203" s="4">
        <v>46167</v>
      </c>
      <c r="L203" s="7" t="s">
        <v>1145</v>
      </c>
      <c r="M203" s="4">
        <v>46167</v>
      </c>
      <c r="N203" s="74">
        <f t="shared" ca="1" si="7"/>
        <v>0</v>
      </c>
      <c r="O203" s="106" t="s">
        <v>2</v>
      </c>
      <c r="P203" s="14"/>
    </row>
    <row r="204" spans="1:16" ht="51.6" customHeight="1" x14ac:dyDescent="0.3">
      <c r="A204" s="47"/>
      <c r="B204" s="19" t="s">
        <v>1146</v>
      </c>
      <c r="C204" s="5">
        <v>0</v>
      </c>
      <c r="D204" s="13" t="s">
        <v>1147</v>
      </c>
      <c r="E204" s="5" t="s">
        <v>1148</v>
      </c>
      <c r="F204" s="85">
        <v>46161</v>
      </c>
      <c r="G204" s="7" t="s">
        <v>1149</v>
      </c>
      <c r="H204" s="89">
        <v>46161</v>
      </c>
      <c r="I204" s="116">
        <f t="shared" si="11"/>
        <v>13</v>
      </c>
      <c r="J204" s="13" t="s">
        <v>1150</v>
      </c>
      <c r="K204" s="4">
        <v>46174</v>
      </c>
      <c r="L204" s="7" t="s">
        <v>1151</v>
      </c>
      <c r="M204" s="4">
        <v>46174</v>
      </c>
      <c r="N204" s="74">
        <f t="shared" ca="1" si="7"/>
        <v>0</v>
      </c>
      <c r="O204" s="104" t="s">
        <v>2</v>
      </c>
      <c r="P204" s="14"/>
    </row>
    <row r="205" spans="1:16" ht="51.6" customHeight="1" x14ac:dyDescent="0.3">
      <c r="A205" s="99"/>
      <c r="B205" s="31" t="s">
        <v>1152</v>
      </c>
      <c r="C205" s="63">
        <v>0</v>
      </c>
      <c r="D205" s="63" t="s">
        <v>1153</v>
      </c>
      <c r="E205" s="63" t="s">
        <v>1154</v>
      </c>
      <c r="F205" s="87">
        <v>46161</v>
      </c>
      <c r="G205" s="7" t="s">
        <v>1155</v>
      </c>
      <c r="H205" s="87">
        <v>46161</v>
      </c>
      <c r="I205" s="116">
        <f t="shared" si="11"/>
        <v>16</v>
      </c>
      <c r="J205" s="13" t="s">
        <v>1156</v>
      </c>
      <c r="K205" s="64">
        <v>46177</v>
      </c>
      <c r="L205" s="7" t="s">
        <v>1157</v>
      </c>
      <c r="M205" s="78">
        <v>46177</v>
      </c>
      <c r="N205" s="74">
        <f t="shared" ca="1" si="7"/>
        <v>0</v>
      </c>
      <c r="O205" s="108" t="s">
        <v>2</v>
      </c>
      <c r="P205" s="59"/>
    </row>
    <row r="206" spans="1:16" ht="51.6" customHeight="1" x14ac:dyDescent="0.3">
      <c r="A206" s="47"/>
      <c r="B206" s="51" t="s">
        <v>1158</v>
      </c>
      <c r="C206" s="53">
        <v>0</v>
      </c>
      <c r="D206" s="55" t="s">
        <v>1159</v>
      </c>
      <c r="E206" s="56" t="s">
        <v>1160</v>
      </c>
      <c r="F206" s="100">
        <v>46161</v>
      </c>
      <c r="G206" s="48" t="s">
        <v>1161</v>
      </c>
      <c r="H206" s="115">
        <v>46161</v>
      </c>
      <c r="I206" s="116">
        <f>K206-H206</f>
        <v>1</v>
      </c>
      <c r="J206" s="13" t="s">
        <v>1162</v>
      </c>
      <c r="K206" s="4">
        <v>46162</v>
      </c>
      <c r="L206" s="7" t="s">
        <v>1163</v>
      </c>
      <c r="M206" s="4">
        <v>46162</v>
      </c>
      <c r="N206" s="74">
        <f t="shared" ca="1" si="7"/>
        <v>0</v>
      </c>
      <c r="O206" s="106" t="s">
        <v>2</v>
      </c>
      <c r="P206" s="14"/>
    </row>
    <row r="207" spans="1:16" ht="51.6" customHeight="1" x14ac:dyDescent="0.3">
      <c r="A207" s="47"/>
      <c r="B207" s="19" t="s">
        <v>1164</v>
      </c>
      <c r="C207" s="3">
        <v>0</v>
      </c>
      <c r="D207" s="13" t="s">
        <v>1165</v>
      </c>
      <c r="E207" s="5" t="s">
        <v>1166</v>
      </c>
      <c r="F207" s="8">
        <v>46162</v>
      </c>
      <c r="G207" s="7" t="s">
        <v>1167</v>
      </c>
      <c r="H207" s="85">
        <v>46162</v>
      </c>
      <c r="I207" s="116">
        <f t="shared" ref="I207:I294" si="12">K207-H207</f>
        <v>13</v>
      </c>
      <c r="J207" s="13" t="s">
        <v>1168</v>
      </c>
      <c r="K207" s="4">
        <v>46175</v>
      </c>
      <c r="L207" s="7" t="s">
        <v>1169</v>
      </c>
      <c r="M207" s="4">
        <v>46175</v>
      </c>
      <c r="N207" s="74">
        <f t="shared" ca="1" si="7"/>
        <v>0</v>
      </c>
      <c r="O207" s="107" t="s">
        <v>2</v>
      </c>
      <c r="P207" s="14"/>
    </row>
    <row r="208" spans="1:16" ht="51.6" customHeight="1" x14ac:dyDescent="0.3">
      <c r="A208" s="47"/>
      <c r="B208" s="19" t="s">
        <v>1170</v>
      </c>
      <c r="C208" s="3">
        <v>0</v>
      </c>
      <c r="D208" s="13" t="s">
        <v>1171</v>
      </c>
      <c r="E208" s="5" t="s">
        <v>1172</v>
      </c>
      <c r="F208" s="85">
        <v>46187</v>
      </c>
      <c r="G208" s="7" t="s">
        <v>1173</v>
      </c>
      <c r="H208" s="85">
        <v>46187</v>
      </c>
      <c r="I208" s="116">
        <f t="shared" si="12"/>
        <v>3</v>
      </c>
      <c r="J208" s="13" t="s">
        <v>1174</v>
      </c>
      <c r="K208" s="4">
        <v>46190</v>
      </c>
      <c r="L208" s="7" t="s">
        <v>1175</v>
      </c>
      <c r="M208" s="4">
        <v>46190</v>
      </c>
      <c r="N208" s="74">
        <f t="shared" ca="1" si="7"/>
        <v>0</v>
      </c>
      <c r="O208" s="104" t="s">
        <v>2</v>
      </c>
      <c r="P208" s="14"/>
    </row>
    <row r="209" spans="1:16" ht="51.6" customHeight="1" x14ac:dyDescent="0.3">
      <c r="A209" s="47"/>
      <c r="B209" s="19" t="s">
        <v>1176</v>
      </c>
      <c r="C209" s="13">
        <v>0</v>
      </c>
      <c r="D209" s="13" t="s">
        <v>1177</v>
      </c>
      <c r="E209" s="5" t="s">
        <v>1178</v>
      </c>
      <c r="F209" s="85">
        <v>46161</v>
      </c>
      <c r="G209" s="7" t="s">
        <v>1179</v>
      </c>
      <c r="H209" s="85">
        <v>46161</v>
      </c>
      <c r="I209" s="116">
        <f t="shared" si="12"/>
        <v>6</v>
      </c>
      <c r="J209" s="13" t="s">
        <v>1180</v>
      </c>
      <c r="K209" s="4">
        <v>46167</v>
      </c>
      <c r="L209" s="7" t="s">
        <v>1181</v>
      </c>
      <c r="M209" s="4">
        <v>46167</v>
      </c>
      <c r="N209" s="74">
        <f t="shared" ca="1" si="7"/>
        <v>0</v>
      </c>
      <c r="O209" s="104" t="s">
        <v>2</v>
      </c>
      <c r="P209" s="14"/>
    </row>
    <row r="210" spans="1:16" ht="51.6" customHeight="1" x14ac:dyDescent="0.3">
      <c r="A210" s="99"/>
      <c r="B210" s="31" t="s">
        <v>1182</v>
      </c>
      <c r="C210" s="63">
        <v>0</v>
      </c>
      <c r="D210" s="63" t="s">
        <v>1183</v>
      </c>
      <c r="E210" s="63" t="s">
        <v>1184</v>
      </c>
      <c r="F210" s="87">
        <v>46161</v>
      </c>
      <c r="G210" s="86" t="s">
        <v>1185</v>
      </c>
      <c r="H210" s="87">
        <v>46162</v>
      </c>
      <c r="I210" s="116">
        <f t="shared" si="12"/>
        <v>16</v>
      </c>
      <c r="J210" s="13" t="s">
        <v>1186</v>
      </c>
      <c r="K210" s="4">
        <v>46178</v>
      </c>
      <c r="L210" s="7" t="s">
        <v>1187</v>
      </c>
      <c r="M210" s="4">
        <v>46178</v>
      </c>
      <c r="N210" s="74">
        <f t="shared" ca="1" si="7"/>
        <v>0</v>
      </c>
      <c r="O210" s="108" t="s">
        <v>2</v>
      </c>
      <c r="P210" s="59"/>
    </row>
    <row r="211" spans="1:16" ht="51.6" customHeight="1" x14ac:dyDescent="0.3">
      <c r="A211" s="99"/>
      <c r="B211" s="31" t="s">
        <v>1188</v>
      </c>
      <c r="C211" s="70">
        <v>0</v>
      </c>
      <c r="D211" s="71" t="s">
        <v>1189</v>
      </c>
      <c r="E211" s="72" t="s">
        <v>1190</v>
      </c>
      <c r="F211" s="101">
        <v>46178</v>
      </c>
      <c r="G211" s="92" t="s">
        <v>1191</v>
      </c>
      <c r="H211" s="93">
        <v>46178</v>
      </c>
      <c r="I211" s="116">
        <f t="shared" si="12"/>
        <v>3</v>
      </c>
      <c r="J211" s="13" t="s">
        <v>1192</v>
      </c>
      <c r="K211" s="4">
        <v>46181</v>
      </c>
      <c r="L211" s="7" t="s">
        <v>1193</v>
      </c>
      <c r="M211" s="4">
        <v>46181</v>
      </c>
      <c r="N211" s="74">
        <f t="shared" ca="1" si="7"/>
        <v>0</v>
      </c>
      <c r="O211" s="73" t="s">
        <v>2</v>
      </c>
      <c r="P211" s="59"/>
    </row>
    <row r="212" spans="1:16" ht="51.6" customHeight="1" x14ac:dyDescent="0.3">
      <c r="A212" s="47"/>
      <c r="B212" s="31" t="s">
        <v>1194</v>
      </c>
      <c r="C212" s="53">
        <v>0</v>
      </c>
      <c r="D212" s="55" t="s">
        <v>1195</v>
      </c>
      <c r="E212" s="56" t="s">
        <v>1196</v>
      </c>
      <c r="F212" s="100">
        <v>46174</v>
      </c>
      <c r="G212" s="48" t="s">
        <v>1197</v>
      </c>
      <c r="H212" s="91">
        <v>46174</v>
      </c>
      <c r="I212" s="116">
        <f t="shared" si="12"/>
        <v>1</v>
      </c>
      <c r="J212" s="13" t="s">
        <v>1198</v>
      </c>
      <c r="K212" s="4">
        <v>46175</v>
      </c>
      <c r="L212" s="7" t="s">
        <v>1199</v>
      </c>
      <c r="M212" s="4">
        <v>46175</v>
      </c>
      <c r="N212" s="74">
        <f t="shared" ref="N212:N283" ca="1" si="13">IF(AND(M212="",TODAY()-F212&gt;7),TODAY()-F212-7,0)</f>
        <v>0</v>
      </c>
      <c r="O212" s="106" t="s">
        <v>2</v>
      </c>
      <c r="P212" s="14"/>
    </row>
    <row r="213" spans="1:16" ht="51.6" customHeight="1" x14ac:dyDescent="0.3">
      <c r="A213" s="47"/>
      <c r="B213" s="19" t="s">
        <v>1200</v>
      </c>
      <c r="C213" s="3">
        <v>0</v>
      </c>
      <c r="D213" s="13" t="s">
        <v>1201</v>
      </c>
      <c r="E213" s="5" t="s">
        <v>1202</v>
      </c>
      <c r="F213" s="8">
        <v>46162</v>
      </c>
      <c r="G213" s="7" t="s">
        <v>1203</v>
      </c>
      <c r="H213" s="85">
        <v>46162</v>
      </c>
      <c r="I213" s="116">
        <f t="shared" si="12"/>
        <v>5</v>
      </c>
      <c r="J213" s="13" t="s">
        <v>1204</v>
      </c>
      <c r="K213" s="4">
        <v>46167</v>
      </c>
      <c r="L213" s="7" t="s">
        <v>1205</v>
      </c>
      <c r="M213" s="4">
        <v>46167</v>
      </c>
      <c r="N213" s="74">
        <f t="shared" ca="1" si="13"/>
        <v>0</v>
      </c>
      <c r="O213" s="107" t="s">
        <v>2</v>
      </c>
      <c r="P213" s="14"/>
    </row>
    <row r="214" spans="1:16" ht="51.6" customHeight="1" x14ac:dyDescent="0.3">
      <c r="A214" s="47"/>
      <c r="B214" s="19" t="s">
        <v>1206</v>
      </c>
      <c r="C214" s="3">
        <v>0</v>
      </c>
      <c r="D214" s="13" t="s">
        <v>1207</v>
      </c>
      <c r="E214" s="5" t="s">
        <v>1208</v>
      </c>
      <c r="F214" s="8">
        <v>46162</v>
      </c>
      <c r="G214" s="7" t="s">
        <v>1209</v>
      </c>
      <c r="H214" s="85">
        <v>46162</v>
      </c>
      <c r="I214" s="116">
        <f t="shared" si="12"/>
        <v>5</v>
      </c>
      <c r="J214" s="13" t="s">
        <v>1210</v>
      </c>
      <c r="K214" s="4">
        <v>46167</v>
      </c>
      <c r="L214" s="7" t="s">
        <v>1211</v>
      </c>
      <c r="M214" s="4">
        <v>46167</v>
      </c>
      <c r="N214" s="74">
        <f t="shared" ca="1" si="13"/>
        <v>0</v>
      </c>
      <c r="O214" s="107" t="s">
        <v>2</v>
      </c>
      <c r="P214" s="14"/>
    </row>
    <row r="215" spans="1:16" ht="51.6" customHeight="1" x14ac:dyDescent="0.3">
      <c r="A215" s="47"/>
      <c r="B215" s="19" t="s">
        <v>1212</v>
      </c>
      <c r="C215" s="3">
        <v>0</v>
      </c>
      <c r="D215" s="13" t="s">
        <v>1213</v>
      </c>
      <c r="E215" s="5" t="s">
        <v>1214</v>
      </c>
      <c r="F215" s="8">
        <v>46162</v>
      </c>
      <c r="G215" s="7" t="s">
        <v>1215</v>
      </c>
      <c r="H215" s="85">
        <v>46163</v>
      </c>
      <c r="I215" s="116">
        <f t="shared" si="12"/>
        <v>12</v>
      </c>
      <c r="J215" s="13" t="s">
        <v>1216</v>
      </c>
      <c r="K215" s="4">
        <v>46175</v>
      </c>
      <c r="L215" s="7" t="s">
        <v>1217</v>
      </c>
      <c r="M215" s="4">
        <v>46175</v>
      </c>
      <c r="N215" s="74">
        <f t="shared" ca="1" si="13"/>
        <v>0</v>
      </c>
      <c r="O215" s="107" t="s">
        <v>2</v>
      </c>
      <c r="P215" s="14"/>
    </row>
    <row r="216" spans="1:16" ht="51.6" customHeight="1" x14ac:dyDescent="0.3">
      <c r="A216" s="47"/>
      <c r="B216" s="19" t="s">
        <v>1218</v>
      </c>
      <c r="C216" s="13">
        <v>0</v>
      </c>
      <c r="D216" s="13" t="s">
        <v>1219</v>
      </c>
      <c r="E216" s="5" t="s">
        <v>1220</v>
      </c>
      <c r="F216" s="85">
        <v>46162</v>
      </c>
      <c r="G216" s="7" t="s">
        <v>1221</v>
      </c>
      <c r="H216" s="85">
        <v>46163</v>
      </c>
      <c r="I216" s="116">
        <f t="shared" si="12"/>
        <v>11</v>
      </c>
      <c r="J216" s="13" t="s">
        <v>1222</v>
      </c>
      <c r="K216" s="4">
        <v>46174</v>
      </c>
      <c r="L216" s="7" t="s">
        <v>1223</v>
      </c>
      <c r="M216" s="4">
        <v>46174</v>
      </c>
      <c r="N216" s="74">
        <f t="shared" ca="1" si="13"/>
        <v>0</v>
      </c>
      <c r="O216" s="104" t="s">
        <v>2</v>
      </c>
      <c r="P216" s="14"/>
    </row>
    <row r="217" spans="1:16" ht="51.6" customHeight="1" x14ac:dyDescent="0.3">
      <c r="A217" s="99"/>
      <c r="B217" s="31" t="s">
        <v>1224</v>
      </c>
      <c r="C217" s="63">
        <v>0</v>
      </c>
      <c r="D217" s="63" t="s">
        <v>1225</v>
      </c>
      <c r="E217" s="63" t="s">
        <v>1226</v>
      </c>
      <c r="F217" s="87">
        <v>46163</v>
      </c>
      <c r="G217" s="86" t="s">
        <v>1227</v>
      </c>
      <c r="H217" s="87">
        <v>46163</v>
      </c>
      <c r="I217" s="116">
        <f t="shared" si="12"/>
        <v>15</v>
      </c>
      <c r="J217" s="13" t="s">
        <v>1228</v>
      </c>
      <c r="K217" s="64">
        <v>46178</v>
      </c>
      <c r="L217" s="7" t="s">
        <v>1229</v>
      </c>
      <c r="M217" s="78">
        <v>46178</v>
      </c>
      <c r="N217" s="74">
        <f t="shared" ca="1" si="13"/>
        <v>0</v>
      </c>
      <c r="O217" s="108" t="s">
        <v>2</v>
      </c>
      <c r="P217" s="59"/>
    </row>
    <row r="218" spans="1:16" ht="51.6" customHeight="1" x14ac:dyDescent="0.3">
      <c r="A218" s="99"/>
      <c r="B218" s="31" t="s">
        <v>1230</v>
      </c>
      <c r="C218" s="63">
        <v>0</v>
      </c>
      <c r="D218" s="63" t="s">
        <v>1231</v>
      </c>
      <c r="E218" s="63" t="s">
        <v>1232</v>
      </c>
      <c r="F218" s="87">
        <v>46163</v>
      </c>
      <c r="G218" s="86" t="s">
        <v>1233</v>
      </c>
      <c r="H218" s="87">
        <v>46163</v>
      </c>
      <c r="I218" s="116">
        <f t="shared" si="12"/>
        <v>15</v>
      </c>
      <c r="J218" s="13" t="s">
        <v>1234</v>
      </c>
      <c r="K218" s="64">
        <v>46178</v>
      </c>
      <c r="L218" s="7" t="s">
        <v>1235</v>
      </c>
      <c r="M218" s="78">
        <v>46178</v>
      </c>
      <c r="N218" s="74">
        <f t="shared" ca="1" si="13"/>
        <v>0</v>
      </c>
      <c r="O218" s="108" t="s">
        <v>2</v>
      </c>
      <c r="P218" s="59"/>
    </row>
    <row r="219" spans="1:16" ht="51.6" customHeight="1" x14ac:dyDescent="0.3">
      <c r="A219" s="47"/>
      <c r="B219" s="51" t="s">
        <v>1236</v>
      </c>
      <c r="C219" s="53">
        <v>0</v>
      </c>
      <c r="D219" s="55" t="s">
        <v>1237</v>
      </c>
      <c r="E219" s="56" t="s">
        <v>1238</v>
      </c>
      <c r="F219" s="100">
        <v>46163</v>
      </c>
      <c r="G219" s="48" t="s">
        <v>1239</v>
      </c>
      <c r="H219" s="91">
        <v>46163</v>
      </c>
      <c r="I219" s="116">
        <f t="shared" si="12"/>
        <v>12</v>
      </c>
      <c r="J219" s="13" t="s">
        <v>1240</v>
      </c>
      <c r="K219" s="4">
        <v>46175</v>
      </c>
      <c r="L219" s="7" t="s">
        <v>1241</v>
      </c>
      <c r="M219" s="4">
        <v>46175</v>
      </c>
      <c r="N219" s="74">
        <f t="shared" ca="1" si="13"/>
        <v>0</v>
      </c>
      <c r="O219" s="106" t="s">
        <v>2</v>
      </c>
      <c r="P219" s="14"/>
    </row>
    <row r="220" spans="1:16" ht="51.6" customHeight="1" x14ac:dyDescent="0.3">
      <c r="A220" s="47"/>
      <c r="B220" s="19" t="s">
        <v>1242</v>
      </c>
      <c r="C220" s="63">
        <v>0</v>
      </c>
      <c r="D220" s="13" t="s">
        <v>1243</v>
      </c>
      <c r="E220" s="5" t="s">
        <v>1244</v>
      </c>
      <c r="F220" s="8">
        <v>46176</v>
      </c>
      <c r="G220" s="7" t="s">
        <v>1245</v>
      </c>
      <c r="H220" s="85">
        <v>46176</v>
      </c>
      <c r="I220" s="116">
        <f t="shared" si="12"/>
        <v>5</v>
      </c>
      <c r="J220" s="13" t="s">
        <v>1246</v>
      </c>
      <c r="K220" s="4">
        <v>46181</v>
      </c>
      <c r="L220" s="7" t="s">
        <v>1247</v>
      </c>
      <c r="M220" s="4">
        <v>46181</v>
      </c>
      <c r="N220" s="74">
        <f t="shared" ca="1" si="13"/>
        <v>0</v>
      </c>
      <c r="O220" s="108" t="s">
        <v>2</v>
      </c>
      <c r="P220" s="14"/>
    </row>
    <row r="221" spans="1:16" ht="51.6" customHeight="1" x14ac:dyDescent="0.3">
      <c r="A221" s="47"/>
      <c r="B221" s="19" t="s">
        <v>1248</v>
      </c>
      <c r="C221" s="63">
        <v>0</v>
      </c>
      <c r="D221" s="13" t="s">
        <v>1249</v>
      </c>
      <c r="E221" s="5" t="s">
        <v>1250</v>
      </c>
      <c r="F221" s="8">
        <v>46176</v>
      </c>
      <c r="G221" s="7" t="s">
        <v>1251</v>
      </c>
      <c r="H221" s="85">
        <v>46176</v>
      </c>
      <c r="I221" s="116">
        <f t="shared" si="12"/>
        <v>14</v>
      </c>
      <c r="J221" s="13" t="s">
        <v>1252</v>
      </c>
      <c r="K221" s="4">
        <v>46190</v>
      </c>
      <c r="L221" s="7" t="s">
        <v>1253</v>
      </c>
      <c r="M221" s="4">
        <v>46190</v>
      </c>
      <c r="N221" s="74">
        <f t="shared" ca="1" si="13"/>
        <v>0</v>
      </c>
      <c r="O221" s="108" t="s">
        <v>2</v>
      </c>
      <c r="P221" s="49" t="s">
        <v>1254</v>
      </c>
    </row>
    <row r="222" spans="1:16" ht="51.6" customHeight="1" x14ac:dyDescent="0.3">
      <c r="A222" s="47"/>
      <c r="B222" s="19" t="s">
        <v>1255</v>
      </c>
      <c r="C222" s="63">
        <v>0</v>
      </c>
      <c r="D222" s="13" t="s">
        <v>1256</v>
      </c>
      <c r="E222" s="5" t="s">
        <v>1257</v>
      </c>
      <c r="F222" s="8">
        <v>46181</v>
      </c>
      <c r="G222" s="7" t="s">
        <v>1258</v>
      </c>
      <c r="H222" s="85">
        <v>46181</v>
      </c>
      <c r="I222" s="116">
        <f t="shared" si="12"/>
        <v>7</v>
      </c>
      <c r="J222" s="13" t="s">
        <v>1259</v>
      </c>
      <c r="K222" s="4">
        <v>46188</v>
      </c>
      <c r="L222" s="7" t="s">
        <v>1260</v>
      </c>
      <c r="M222" s="4">
        <v>46188</v>
      </c>
      <c r="N222" s="74">
        <f t="shared" ca="1" si="13"/>
        <v>0</v>
      </c>
      <c r="O222" s="108" t="s">
        <v>2</v>
      </c>
      <c r="P222" s="14"/>
    </row>
    <row r="223" spans="1:16" ht="51.6" customHeight="1" x14ac:dyDescent="0.3">
      <c r="A223" s="47"/>
      <c r="B223" s="19" t="s">
        <v>1261</v>
      </c>
      <c r="C223" s="63">
        <v>0</v>
      </c>
      <c r="D223" s="13" t="s">
        <v>1262</v>
      </c>
      <c r="E223" s="5" t="s">
        <v>1263</v>
      </c>
      <c r="F223" s="8">
        <v>46181</v>
      </c>
      <c r="G223" s="7" t="s">
        <v>1264</v>
      </c>
      <c r="H223" s="85">
        <v>46181</v>
      </c>
      <c r="I223" s="116">
        <f t="shared" si="12"/>
        <v>7</v>
      </c>
      <c r="J223" s="13" t="s">
        <v>1265</v>
      </c>
      <c r="K223" s="4">
        <v>46188</v>
      </c>
      <c r="L223" s="7" t="s">
        <v>1266</v>
      </c>
      <c r="M223" s="4">
        <v>46188</v>
      </c>
      <c r="N223" s="74">
        <f t="shared" ca="1" si="13"/>
        <v>0</v>
      </c>
      <c r="O223" s="108" t="s">
        <v>2</v>
      </c>
      <c r="P223" s="14"/>
    </row>
    <row r="224" spans="1:16" ht="51.6" customHeight="1" x14ac:dyDescent="0.3">
      <c r="A224" s="47"/>
      <c r="B224" s="19" t="s">
        <v>1267</v>
      </c>
      <c r="C224" s="63">
        <v>0</v>
      </c>
      <c r="D224" s="13" t="s">
        <v>1268</v>
      </c>
      <c r="E224" s="5" t="s">
        <v>1269</v>
      </c>
      <c r="F224" s="8">
        <v>46181</v>
      </c>
      <c r="G224" s="7" t="s">
        <v>1270</v>
      </c>
      <c r="H224" s="85">
        <v>46181</v>
      </c>
      <c r="I224" s="116">
        <f t="shared" si="12"/>
        <v>7</v>
      </c>
      <c r="J224" s="13" t="s">
        <v>1271</v>
      </c>
      <c r="K224" s="4">
        <v>46188</v>
      </c>
      <c r="L224" s="7" t="s">
        <v>1272</v>
      </c>
      <c r="M224" s="4">
        <v>46188</v>
      </c>
      <c r="N224" s="74">
        <f t="shared" ca="1" si="13"/>
        <v>0</v>
      </c>
      <c r="O224" s="108" t="s">
        <v>2</v>
      </c>
      <c r="P224" s="14"/>
    </row>
    <row r="225" spans="1:16" ht="51.6" customHeight="1" x14ac:dyDescent="0.3">
      <c r="A225" s="47"/>
      <c r="B225" s="19" t="s">
        <v>1273</v>
      </c>
      <c r="C225" s="63">
        <v>0</v>
      </c>
      <c r="D225" s="13" t="s">
        <v>1274</v>
      </c>
      <c r="E225" s="5" t="s">
        <v>1275</v>
      </c>
      <c r="F225" s="8">
        <v>46181</v>
      </c>
      <c r="G225" s="7" t="s">
        <v>1276</v>
      </c>
      <c r="H225" s="85">
        <v>46181</v>
      </c>
      <c r="I225" s="116">
        <f t="shared" si="12"/>
        <v>7</v>
      </c>
      <c r="J225" s="13" t="s">
        <v>1277</v>
      </c>
      <c r="K225" s="4">
        <v>46188</v>
      </c>
      <c r="L225" s="7" t="s">
        <v>1278</v>
      </c>
      <c r="M225" s="4">
        <v>46188</v>
      </c>
      <c r="N225" s="74">
        <f t="shared" ca="1" si="13"/>
        <v>0</v>
      </c>
      <c r="O225" s="108" t="s">
        <v>2</v>
      </c>
      <c r="P225" s="14"/>
    </row>
    <row r="226" spans="1:16" ht="51.6" customHeight="1" x14ac:dyDescent="0.3">
      <c r="A226" s="47"/>
      <c r="B226" s="19" t="s">
        <v>1279</v>
      </c>
      <c r="C226" s="63">
        <v>0</v>
      </c>
      <c r="D226" s="13" t="s">
        <v>1280</v>
      </c>
      <c r="E226" s="5" t="s">
        <v>1281</v>
      </c>
      <c r="F226" s="8">
        <v>46179</v>
      </c>
      <c r="G226" s="7" t="s">
        <v>1282</v>
      </c>
      <c r="H226" s="85">
        <v>46180</v>
      </c>
      <c r="I226" s="116">
        <f t="shared" si="12"/>
        <v>8</v>
      </c>
      <c r="J226" s="13" t="s">
        <v>1283</v>
      </c>
      <c r="K226" s="4">
        <v>46188</v>
      </c>
      <c r="L226" s="7" t="s">
        <v>1284</v>
      </c>
      <c r="M226" s="4">
        <v>46188</v>
      </c>
      <c r="N226" s="74">
        <f t="shared" ca="1" si="13"/>
        <v>0</v>
      </c>
      <c r="O226" s="108" t="s">
        <v>2</v>
      </c>
      <c r="P226" s="49" t="s">
        <v>1285</v>
      </c>
    </row>
    <row r="227" spans="1:16" ht="51.6" customHeight="1" x14ac:dyDescent="0.3">
      <c r="A227" s="47"/>
      <c r="B227" s="19" t="s">
        <v>1286</v>
      </c>
      <c r="C227" s="63">
        <v>0</v>
      </c>
      <c r="D227" s="13" t="s">
        <v>1287</v>
      </c>
      <c r="E227" s="5" t="s">
        <v>1288</v>
      </c>
      <c r="F227" s="8">
        <v>46180</v>
      </c>
      <c r="G227" s="7" t="s">
        <v>1289</v>
      </c>
      <c r="H227" s="85">
        <v>46180</v>
      </c>
      <c r="I227" s="116">
        <f t="shared" si="12"/>
        <v>8</v>
      </c>
      <c r="J227" s="13" t="s">
        <v>1290</v>
      </c>
      <c r="K227" s="4">
        <v>46188</v>
      </c>
      <c r="L227" s="7" t="s">
        <v>1291</v>
      </c>
      <c r="M227" s="4">
        <v>46188</v>
      </c>
      <c r="N227" s="74">
        <f t="shared" ca="1" si="13"/>
        <v>0</v>
      </c>
      <c r="O227" s="108" t="s">
        <v>2</v>
      </c>
      <c r="P227" s="49" t="s">
        <v>1292</v>
      </c>
    </row>
    <row r="228" spans="1:16" ht="51.6" customHeight="1" x14ac:dyDescent="0.3">
      <c r="A228" s="47"/>
      <c r="B228" s="19" t="s">
        <v>1293</v>
      </c>
      <c r="C228" s="63">
        <v>0</v>
      </c>
      <c r="D228" s="13" t="s">
        <v>1294</v>
      </c>
      <c r="E228" s="5" t="s">
        <v>1295</v>
      </c>
      <c r="F228" s="8">
        <v>46191</v>
      </c>
      <c r="G228" s="7" t="s">
        <v>1296</v>
      </c>
      <c r="H228" s="8">
        <v>46192</v>
      </c>
      <c r="I228" s="116">
        <f t="shared" si="12"/>
        <v>4</v>
      </c>
      <c r="J228" s="13" t="s">
        <v>1297</v>
      </c>
      <c r="K228" s="4">
        <v>46196</v>
      </c>
      <c r="L228" s="7" t="s">
        <v>1298</v>
      </c>
      <c r="M228" s="4">
        <v>46196</v>
      </c>
      <c r="N228" s="74">
        <f t="shared" ca="1" si="13"/>
        <v>0</v>
      </c>
      <c r="O228" s="108" t="s">
        <v>2</v>
      </c>
      <c r="P228" s="49"/>
    </row>
    <row r="229" spans="1:16" ht="51.6" customHeight="1" x14ac:dyDescent="0.3">
      <c r="A229" s="47"/>
      <c r="B229" s="19" t="s">
        <v>1299</v>
      </c>
      <c r="C229" s="63">
        <v>0</v>
      </c>
      <c r="D229" s="13" t="s">
        <v>1300</v>
      </c>
      <c r="E229" s="5" t="s">
        <v>1301</v>
      </c>
      <c r="F229" s="8">
        <v>46182</v>
      </c>
      <c r="G229" s="7" t="s">
        <v>1302</v>
      </c>
      <c r="H229" s="85">
        <v>46182</v>
      </c>
      <c r="I229" s="116">
        <f t="shared" si="12"/>
        <v>6</v>
      </c>
      <c r="J229" s="13" t="s">
        <v>1303</v>
      </c>
      <c r="K229" s="4">
        <v>46188</v>
      </c>
      <c r="L229" s="7" t="s">
        <v>1304</v>
      </c>
      <c r="M229" s="4">
        <v>46188</v>
      </c>
      <c r="N229" s="74">
        <f t="shared" ca="1" si="13"/>
        <v>0</v>
      </c>
      <c r="O229" s="108" t="s">
        <v>2</v>
      </c>
      <c r="P229" s="14"/>
    </row>
    <row r="230" spans="1:16" ht="51.6" customHeight="1" thickBot="1" x14ac:dyDescent="0.35">
      <c r="A230" s="94"/>
      <c r="B230" s="19" t="s">
        <v>1305</v>
      </c>
      <c r="C230" s="63">
        <v>0</v>
      </c>
      <c r="D230" s="13" t="s">
        <v>1306</v>
      </c>
      <c r="E230" s="5" t="s">
        <v>1307</v>
      </c>
      <c r="F230" s="8">
        <v>46182</v>
      </c>
      <c r="G230" s="7" t="s">
        <v>1308</v>
      </c>
      <c r="H230" s="85">
        <v>46182</v>
      </c>
      <c r="I230" s="116">
        <f t="shared" si="12"/>
        <v>6</v>
      </c>
      <c r="J230" s="13" t="s">
        <v>1309</v>
      </c>
      <c r="K230" s="4">
        <v>46188</v>
      </c>
      <c r="L230" s="7" t="s">
        <v>1310</v>
      </c>
      <c r="M230" s="4">
        <v>46188</v>
      </c>
      <c r="N230" s="74">
        <f t="shared" ca="1" si="13"/>
        <v>0</v>
      </c>
      <c r="O230" s="108" t="s">
        <v>2</v>
      </c>
      <c r="P230" s="14"/>
    </row>
    <row r="231" spans="1:16" ht="51.6" customHeight="1" x14ac:dyDescent="0.3">
      <c r="A231" s="53"/>
      <c r="B231" s="19" t="s">
        <v>1311</v>
      </c>
      <c r="C231" s="63">
        <v>0</v>
      </c>
      <c r="D231" s="13" t="s">
        <v>1312</v>
      </c>
      <c r="E231" s="5" t="s">
        <v>1313</v>
      </c>
      <c r="F231" s="8">
        <v>46183</v>
      </c>
      <c r="G231" s="7" t="s">
        <v>1314</v>
      </c>
      <c r="H231" s="85">
        <v>46183</v>
      </c>
      <c r="I231" s="116">
        <f t="shared" si="12"/>
        <v>1</v>
      </c>
      <c r="J231" s="13" t="s">
        <v>1315</v>
      </c>
      <c r="K231" s="4">
        <v>46184</v>
      </c>
      <c r="L231" s="7" t="s">
        <v>1316</v>
      </c>
      <c r="M231" s="4">
        <v>46184</v>
      </c>
      <c r="N231" s="74">
        <f t="shared" ca="1" si="13"/>
        <v>0</v>
      </c>
      <c r="O231" s="108" t="s">
        <v>2</v>
      </c>
      <c r="P231" s="14"/>
    </row>
    <row r="232" spans="1:16" ht="51.6" customHeight="1" x14ac:dyDescent="0.3">
      <c r="A232" s="3"/>
      <c r="B232" s="19" t="s">
        <v>1317</v>
      </c>
      <c r="C232" s="63">
        <v>0</v>
      </c>
      <c r="D232" s="13" t="s">
        <v>1318</v>
      </c>
      <c r="E232" s="5" t="s">
        <v>1319</v>
      </c>
      <c r="F232" s="8">
        <v>46183</v>
      </c>
      <c r="G232" s="7" t="s">
        <v>1320</v>
      </c>
      <c r="H232" s="85">
        <v>46183</v>
      </c>
      <c r="I232" s="116">
        <f t="shared" si="12"/>
        <v>5</v>
      </c>
      <c r="J232" s="13" t="s">
        <v>1321</v>
      </c>
      <c r="K232" s="4">
        <v>46188</v>
      </c>
      <c r="L232" s="7" t="s">
        <v>1322</v>
      </c>
      <c r="M232" s="4">
        <v>46188</v>
      </c>
      <c r="N232" s="74">
        <f t="shared" ca="1" si="13"/>
        <v>0</v>
      </c>
      <c r="O232" s="108" t="s">
        <v>2</v>
      </c>
      <c r="P232" s="14"/>
    </row>
    <row r="233" spans="1:16" ht="51.6" customHeight="1" x14ac:dyDescent="0.3">
      <c r="A233" s="3"/>
      <c r="B233" s="19" t="s">
        <v>1323</v>
      </c>
      <c r="C233" s="63">
        <v>0</v>
      </c>
      <c r="D233" s="13" t="s">
        <v>1324</v>
      </c>
      <c r="E233" s="5" t="s">
        <v>1325</v>
      </c>
      <c r="F233" s="8">
        <v>46187</v>
      </c>
      <c r="G233" s="7" t="s">
        <v>1326</v>
      </c>
      <c r="H233" s="85">
        <v>46187</v>
      </c>
      <c r="I233" s="116">
        <f t="shared" si="12"/>
        <v>2</v>
      </c>
      <c r="J233" s="7" t="s">
        <v>1327</v>
      </c>
      <c r="K233" s="4">
        <v>46189</v>
      </c>
      <c r="L233" s="7" t="s">
        <v>1328</v>
      </c>
      <c r="M233" s="4">
        <v>46189</v>
      </c>
      <c r="N233" s="74">
        <f t="shared" ca="1" si="13"/>
        <v>0</v>
      </c>
      <c r="O233" s="108" t="s">
        <v>2</v>
      </c>
      <c r="P233" s="14"/>
    </row>
    <row r="234" spans="1:16" ht="51.6" customHeight="1" x14ac:dyDescent="0.3">
      <c r="A234" s="3"/>
      <c r="B234" s="19" t="s">
        <v>1329</v>
      </c>
      <c r="C234" s="63">
        <v>0</v>
      </c>
      <c r="D234" s="13" t="s">
        <v>1330</v>
      </c>
      <c r="E234" s="5" t="s">
        <v>1331</v>
      </c>
      <c r="F234" s="8">
        <v>46187</v>
      </c>
      <c r="G234" s="7" t="s">
        <v>1332</v>
      </c>
      <c r="H234" s="85">
        <v>46187</v>
      </c>
      <c r="I234" s="116">
        <f t="shared" si="12"/>
        <v>8</v>
      </c>
      <c r="J234" s="13" t="s">
        <v>1333</v>
      </c>
      <c r="K234" s="4">
        <v>46195</v>
      </c>
      <c r="L234" s="7" t="s">
        <v>1334</v>
      </c>
      <c r="M234" s="4">
        <v>46195</v>
      </c>
      <c r="N234" s="74">
        <f t="shared" ca="1" si="13"/>
        <v>0</v>
      </c>
      <c r="O234" s="108" t="s">
        <v>2</v>
      </c>
      <c r="P234" s="14"/>
    </row>
    <row r="235" spans="1:16" ht="51.6" customHeight="1" x14ac:dyDescent="0.3">
      <c r="A235" s="3"/>
      <c r="B235" s="19" t="s">
        <v>1335</v>
      </c>
      <c r="C235" s="63">
        <v>0</v>
      </c>
      <c r="D235" s="13" t="s">
        <v>1336</v>
      </c>
      <c r="E235" s="5" t="s">
        <v>1337</v>
      </c>
      <c r="F235" s="8">
        <v>46183</v>
      </c>
      <c r="G235" s="7" t="s">
        <v>1338</v>
      </c>
      <c r="H235" s="85">
        <v>46183</v>
      </c>
      <c r="I235" s="116">
        <f t="shared" si="12"/>
        <v>15</v>
      </c>
      <c r="J235" s="13" t="s">
        <v>1339</v>
      </c>
      <c r="K235" s="4">
        <v>46198</v>
      </c>
      <c r="L235" s="7" t="s">
        <v>1340</v>
      </c>
      <c r="M235" s="66">
        <v>46198</v>
      </c>
      <c r="N235" s="74">
        <f t="shared" ca="1" si="13"/>
        <v>0</v>
      </c>
      <c r="O235" s="108" t="s">
        <v>2</v>
      </c>
      <c r="P235" s="14"/>
    </row>
    <row r="236" spans="1:16" ht="51.6" customHeight="1" x14ac:dyDescent="0.3">
      <c r="A236" s="3"/>
      <c r="B236" s="19" t="s">
        <v>1341</v>
      </c>
      <c r="C236" s="63">
        <v>0</v>
      </c>
      <c r="D236" s="13" t="s">
        <v>1342</v>
      </c>
      <c r="E236" s="5" t="s">
        <v>1343</v>
      </c>
      <c r="F236" s="8">
        <v>46184</v>
      </c>
      <c r="G236" s="7" t="s">
        <v>1344</v>
      </c>
      <c r="H236" s="85">
        <v>46184</v>
      </c>
      <c r="I236" s="116">
        <f t="shared" si="12"/>
        <v>11</v>
      </c>
      <c r="J236" s="13" t="s">
        <v>1345</v>
      </c>
      <c r="K236" s="4">
        <v>46195</v>
      </c>
      <c r="L236" s="7" t="s">
        <v>1346</v>
      </c>
      <c r="M236" s="66">
        <v>46195</v>
      </c>
      <c r="N236" s="74">
        <f t="shared" ca="1" si="13"/>
        <v>0</v>
      </c>
      <c r="O236" s="108" t="s">
        <v>2</v>
      </c>
      <c r="P236" s="14"/>
    </row>
    <row r="237" spans="1:16" ht="51.6" customHeight="1" x14ac:dyDescent="0.3">
      <c r="A237" s="3"/>
      <c r="B237" s="19" t="s">
        <v>1347</v>
      </c>
      <c r="C237" s="63">
        <v>0</v>
      </c>
      <c r="D237" s="13" t="s">
        <v>1348</v>
      </c>
      <c r="E237" s="5" t="s">
        <v>1349</v>
      </c>
      <c r="F237" s="8">
        <v>46184</v>
      </c>
      <c r="G237" s="7" t="s">
        <v>1350</v>
      </c>
      <c r="H237" s="85">
        <v>46184</v>
      </c>
      <c r="I237" s="116">
        <f t="shared" si="12"/>
        <v>11</v>
      </c>
      <c r="J237" s="13" t="s">
        <v>1351</v>
      </c>
      <c r="K237" s="4">
        <v>46195</v>
      </c>
      <c r="L237" s="7" t="s">
        <v>1352</v>
      </c>
      <c r="M237" s="66">
        <v>46195</v>
      </c>
      <c r="N237" s="74">
        <f t="shared" ca="1" si="13"/>
        <v>0</v>
      </c>
      <c r="O237" s="108" t="s">
        <v>2</v>
      </c>
      <c r="P237" s="14"/>
    </row>
    <row r="238" spans="1:16" ht="51.6" customHeight="1" x14ac:dyDescent="0.3">
      <c r="A238" s="3"/>
      <c r="B238" s="19" t="s">
        <v>1353</v>
      </c>
      <c r="C238" s="63">
        <v>0</v>
      </c>
      <c r="D238" s="13" t="s">
        <v>1354</v>
      </c>
      <c r="E238" s="5" t="s">
        <v>1355</v>
      </c>
      <c r="F238" s="8">
        <v>46184</v>
      </c>
      <c r="G238" s="7" t="s">
        <v>1356</v>
      </c>
      <c r="H238" s="85">
        <v>46184</v>
      </c>
      <c r="I238" s="116">
        <f t="shared" si="12"/>
        <v>11</v>
      </c>
      <c r="J238" s="13" t="s">
        <v>1357</v>
      </c>
      <c r="K238" s="4">
        <v>46195</v>
      </c>
      <c r="L238" s="13" t="s">
        <v>1358</v>
      </c>
      <c r="M238" s="4">
        <v>46195</v>
      </c>
      <c r="N238" s="74">
        <f t="shared" ca="1" si="13"/>
        <v>0</v>
      </c>
      <c r="O238" s="108" t="s">
        <v>2</v>
      </c>
      <c r="P238" s="14"/>
    </row>
    <row r="239" spans="1:16" ht="51.6" customHeight="1" x14ac:dyDescent="0.3">
      <c r="A239" s="3"/>
      <c r="B239" s="19" t="s">
        <v>1359</v>
      </c>
      <c r="C239" s="63">
        <v>0</v>
      </c>
      <c r="D239" s="13" t="s">
        <v>1360</v>
      </c>
      <c r="E239" s="5" t="s">
        <v>1361</v>
      </c>
      <c r="F239" s="8">
        <v>46184</v>
      </c>
      <c r="G239" s="7" t="s">
        <v>1362</v>
      </c>
      <c r="H239" s="85">
        <v>46184</v>
      </c>
      <c r="I239" s="116">
        <f t="shared" si="12"/>
        <v>11</v>
      </c>
      <c r="J239" s="13" t="s">
        <v>1363</v>
      </c>
      <c r="K239" s="4">
        <v>46195</v>
      </c>
      <c r="L239" s="7" t="s">
        <v>1364</v>
      </c>
      <c r="M239" s="66">
        <v>46195</v>
      </c>
      <c r="N239" s="74">
        <f t="shared" ca="1" si="13"/>
        <v>0</v>
      </c>
      <c r="O239" s="108" t="s">
        <v>2</v>
      </c>
      <c r="P239" s="14"/>
    </row>
    <row r="240" spans="1:16" ht="51.6" customHeight="1" x14ac:dyDescent="0.3">
      <c r="A240" s="3"/>
      <c r="B240" s="19" t="s">
        <v>1365</v>
      </c>
      <c r="C240" s="63">
        <v>0</v>
      </c>
      <c r="D240" s="13" t="s">
        <v>1366</v>
      </c>
      <c r="E240" s="5" t="s">
        <v>1367</v>
      </c>
      <c r="F240" s="8">
        <v>46184</v>
      </c>
      <c r="G240" s="7" t="s">
        <v>1368</v>
      </c>
      <c r="H240" s="85">
        <v>46184</v>
      </c>
      <c r="I240" s="116">
        <f t="shared" si="12"/>
        <v>11</v>
      </c>
      <c r="J240" s="13" t="s">
        <v>1369</v>
      </c>
      <c r="K240" s="4">
        <v>46195</v>
      </c>
      <c r="L240" s="7" t="s">
        <v>1370</v>
      </c>
      <c r="M240" s="66">
        <v>46195</v>
      </c>
      <c r="N240" s="74">
        <f t="shared" ca="1" si="13"/>
        <v>0</v>
      </c>
      <c r="O240" s="108" t="s">
        <v>2</v>
      </c>
      <c r="P240" s="14"/>
    </row>
    <row r="241" spans="1:16" ht="51.6" customHeight="1" x14ac:dyDescent="0.3">
      <c r="A241" s="3"/>
      <c r="B241" s="19" t="s">
        <v>1371</v>
      </c>
      <c r="C241" s="63">
        <v>0</v>
      </c>
      <c r="D241" s="13" t="s">
        <v>1372</v>
      </c>
      <c r="E241" s="5" t="s">
        <v>1373</v>
      </c>
      <c r="F241" s="8">
        <v>46184</v>
      </c>
      <c r="G241" s="7" t="s">
        <v>1374</v>
      </c>
      <c r="H241" s="15">
        <v>46184</v>
      </c>
      <c r="I241" s="116">
        <f t="shared" si="12"/>
        <v>11</v>
      </c>
      <c r="J241" s="7" t="s">
        <v>1375</v>
      </c>
      <c r="K241" s="4">
        <v>46195</v>
      </c>
      <c r="L241" s="7" t="s">
        <v>1376</v>
      </c>
      <c r="M241" s="66">
        <v>46195</v>
      </c>
      <c r="N241" s="74">
        <f t="shared" ca="1" si="13"/>
        <v>0</v>
      </c>
      <c r="O241" s="108" t="s">
        <v>2</v>
      </c>
      <c r="P241" s="14"/>
    </row>
    <row r="242" spans="1:16" ht="51.6" customHeight="1" x14ac:dyDescent="0.3">
      <c r="A242" s="3"/>
      <c r="B242" s="19" t="s">
        <v>1377</v>
      </c>
      <c r="C242" s="63">
        <v>0</v>
      </c>
      <c r="D242" s="13" t="s">
        <v>1378</v>
      </c>
      <c r="E242" s="5" t="s">
        <v>1379</v>
      </c>
      <c r="F242" s="4">
        <v>46187</v>
      </c>
      <c r="G242" s="7" t="s">
        <v>1380</v>
      </c>
      <c r="H242" s="15">
        <v>46187</v>
      </c>
      <c r="I242" s="116">
        <f t="shared" si="12"/>
        <v>8</v>
      </c>
      <c r="J242" s="7" t="s">
        <v>1381</v>
      </c>
      <c r="K242" s="4">
        <v>46195</v>
      </c>
      <c r="L242" s="7" t="s">
        <v>1382</v>
      </c>
      <c r="M242" s="4">
        <v>46195</v>
      </c>
      <c r="N242" s="74">
        <f t="shared" ca="1" si="13"/>
        <v>0</v>
      </c>
      <c r="O242" s="108" t="s">
        <v>2</v>
      </c>
      <c r="P242" s="14"/>
    </row>
    <row r="243" spans="1:16" ht="51.6" customHeight="1" x14ac:dyDescent="0.3">
      <c r="A243" s="3"/>
      <c r="B243" s="19" t="s">
        <v>1383</v>
      </c>
      <c r="C243" s="63">
        <v>0</v>
      </c>
      <c r="D243" s="13" t="s">
        <v>1384</v>
      </c>
      <c r="E243" s="5" t="s">
        <v>1385</v>
      </c>
      <c r="F243" s="4">
        <v>46187</v>
      </c>
      <c r="G243" s="7" t="s">
        <v>1386</v>
      </c>
      <c r="H243" s="15">
        <v>46187</v>
      </c>
      <c r="I243" s="116">
        <f t="shared" si="12"/>
        <v>3</v>
      </c>
      <c r="J243" s="7" t="s">
        <v>1387</v>
      </c>
      <c r="K243" s="4">
        <v>46190</v>
      </c>
      <c r="L243" s="7" t="s">
        <v>1388</v>
      </c>
      <c r="M243" s="66">
        <v>46190</v>
      </c>
      <c r="N243" s="74">
        <f t="shared" ca="1" si="13"/>
        <v>0</v>
      </c>
      <c r="O243" s="108" t="s">
        <v>2</v>
      </c>
      <c r="P243" s="14"/>
    </row>
    <row r="244" spans="1:16" ht="51.6" customHeight="1" x14ac:dyDescent="0.3">
      <c r="A244" s="3"/>
      <c r="B244" s="19" t="s">
        <v>1389</v>
      </c>
      <c r="C244" s="63">
        <v>0</v>
      </c>
      <c r="D244" s="13" t="s">
        <v>1390</v>
      </c>
      <c r="E244" s="5" t="s">
        <v>1391</v>
      </c>
      <c r="F244" s="4">
        <v>46187</v>
      </c>
      <c r="G244" s="7" t="s">
        <v>1392</v>
      </c>
      <c r="H244" s="15">
        <v>46187</v>
      </c>
      <c r="I244" s="116">
        <f t="shared" si="12"/>
        <v>3</v>
      </c>
      <c r="J244" s="7" t="s">
        <v>1393</v>
      </c>
      <c r="K244" s="4">
        <v>46190</v>
      </c>
      <c r="L244" s="7" t="s">
        <v>1394</v>
      </c>
      <c r="M244" s="66">
        <v>46190</v>
      </c>
      <c r="N244" s="74">
        <f t="shared" ca="1" si="13"/>
        <v>0</v>
      </c>
      <c r="O244" s="108" t="s">
        <v>2</v>
      </c>
      <c r="P244" s="14"/>
    </row>
    <row r="245" spans="1:16" ht="51.6" customHeight="1" x14ac:dyDescent="0.3">
      <c r="A245" s="3"/>
      <c r="B245" s="19" t="s">
        <v>1395</v>
      </c>
      <c r="C245" s="63">
        <v>0</v>
      </c>
      <c r="D245" s="13" t="s">
        <v>1396</v>
      </c>
      <c r="E245" s="5" t="s">
        <v>1397</v>
      </c>
      <c r="F245" s="4">
        <v>46189</v>
      </c>
      <c r="G245" s="7" t="s">
        <v>1398</v>
      </c>
      <c r="H245" s="15">
        <v>46189</v>
      </c>
      <c r="I245" s="116">
        <f t="shared" si="12"/>
        <v>9</v>
      </c>
      <c r="J245" s="7" t="s">
        <v>1399</v>
      </c>
      <c r="K245" s="4">
        <v>46198</v>
      </c>
      <c r="L245" s="7" t="s">
        <v>1400</v>
      </c>
      <c r="M245" s="66">
        <v>46198</v>
      </c>
      <c r="N245" s="74">
        <f t="shared" ca="1" si="13"/>
        <v>0</v>
      </c>
      <c r="O245" s="108" t="s">
        <v>2</v>
      </c>
      <c r="P245" s="14"/>
    </row>
    <row r="246" spans="1:16" ht="51.6" customHeight="1" x14ac:dyDescent="0.3">
      <c r="A246" s="3"/>
      <c r="B246" s="19" t="s">
        <v>1401</v>
      </c>
      <c r="C246" s="63">
        <v>0</v>
      </c>
      <c r="D246" s="13" t="s">
        <v>1402</v>
      </c>
      <c r="E246" s="5" t="s">
        <v>1403</v>
      </c>
      <c r="F246" s="4">
        <v>46187</v>
      </c>
      <c r="G246" s="7" t="s">
        <v>1404</v>
      </c>
      <c r="H246" s="15">
        <v>46187</v>
      </c>
      <c r="I246" s="116">
        <f t="shared" si="12"/>
        <v>3</v>
      </c>
      <c r="J246" s="7" t="s">
        <v>1405</v>
      </c>
      <c r="K246" s="4">
        <v>46190</v>
      </c>
      <c r="L246" s="7" t="s">
        <v>1406</v>
      </c>
      <c r="M246" s="66">
        <v>46190</v>
      </c>
      <c r="N246" s="74">
        <f t="shared" ca="1" si="13"/>
        <v>0</v>
      </c>
      <c r="O246" s="108" t="s">
        <v>2</v>
      </c>
      <c r="P246" s="14"/>
    </row>
    <row r="247" spans="1:16" ht="51.6" customHeight="1" x14ac:dyDescent="0.3">
      <c r="A247" s="3"/>
      <c r="B247" s="19" t="s">
        <v>1407</v>
      </c>
      <c r="C247" s="63">
        <v>0</v>
      </c>
      <c r="D247" s="13" t="s">
        <v>1408</v>
      </c>
      <c r="E247" s="5" t="s">
        <v>1409</v>
      </c>
      <c r="F247" s="4">
        <v>46187</v>
      </c>
      <c r="G247" s="7" t="s">
        <v>1410</v>
      </c>
      <c r="H247" s="15">
        <v>46187</v>
      </c>
      <c r="I247" s="116">
        <f t="shared" si="12"/>
        <v>14</v>
      </c>
      <c r="J247" s="7" t="s">
        <v>1411</v>
      </c>
      <c r="K247" s="4">
        <v>46201</v>
      </c>
      <c r="L247" s="7" t="s">
        <v>1412</v>
      </c>
      <c r="M247" s="66">
        <v>46201</v>
      </c>
      <c r="N247" s="74">
        <f t="shared" ca="1" si="13"/>
        <v>0</v>
      </c>
      <c r="O247" s="108" t="s">
        <v>2</v>
      </c>
      <c r="P247" s="14"/>
    </row>
    <row r="248" spans="1:16" ht="51.6" customHeight="1" x14ac:dyDescent="0.3">
      <c r="A248" s="3"/>
      <c r="B248" s="19" t="s">
        <v>1413</v>
      </c>
      <c r="C248" s="63">
        <v>0</v>
      </c>
      <c r="D248" s="13" t="s">
        <v>1414</v>
      </c>
      <c r="E248" s="5" t="s">
        <v>1415</v>
      </c>
      <c r="F248" s="4">
        <v>46187</v>
      </c>
      <c r="G248" s="7" t="s">
        <v>1416</v>
      </c>
      <c r="H248" s="15">
        <v>46187</v>
      </c>
      <c r="I248" s="116">
        <f t="shared" si="12"/>
        <v>3</v>
      </c>
      <c r="J248" s="7" t="s">
        <v>1417</v>
      </c>
      <c r="K248" s="4">
        <v>46190</v>
      </c>
      <c r="L248" s="7" t="s">
        <v>1418</v>
      </c>
      <c r="M248" s="66">
        <v>46190</v>
      </c>
      <c r="N248" s="74">
        <f t="shared" ca="1" si="13"/>
        <v>0</v>
      </c>
      <c r="O248" s="108" t="s">
        <v>2</v>
      </c>
      <c r="P248" s="14"/>
    </row>
    <row r="249" spans="1:16" ht="51.6" customHeight="1" x14ac:dyDescent="0.3">
      <c r="A249" s="3"/>
      <c r="B249" s="19" t="s">
        <v>1419</v>
      </c>
      <c r="C249" s="63">
        <v>0</v>
      </c>
      <c r="D249" s="13" t="s">
        <v>1420</v>
      </c>
      <c r="E249" s="5" t="s">
        <v>1421</v>
      </c>
      <c r="F249" s="4">
        <v>46189</v>
      </c>
      <c r="G249" s="7" t="s">
        <v>1422</v>
      </c>
      <c r="H249" s="15">
        <v>46196</v>
      </c>
      <c r="I249" s="116">
        <f t="shared" si="12"/>
        <v>6</v>
      </c>
      <c r="J249" s="7" t="s">
        <v>1423</v>
      </c>
      <c r="K249" s="4">
        <v>46202</v>
      </c>
      <c r="L249" s="7" t="s">
        <v>1424</v>
      </c>
      <c r="M249" s="66">
        <v>46202</v>
      </c>
      <c r="N249" s="74">
        <f t="shared" ca="1" si="13"/>
        <v>0</v>
      </c>
      <c r="O249" s="108" t="s">
        <v>2</v>
      </c>
      <c r="P249" s="14"/>
    </row>
    <row r="250" spans="1:16" ht="51.6" customHeight="1" x14ac:dyDescent="0.3">
      <c r="A250" s="3"/>
      <c r="B250" s="19" t="s">
        <v>1425</v>
      </c>
      <c r="C250" s="63">
        <v>0</v>
      </c>
      <c r="D250" s="13" t="s">
        <v>1426</v>
      </c>
      <c r="E250" s="5" t="s">
        <v>1427</v>
      </c>
      <c r="F250" s="4">
        <v>46188</v>
      </c>
      <c r="G250" s="7" t="s">
        <v>1428</v>
      </c>
      <c r="H250" s="15">
        <v>46188</v>
      </c>
      <c r="I250" s="116">
        <f t="shared" si="12"/>
        <v>7</v>
      </c>
      <c r="J250" s="7" t="s">
        <v>1429</v>
      </c>
      <c r="K250" s="4">
        <v>46195</v>
      </c>
      <c r="L250" s="7" t="s">
        <v>1430</v>
      </c>
      <c r="M250" s="66">
        <v>46195</v>
      </c>
      <c r="N250" s="74">
        <f t="shared" ca="1" si="13"/>
        <v>0</v>
      </c>
      <c r="O250" s="108" t="s">
        <v>2</v>
      </c>
      <c r="P250" s="14"/>
    </row>
    <row r="251" spans="1:16" ht="51.6" customHeight="1" x14ac:dyDescent="0.3">
      <c r="A251" s="3"/>
      <c r="B251" s="19" t="s">
        <v>1431</v>
      </c>
      <c r="C251" s="63">
        <v>1</v>
      </c>
      <c r="D251" s="13" t="s">
        <v>1432</v>
      </c>
      <c r="E251" s="5" t="s">
        <v>1433</v>
      </c>
      <c r="F251" s="4">
        <v>46208</v>
      </c>
      <c r="G251" s="7" t="s">
        <v>1434</v>
      </c>
      <c r="H251" s="15">
        <v>46208</v>
      </c>
      <c r="I251" s="116">
        <f t="shared" ref="I251" si="14">K251-H251</f>
        <v>8</v>
      </c>
      <c r="J251" s="7" t="s">
        <v>1435</v>
      </c>
      <c r="K251" s="4">
        <v>46216</v>
      </c>
      <c r="L251" s="7" t="s">
        <v>1436</v>
      </c>
      <c r="M251" s="66">
        <v>46216</v>
      </c>
      <c r="N251" s="74">
        <f t="shared" ca="1" si="13"/>
        <v>0</v>
      </c>
      <c r="O251" s="108" t="s">
        <v>2</v>
      </c>
      <c r="P251" s="14"/>
    </row>
    <row r="252" spans="1:16" ht="51.6" customHeight="1" x14ac:dyDescent="0.3">
      <c r="A252" s="3"/>
      <c r="B252" s="19" t="s">
        <v>1437</v>
      </c>
      <c r="C252" s="63">
        <v>0</v>
      </c>
      <c r="D252" s="13" t="s">
        <v>1438</v>
      </c>
      <c r="E252" s="5" t="s">
        <v>1439</v>
      </c>
      <c r="F252" s="4">
        <v>46188</v>
      </c>
      <c r="G252" s="7" t="s">
        <v>1440</v>
      </c>
      <c r="H252" s="15">
        <v>46188</v>
      </c>
      <c r="I252" s="116">
        <f t="shared" si="12"/>
        <v>10</v>
      </c>
      <c r="J252" s="7" t="s">
        <v>1441</v>
      </c>
      <c r="K252" s="4">
        <v>46198</v>
      </c>
      <c r="L252" s="7" t="s">
        <v>1442</v>
      </c>
      <c r="M252" s="66">
        <v>46198</v>
      </c>
      <c r="N252" s="74">
        <f t="shared" ca="1" si="13"/>
        <v>0</v>
      </c>
      <c r="O252" s="108" t="s">
        <v>2</v>
      </c>
      <c r="P252" s="14"/>
    </row>
    <row r="253" spans="1:16" ht="51.6" customHeight="1" x14ac:dyDescent="0.3">
      <c r="A253" s="3"/>
      <c r="B253" s="19" t="s">
        <v>1443</v>
      </c>
      <c r="C253" s="63">
        <v>0</v>
      </c>
      <c r="D253" s="13" t="s">
        <v>1444</v>
      </c>
      <c r="E253" s="5" t="s">
        <v>1445</v>
      </c>
      <c r="F253" s="4">
        <v>46188</v>
      </c>
      <c r="G253" s="7" t="s">
        <v>1446</v>
      </c>
      <c r="H253" s="15">
        <v>46188</v>
      </c>
      <c r="I253" s="116">
        <f t="shared" si="12"/>
        <v>10</v>
      </c>
      <c r="J253" s="7" t="s">
        <v>1447</v>
      </c>
      <c r="K253" s="4">
        <v>46198</v>
      </c>
      <c r="L253" s="7" t="s">
        <v>1448</v>
      </c>
      <c r="M253" s="66">
        <v>46198</v>
      </c>
      <c r="N253" s="74">
        <f t="shared" ca="1" si="13"/>
        <v>0</v>
      </c>
      <c r="O253" s="108" t="s">
        <v>2</v>
      </c>
      <c r="P253" s="14"/>
    </row>
    <row r="254" spans="1:16" ht="51.6" customHeight="1" x14ac:dyDescent="0.3">
      <c r="A254" s="3"/>
      <c r="B254" s="19" t="s">
        <v>1449</v>
      </c>
      <c r="C254" s="63">
        <v>0</v>
      </c>
      <c r="D254" s="13" t="s">
        <v>1450</v>
      </c>
      <c r="E254" s="5" t="s">
        <v>1451</v>
      </c>
      <c r="F254" s="4">
        <v>46188</v>
      </c>
      <c r="G254" s="7" t="s">
        <v>1452</v>
      </c>
      <c r="H254" s="15">
        <v>46188</v>
      </c>
      <c r="I254" s="116">
        <f t="shared" si="12"/>
        <v>10</v>
      </c>
      <c r="J254" s="7" t="s">
        <v>1453</v>
      </c>
      <c r="K254" s="4">
        <v>46198</v>
      </c>
      <c r="L254" s="7" t="s">
        <v>1454</v>
      </c>
      <c r="M254" s="66">
        <v>46198</v>
      </c>
      <c r="N254" s="74">
        <f t="shared" ca="1" si="13"/>
        <v>0</v>
      </c>
      <c r="O254" s="108" t="s">
        <v>2</v>
      </c>
      <c r="P254" s="14"/>
    </row>
    <row r="255" spans="1:16" ht="51.6" customHeight="1" x14ac:dyDescent="0.3">
      <c r="A255" s="3"/>
      <c r="B255" s="19" t="s">
        <v>1455</v>
      </c>
      <c r="C255" s="63">
        <v>0</v>
      </c>
      <c r="D255" s="13" t="s">
        <v>1456</v>
      </c>
      <c r="E255" s="5" t="s">
        <v>1457</v>
      </c>
      <c r="F255" s="4">
        <v>46188</v>
      </c>
      <c r="G255" s="7" t="s">
        <v>1458</v>
      </c>
      <c r="H255" s="15">
        <v>46188</v>
      </c>
      <c r="I255" s="116">
        <f t="shared" si="12"/>
        <v>10</v>
      </c>
      <c r="J255" s="7" t="s">
        <v>1459</v>
      </c>
      <c r="K255" s="4">
        <v>46198</v>
      </c>
      <c r="L255" s="7" t="s">
        <v>1460</v>
      </c>
      <c r="M255" s="66">
        <v>46198</v>
      </c>
      <c r="N255" s="74">
        <f t="shared" ca="1" si="13"/>
        <v>0</v>
      </c>
      <c r="O255" s="108" t="s">
        <v>2</v>
      </c>
      <c r="P255" s="14"/>
    </row>
    <row r="256" spans="1:16" ht="51.6" customHeight="1" x14ac:dyDescent="0.3">
      <c r="A256" s="3"/>
      <c r="B256" s="19" t="s">
        <v>1461</v>
      </c>
      <c r="C256" s="63">
        <v>0</v>
      </c>
      <c r="D256" s="13" t="s">
        <v>1462</v>
      </c>
      <c r="E256" s="5" t="s">
        <v>1463</v>
      </c>
      <c r="F256" s="4">
        <v>46189</v>
      </c>
      <c r="G256" s="7" t="s">
        <v>1464</v>
      </c>
      <c r="H256" s="15">
        <v>46189</v>
      </c>
      <c r="I256" s="116">
        <f t="shared" si="12"/>
        <v>8</v>
      </c>
      <c r="J256" s="7" t="s">
        <v>1465</v>
      </c>
      <c r="K256" s="4">
        <v>46197</v>
      </c>
      <c r="L256" s="7" t="s">
        <v>1466</v>
      </c>
      <c r="M256" s="66">
        <v>46197</v>
      </c>
      <c r="N256" s="74">
        <f t="shared" ca="1" si="13"/>
        <v>0</v>
      </c>
      <c r="O256" s="108" t="s">
        <v>2</v>
      </c>
      <c r="P256" s="14"/>
    </row>
    <row r="257" spans="1:17" ht="51.6" customHeight="1" x14ac:dyDescent="0.3">
      <c r="A257" s="3"/>
      <c r="B257" s="19" t="s">
        <v>1467</v>
      </c>
      <c r="C257" s="63">
        <v>0</v>
      </c>
      <c r="D257" s="13" t="s">
        <v>1468</v>
      </c>
      <c r="E257" s="5" t="s">
        <v>1469</v>
      </c>
      <c r="F257" s="4">
        <v>46188</v>
      </c>
      <c r="G257" s="7" t="s">
        <v>1470</v>
      </c>
      <c r="H257" s="15">
        <v>46188</v>
      </c>
      <c r="I257" s="116">
        <f t="shared" si="12"/>
        <v>7</v>
      </c>
      <c r="J257" s="7" t="s">
        <v>1471</v>
      </c>
      <c r="K257" s="4">
        <v>46195</v>
      </c>
      <c r="L257" s="7" t="s">
        <v>1472</v>
      </c>
      <c r="M257" s="66">
        <v>46195</v>
      </c>
      <c r="N257" s="74">
        <f t="shared" ca="1" si="13"/>
        <v>0</v>
      </c>
      <c r="O257" s="108" t="s">
        <v>2</v>
      </c>
      <c r="P257" s="14"/>
    </row>
    <row r="258" spans="1:17" ht="51.6" customHeight="1" x14ac:dyDescent="0.3">
      <c r="A258" s="3"/>
      <c r="B258" s="19" t="s">
        <v>1473</v>
      </c>
      <c r="C258" s="63">
        <v>0</v>
      </c>
      <c r="D258" s="13" t="s">
        <v>1474</v>
      </c>
      <c r="E258" s="5" t="s">
        <v>1475</v>
      </c>
      <c r="F258" s="4">
        <v>46189</v>
      </c>
      <c r="G258" s="7" t="s">
        <v>1476</v>
      </c>
      <c r="H258" s="15">
        <v>46189</v>
      </c>
      <c r="I258" s="113">
        <f t="shared" si="12"/>
        <v>7</v>
      </c>
      <c r="J258" s="7" t="s">
        <v>1477</v>
      </c>
      <c r="K258" s="4">
        <v>46196</v>
      </c>
      <c r="L258" s="7" t="s">
        <v>1474</v>
      </c>
      <c r="M258" s="66">
        <v>46196</v>
      </c>
      <c r="N258" s="74">
        <f t="shared" ca="1" si="13"/>
        <v>0</v>
      </c>
      <c r="O258" s="108" t="s">
        <v>2</v>
      </c>
      <c r="P258" s="14"/>
    </row>
    <row r="259" spans="1:17" ht="51.6" customHeight="1" x14ac:dyDescent="0.3">
      <c r="A259" s="3"/>
      <c r="B259" s="19" t="s">
        <v>1478</v>
      </c>
      <c r="C259" s="63">
        <v>0</v>
      </c>
      <c r="D259" s="13" t="s">
        <v>1479</v>
      </c>
      <c r="E259" s="5" t="s">
        <v>1480</v>
      </c>
      <c r="F259" s="4">
        <v>46191</v>
      </c>
      <c r="G259" s="7" t="s">
        <v>1481</v>
      </c>
      <c r="H259" s="15">
        <v>46194</v>
      </c>
      <c r="I259" s="113">
        <f t="shared" si="12"/>
        <v>8</v>
      </c>
      <c r="J259" s="7" t="s">
        <v>1482</v>
      </c>
      <c r="K259" s="4">
        <v>46202</v>
      </c>
      <c r="L259" s="7" t="s">
        <v>1483</v>
      </c>
      <c r="M259" s="66">
        <v>46202</v>
      </c>
      <c r="N259" s="74">
        <f t="shared" ca="1" si="13"/>
        <v>0</v>
      </c>
      <c r="O259" s="108" t="s">
        <v>2</v>
      </c>
      <c r="P259" s="14"/>
    </row>
    <row r="260" spans="1:17" ht="51.6" customHeight="1" x14ac:dyDescent="0.3">
      <c r="A260" s="3"/>
      <c r="B260" s="19" t="s">
        <v>1484</v>
      </c>
      <c r="C260" s="63">
        <v>0</v>
      </c>
      <c r="D260" s="13" t="s">
        <v>1485</v>
      </c>
      <c r="E260" s="5" t="s">
        <v>1486</v>
      </c>
      <c r="F260" s="4">
        <v>46191</v>
      </c>
      <c r="G260" s="7" t="s">
        <v>1487</v>
      </c>
      <c r="H260" s="15">
        <v>46194</v>
      </c>
      <c r="I260" s="113">
        <f t="shared" si="12"/>
        <v>9</v>
      </c>
      <c r="J260" s="7" t="s">
        <v>1488</v>
      </c>
      <c r="K260" s="4">
        <v>46203</v>
      </c>
      <c r="L260" s="7" t="s">
        <v>1489</v>
      </c>
      <c r="M260" s="66">
        <v>46203</v>
      </c>
      <c r="N260" s="74">
        <f t="shared" ca="1" si="13"/>
        <v>0</v>
      </c>
      <c r="O260" s="108" t="s">
        <v>2</v>
      </c>
      <c r="P260" s="14"/>
    </row>
    <row r="261" spans="1:17" ht="51.6" customHeight="1" x14ac:dyDescent="0.3">
      <c r="A261" s="3"/>
      <c r="B261" s="19" t="s">
        <v>1490</v>
      </c>
      <c r="C261" s="63">
        <v>0</v>
      </c>
      <c r="D261" s="13" t="s">
        <v>1491</v>
      </c>
      <c r="E261" s="5" t="s">
        <v>1492</v>
      </c>
      <c r="F261" s="4">
        <v>46195</v>
      </c>
      <c r="G261" s="7" t="s">
        <v>1493</v>
      </c>
      <c r="H261" s="15">
        <v>46195</v>
      </c>
      <c r="I261" s="113">
        <f t="shared" si="12"/>
        <v>8</v>
      </c>
      <c r="J261" s="7" t="s">
        <v>1494</v>
      </c>
      <c r="K261" s="4">
        <v>46203</v>
      </c>
      <c r="L261" s="7" t="s">
        <v>1495</v>
      </c>
      <c r="M261" s="66">
        <v>46203</v>
      </c>
      <c r="N261" s="74">
        <f t="shared" ca="1" si="13"/>
        <v>0</v>
      </c>
      <c r="O261" s="108" t="s">
        <v>2</v>
      </c>
      <c r="P261" s="14"/>
    </row>
    <row r="262" spans="1:17" ht="51.6" customHeight="1" x14ac:dyDescent="0.3">
      <c r="A262" s="3"/>
      <c r="B262" s="19" t="s">
        <v>1496</v>
      </c>
      <c r="C262" s="63">
        <v>0</v>
      </c>
      <c r="D262" s="13" t="s">
        <v>1497</v>
      </c>
      <c r="E262" s="5" t="s">
        <v>1498</v>
      </c>
      <c r="F262" s="4">
        <v>46195</v>
      </c>
      <c r="G262" s="7" t="s">
        <v>1499</v>
      </c>
      <c r="H262" s="15">
        <v>46195</v>
      </c>
      <c r="I262" s="113">
        <f t="shared" si="12"/>
        <v>8</v>
      </c>
      <c r="J262" s="7" t="s">
        <v>1500</v>
      </c>
      <c r="K262" s="4">
        <v>46203</v>
      </c>
      <c r="L262" s="7" t="s">
        <v>1501</v>
      </c>
      <c r="M262" s="66">
        <v>46203</v>
      </c>
      <c r="N262" s="74">
        <f t="shared" ca="1" si="13"/>
        <v>0</v>
      </c>
      <c r="O262" s="108" t="s">
        <v>2</v>
      </c>
      <c r="P262" s="14"/>
    </row>
    <row r="263" spans="1:17" ht="51.6" customHeight="1" x14ac:dyDescent="0.3">
      <c r="A263" s="3"/>
      <c r="B263" s="19" t="s">
        <v>1502</v>
      </c>
      <c r="C263" s="63">
        <v>0</v>
      </c>
      <c r="D263" s="13" t="s">
        <v>1503</v>
      </c>
      <c r="E263" s="5" t="s">
        <v>1504</v>
      </c>
      <c r="F263" s="4">
        <v>46198</v>
      </c>
      <c r="G263" s="7" t="s">
        <v>1505</v>
      </c>
      <c r="H263" s="15">
        <v>46198</v>
      </c>
      <c r="I263" s="113">
        <f t="shared" si="12"/>
        <v>11</v>
      </c>
      <c r="J263" s="7" t="s">
        <v>1506</v>
      </c>
      <c r="K263" s="4">
        <v>46209</v>
      </c>
      <c r="L263" s="7" t="s">
        <v>1507</v>
      </c>
      <c r="M263" s="66">
        <v>46209</v>
      </c>
      <c r="N263" s="74">
        <f t="shared" ca="1" si="13"/>
        <v>0</v>
      </c>
      <c r="O263" s="108" t="s">
        <v>2</v>
      </c>
      <c r="P263" s="14"/>
    </row>
    <row r="264" spans="1:17" ht="51.6" customHeight="1" x14ac:dyDescent="0.3">
      <c r="A264" s="3"/>
      <c r="B264" s="19" t="s">
        <v>1508</v>
      </c>
      <c r="C264" s="63">
        <v>0</v>
      </c>
      <c r="D264" s="13" t="s">
        <v>1509</v>
      </c>
      <c r="E264" s="5" t="s">
        <v>1510</v>
      </c>
      <c r="F264" s="4">
        <v>46191</v>
      </c>
      <c r="G264" s="7" t="s">
        <v>1511</v>
      </c>
      <c r="H264" s="15">
        <v>46194</v>
      </c>
      <c r="I264" s="113">
        <f t="shared" si="12"/>
        <v>9</v>
      </c>
      <c r="J264" s="7" t="s">
        <v>1512</v>
      </c>
      <c r="K264" s="4">
        <v>46203</v>
      </c>
      <c r="L264" s="7" t="s">
        <v>1513</v>
      </c>
      <c r="M264" s="66">
        <v>46203</v>
      </c>
      <c r="N264" s="74">
        <f t="shared" ca="1" si="13"/>
        <v>0</v>
      </c>
      <c r="O264" s="108" t="s">
        <v>2</v>
      </c>
      <c r="P264" s="14"/>
    </row>
    <row r="265" spans="1:17" ht="51.6" customHeight="1" x14ac:dyDescent="0.3">
      <c r="A265" s="3"/>
      <c r="B265" s="19" t="s">
        <v>1514</v>
      </c>
      <c r="C265" s="63">
        <v>0</v>
      </c>
      <c r="D265" s="13" t="s">
        <v>1515</v>
      </c>
      <c r="E265" s="5" t="s">
        <v>1516</v>
      </c>
      <c r="F265" s="4">
        <v>46191</v>
      </c>
      <c r="G265" s="7" t="s">
        <v>1517</v>
      </c>
      <c r="H265" s="15">
        <v>46194</v>
      </c>
      <c r="I265" s="113">
        <f t="shared" si="12"/>
        <v>8</v>
      </c>
      <c r="J265" s="7" t="s">
        <v>1518</v>
      </c>
      <c r="K265" s="4">
        <v>46202</v>
      </c>
      <c r="L265" s="7" t="s">
        <v>1519</v>
      </c>
      <c r="M265" s="66">
        <v>46202</v>
      </c>
      <c r="N265" s="74">
        <f t="shared" ca="1" si="13"/>
        <v>0</v>
      </c>
      <c r="O265" s="108" t="s">
        <v>2</v>
      </c>
      <c r="P265" s="14"/>
    </row>
    <row r="266" spans="1:17" ht="51.6" customHeight="1" x14ac:dyDescent="0.3">
      <c r="A266" s="3"/>
      <c r="B266" s="19" t="s">
        <v>1520</v>
      </c>
      <c r="C266" s="63">
        <v>0</v>
      </c>
      <c r="D266" s="13" t="s">
        <v>1521</v>
      </c>
      <c r="E266" s="5" t="s">
        <v>1522</v>
      </c>
      <c r="F266" s="4">
        <v>46191</v>
      </c>
      <c r="G266" s="7" t="s">
        <v>1523</v>
      </c>
      <c r="H266" s="15">
        <v>46194</v>
      </c>
      <c r="I266" s="113">
        <f t="shared" si="12"/>
        <v>9</v>
      </c>
      <c r="J266" s="7" t="s">
        <v>1524</v>
      </c>
      <c r="K266" s="4">
        <v>46203</v>
      </c>
      <c r="L266" s="7" t="s">
        <v>1525</v>
      </c>
      <c r="M266" s="66">
        <v>46203</v>
      </c>
      <c r="N266" s="74">
        <f t="shared" ca="1" si="13"/>
        <v>0</v>
      </c>
      <c r="O266" s="108" t="s">
        <v>2</v>
      </c>
      <c r="P266" s="14"/>
    </row>
    <row r="267" spans="1:17" ht="51.6" customHeight="1" x14ac:dyDescent="0.3">
      <c r="A267" s="3"/>
      <c r="B267" s="19" t="s">
        <v>1526</v>
      </c>
      <c r="C267" s="63">
        <v>0</v>
      </c>
      <c r="D267" s="13" t="s">
        <v>1527</v>
      </c>
      <c r="E267" s="5" t="s">
        <v>1528</v>
      </c>
      <c r="F267" s="4">
        <v>46189</v>
      </c>
      <c r="G267" s="7" t="s">
        <v>1529</v>
      </c>
      <c r="H267" s="15">
        <v>46189</v>
      </c>
      <c r="I267" s="113">
        <f t="shared" si="12"/>
        <v>7</v>
      </c>
      <c r="J267" s="7" t="s">
        <v>1530</v>
      </c>
      <c r="K267" s="4">
        <v>46196</v>
      </c>
      <c r="L267" s="7" t="s">
        <v>1531</v>
      </c>
      <c r="M267" s="66">
        <v>46196</v>
      </c>
      <c r="N267" s="74">
        <f t="shared" ca="1" si="13"/>
        <v>0</v>
      </c>
      <c r="O267" s="108" t="s">
        <v>2</v>
      </c>
      <c r="P267" s="14"/>
    </row>
    <row r="268" spans="1:17" ht="51.6" customHeight="1" x14ac:dyDescent="0.3">
      <c r="A268" s="3"/>
      <c r="B268" s="19" t="s">
        <v>1532</v>
      </c>
      <c r="C268" s="63">
        <v>0</v>
      </c>
      <c r="D268" s="13" t="s">
        <v>1533</v>
      </c>
      <c r="E268" s="5" t="s">
        <v>1534</v>
      </c>
      <c r="F268" s="4">
        <v>46189</v>
      </c>
      <c r="G268" s="7" t="s">
        <v>1535</v>
      </c>
      <c r="H268" s="15">
        <v>46189</v>
      </c>
      <c r="I268" s="113">
        <f t="shared" si="12"/>
        <v>7</v>
      </c>
      <c r="J268" s="7" t="s">
        <v>1536</v>
      </c>
      <c r="K268" s="4">
        <v>46196</v>
      </c>
      <c r="L268" s="7" t="s">
        <v>1537</v>
      </c>
      <c r="M268" s="66">
        <v>46196</v>
      </c>
      <c r="N268" s="74">
        <f t="shared" ca="1" si="13"/>
        <v>0</v>
      </c>
      <c r="O268" s="108" t="s">
        <v>2</v>
      </c>
      <c r="P268" s="14"/>
    </row>
    <row r="269" spans="1:17" ht="51.6" customHeight="1" x14ac:dyDescent="0.3">
      <c r="A269" s="3"/>
      <c r="B269" s="19" t="s">
        <v>1538</v>
      </c>
      <c r="C269" s="63">
        <v>0</v>
      </c>
      <c r="D269" s="13" t="s">
        <v>1539</v>
      </c>
      <c r="E269" s="5" t="s">
        <v>1540</v>
      </c>
      <c r="F269" s="4">
        <v>46189</v>
      </c>
      <c r="G269" s="7" t="s">
        <v>1541</v>
      </c>
      <c r="H269" s="15">
        <v>46189</v>
      </c>
      <c r="I269" s="113">
        <f t="shared" si="12"/>
        <v>7</v>
      </c>
      <c r="J269" s="7" t="s">
        <v>1542</v>
      </c>
      <c r="K269" s="4">
        <v>46196</v>
      </c>
      <c r="L269" s="7" t="s">
        <v>1543</v>
      </c>
      <c r="M269" s="66">
        <v>46196</v>
      </c>
      <c r="N269" s="74">
        <f t="shared" ca="1" si="13"/>
        <v>0</v>
      </c>
      <c r="O269" s="108" t="s">
        <v>2</v>
      </c>
      <c r="P269" s="14"/>
    </row>
    <row r="270" spans="1:17" ht="51.6" customHeight="1" x14ac:dyDescent="0.3">
      <c r="A270" s="3"/>
      <c r="B270" s="19" t="s">
        <v>1544</v>
      </c>
      <c r="C270" s="63">
        <v>0</v>
      </c>
      <c r="D270" s="13" t="s">
        <v>1545</v>
      </c>
      <c r="E270" s="5" t="s">
        <v>1546</v>
      </c>
      <c r="F270" s="4">
        <v>46200</v>
      </c>
      <c r="G270" s="7" t="s">
        <v>1547</v>
      </c>
      <c r="H270" s="15">
        <v>46201</v>
      </c>
      <c r="I270" s="113">
        <f t="shared" si="12"/>
        <v>22</v>
      </c>
      <c r="J270" s="7" t="s">
        <v>1548</v>
      </c>
      <c r="K270" s="4">
        <v>46223</v>
      </c>
      <c r="L270" s="7" t="s">
        <v>1549</v>
      </c>
      <c r="M270" s="66">
        <v>46223</v>
      </c>
      <c r="N270" s="74">
        <f t="shared" ca="1" si="13"/>
        <v>0</v>
      </c>
      <c r="O270" s="108" t="s">
        <v>2</v>
      </c>
      <c r="P270" s="14" t="s">
        <v>1550</v>
      </c>
      <c r="Q270" s="49" t="s">
        <v>1551</v>
      </c>
    </row>
    <row r="271" spans="1:17" ht="51.6" customHeight="1" x14ac:dyDescent="0.3">
      <c r="A271" s="3"/>
      <c r="B271" s="19" t="s">
        <v>1552</v>
      </c>
      <c r="C271" s="63">
        <v>1</v>
      </c>
      <c r="D271" s="13" t="s">
        <v>1545</v>
      </c>
      <c r="E271" s="5" t="s">
        <v>1553</v>
      </c>
      <c r="F271" s="4">
        <v>46232</v>
      </c>
      <c r="G271" s="7" t="s">
        <v>1554</v>
      </c>
      <c r="H271" s="15">
        <v>46232</v>
      </c>
      <c r="I271" s="113">
        <f t="shared" ref="I271" si="15">K271-H271</f>
        <v>7</v>
      </c>
      <c r="J271" s="7" t="s">
        <v>1555</v>
      </c>
      <c r="K271" s="4">
        <v>46239</v>
      </c>
      <c r="L271" s="7" t="s">
        <v>1556</v>
      </c>
      <c r="M271" s="66">
        <v>46239</v>
      </c>
      <c r="N271" s="74">
        <f t="shared" ref="N271" ca="1" si="16">IF(AND(M271="",TODAY()-F271&gt;7),TODAY()-F271-7,0)</f>
        <v>0</v>
      </c>
      <c r="O271" s="108" t="s">
        <v>2</v>
      </c>
      <c r="P271" s="14"/>
      <c r="Q271" s="49"/>
    </row>
    <row r="272" spans="1:17" ht="51.6" customHeight="1" x14ac:dyDescent="0.3">
      <c r="A272" s="3"/>
      <c r="B272" s="19" t="s">
        <v>1557</v>
      </c>
      <c r="C272" s="63">
        <v>0</v>
      </c>
      <c r="D272" s="13" t="s">
        <v>1558</v>
      </c>
      <c r="E272" s="5" t="s">
        <v>1559</v>
      </c>
      <c r="F272" s="4">
        <v>46194</v>
      </c>
      <c r="G272" s="7" t="s">
        <v>1560</v>
      </c>
      <c r="H272" s="15">
        <v>46195</v>
      </c>
      <c r="I272" s="113">
        <f t="shared" si="12"/>
        <v>7</v>
      </c>
      <c r="J272" s="7" t="s">
        <v>1561</v>
      </c>
      <c r="K272" s="4">
        <v>46202</v>
      </c>
      <c r="L272" s="7" t="s">
        <v>1562</v>
      </c>
      <c r="M272" s="66">
        <v>46202</v>
      </c>
      <c r="N272" s="74">
        <f t="shared" ca="1" si="13"/>
        <v>0</v>
      </c>
      <c r="O272" s="108" t="s">
        <v>2</v>
      </c>
      <c r="P272" s="14"/>
    </row>
    <row r="273" spans="1:16" ht="51.6" customHeight="1" x14ac:dyDescent="0.3">
      <c r="A273" s="3"/>
      <c r="B273" s="19" t="s">
        <v>1563</v>
      </c>
      <c r="C273" s="63">
        <v>0</v>
      </c>
      <c r="D273" s="13" t="s">
        <v>1564</v>
      </c>
      <c r="E273" s="5" t="s">
        <v>1565</v>
      </c>
      <c r="F273" s="4">
        <v>46254</v>
      </c>
      <c r="G273" s="7" t="s">
        <v>1566</v>
      </c>
      <c r="H273" s="15">
        <v>46257</v>
      </c>
      <c r="I273" s="113">
        <f t="shared" si="12"/>
        <v>9</v>
      </c>
      <c r="J273" s="7" t="s">
        <v>1567</v>
      </c>
      <c r="K273" s="4">
        <v>46266</v>
      </c>
      <c r="L273" s="7" t="s">
        <v>1568</v>
      </c>
      <c r="M273" s="66">
        <v>46266</v>
      </c>
      <c r="N273" s="74">
        <f t="shared" ca="1" si="13"/>
        <v>0</v>
      </c>
      <c r="O273" s="104" t="s">
        <v>2</v>
      </c>
      <c r="P273" s="14"/>
    </row>
    <row r="274" spans="1:16" ht="51.6" customHeight="1" x14ac:dyDescent="0.3">
      <c r="A274" s="3"/>
      <c r="B274" s="19" t="s">
        <v>1569</v>
      </c>
      <c r="C274" s="63">
        <v>1</v>
      </c>
      <c r="D274" s="13" t="s">
        <v>1570</v>
      </c>
      <c r="E274" s="5" t="s">
        <v>1571</v>
      </c>
      <c r="F274" s="4">
        <v>46279</v>
      </c>
      <c r="G274" s="7" t="s">
        <v>1572</v>
      </c>
      <c r="H274" s="4">
        <v>46279</v>
      </c>
      <c r="I274" s="113">
        <f t="shared" ref="I274" si="17">K274-H274</f>
        <v>21</v>
      </c>
      <c r="J274" s="7" t="s">
        <v>3397</v>
      </c>
      <c r="K274" s="4">
        <v>46300</v>
      </c>
      <c r="L274" s="7" t="s">
        <v>3398</v>
      </c>
      <c r="M274" s="66">
        <v>46301</v>
      </c>
      <c r="N274" s="74">
        <f t="shared" ca="1" si="13"/>
        <v>0</v>
      </c>
      <c r="O274" s="104" t="s">
        <v>2</v>
      </c>
      <c r="P274" s="14"/>
    </row>
    <row r="275" spans="1:16" ht="51.6" customHeight="1" x14ac:dyDescent="0.3">
      <c r="A275" s="3"/>
      <c r="B275" s="19" t="s">
        <v>1573</v>
      </c>
      <c r="C275" s="63">
        <v>0</v>
      </c>
      <c r="D275" s="13" t="s">
        <v>1574</v>
      </c>
      <c r="E275" s="5" t="s">
        <v>1575</v>
      </c>
      <c r="F275" s="4">
        <v>46253</v>
      </c>
      <c r="G275" s="7" t="s">
        <v>1576</v>
      </c>
      <c r="H275" s="15">
        <v>46253</v>
      </c>
      <c r="I275" s="113">
        <f t="shared" si="12"/>
        <v>11</v>
      </c>
      <c r="J275" s="7" t="s">
        <v>1577</v>
      </c>
      <c r="K275" s="4">
        <v>46264</v>
      </c>
      <c r="L275" s="7" t="s">
        <v>1578</v>
      </c>
      <c r="M275" s="66">
        <v>46264</v>
      </c>
      <c r="N275" s="74">
        <f t="shared" ca="1" si="13"/>
        <v>0</v>
      </c>
      <c r="O275" s="108" t="s">
        <v>2</v>
      </c>
      <c r="P275" s="14"/>
    </row>
    <row r="276" spans="1:16" ht="51.6" customHeight="1" x14ac:dyDescent="0.3">
      <c r="A276" s="3"/>
      <c r="B276" s="19" t="s">
        <v>1579</v>
      </c>
      <c r="C276" s="63">
        <v>1</v>
      </c>
      <c r="D276" s="13" t="s">
        <v>1580</v>
      </c>
      <c r="E276" s="5" t="s">
        <v>1581</v>
      </c>
      <c r="F276" s="4">
        <v>46292</v>
      </c>
      <c r="G276" s="7" t="s">
        <v>1582</v>
      </c>
      <c r="H276" s="15">
        <v>46292</v>
      </c>
      <c r="I276" s="113">
        <f t="shared" si="12"/>
        <v>8</v>
      </c>
      <c r="J276" s="7" t="s">
        <v>3395</v>
      </c>
      <c r="K276" s="4">
        <v>46300</v>
      </c>
      <c r="L276" s="7" t="s">
        <v>3396</v>
      </c>
      <c r="M276" s="66">
        <v>46301</v>
      </c>
      <c r="N276" s="27">
        <f t="shared" ca="1" si="13"/>
        <v>0</v>
      </c>
      <c r="O276" s="108" t="s">
        <v>2</v>
      </c>
      <c r="P276" s="14"/>
    </row>
    <row r="277" spans="1:16" ht="51.6" customHeight="1" x14ac:dyDescent="0.3">
      <c r="A277" s="3"/>
      <c r="B277" s="19" t="s">
        <v>1583</v>
      </c>
      <c r="C277" s="63">
        <v>0</v>
      </c>
      <c r="D277" s="13" t="s">
        <v>1584</v>
      </c>
      <c r="E277" s="5" t="s">
        <v>1585</v>
      </c>
      <c r="F277" s="4">
        <v>46195</v>
      </c>
      <c r="G277" s="7" t="s">
        <v>1586</v>
      </c>
      <c r="H277" s="15">
        <v>46195</v>
      </c>
      <c r="I277" s="113">
        <f t="shared" si="12"/>
        <v>7</v>
      </c>
      <c r="J277" s="7" t="s">
        <v>1587</v>
      </c>
      <c r="K277" s="4">
        <v>46202</v>
      </c>
      <c r="L277" s="7" t="s">
        <v>1588</v>
      </c>
      <c r="M277" s="66">
        <v>46202</v>
      </c>
      <c r="N277" s="74">
        <f t="shared" ca="1" si="13"/>
        <v>0</v>
      </c>
      <c r="O277" s="108" t="s">
        <v>2</v>
      </c>
      <c r="P277" s="14"/>
    </row>
    <row r="278" spans="1:16" ht="51.6" customHeight="1" x14ac:dyDescent="0.3">
      <c r="A278" s="3"/>
      <c r="B278" s="19" t="s">
        <v>1589</v>
      </c>
      <c r="C278" s="63">
        <v>0</v>
      </c>
      <c r="D278" s="13" t="s">
        <v>1590</v>
      </c>
      <c r="E278" s="5" t="s">
        <v>1591</v>
      </c>
      <c r="F278" s="4">
        <v>46254</v>
      </c>
      <c r="G278" s="7" t="s">
        <v>1592</v>
      </c>
      <c r="H278" s="15">
        <v>46257</v>
      </c>
      <c r="I278" s="113">
        <f t="shared" si="12"/>
        <v>9</v>
      </c>
      <c r="J278" s="7" t="s">
        <v>1593</v>
      </c>
      <c r="K278" s="4">
        <v>46266</v>
      </c>
      <c r="L278" s="7" t="s">
        <v>1594</v>
      </c>
      <c r="M278" s="66">
        <v>46266</v>
      </c>
      <c r="N278" s="74">
        <f t="shared" ca="1" si="13"/>
        <v>0</v>
      </c>
      <c r="O278" s="108" t="s">
        <v>2</v>
      </c>
      <c r="P278" s="14"/>
    </row>
    <row r="279" spans="1:16" ht="51.6" customHeight="1" x14ac:dyDescent="0.3">
      <c r="A279" s="3"/>
      <c r="B279" s="19" t="s">
        <v>1595</v>
      </c>
      <c r="C279" s="63">
        <v>0</v>
      </c>
      <c r="D279" s="13" t="s">
        <v>1596</v>
      </c>
      <c r="E279" s="5" t="s">
        <v>1597</v>
      </c>
      <c r="F279" s="4">
        <v>46256</v>
      </c>
      <c r="G279" s="7" t="s">
        <v>1598</v>
      </c>
      <c r="H279" s="15">
        <v>46257</v>
      </c>
      <c r="I279" s="113">
        <f t="shared" si="12"/>
        <v>9</v>
      </c>
      <c r="J279" s="7" t="s">
        <v>1599</v>
      </c>
      <c r="K279" s="4">
        <v>46266</v>
      </c>
      <c r="L279" s="7" t="s">
        <v>1600</v>
      </c>
      <c r="M279" s="66">
        <v>46266</v>
      </c>
      <c r="N279" s="74">
        <f t="shared" ca="1" si="13"/>
        <v>0</v>
      </c>
      <c r="O279" s="108" t="s">
        <v>2</v>
      </c>
      <c r="P279" s="14"/>
    </row>
    <row r="280" spans="1:16" ht="51.6" customHeight="1" x14ac:dyDescent="0.3">
      <c r="A280" s="3"/>
      <c r="B280" s="19" t="s">
        <v>1601</v>
      </c>
      <c r="C280" s="63">
        <v>0</v>
      </c>
      <c r="D280" s="13" t="s">
        <v>1602</v>
      </c>
      <c r="E280" s="5" t="s">
        <v>1603</v>
      </c>
      <c r="F280" s="4">
        <v>46194</v>
      </c>
      <c r="G280" s="7" t="s">
        <v>1604</v>
      </c>
      <c r="H280" s="15">
        <v>46195</v>
      </c>
      <c r="I280" s="113">
        <f t="shared" si="12"/>
        <v>8</v>
      </c>
      <c r="J280" s="7" t="s">
        <v>1605</v>
      </c>
      <c r="K280" s="4">
        <v>46203</v>
      </c>
      <c r="L280" s="7" t="s">
        <v>1606</v>
      </c>
      <c r="M280" s="66">
        <v>46203</v>
      </c>
      <c r="N280" s="74">
        <f t="shared" ca="1" si="13"/>
        <v>0</v>
      </c>
      <c r="O280" s="108" t="s">
        <v>2</v>
      </c>
      <c r="P280" s="14"/>
    </row>
    <row r="281" spans="1:16" ht="51.6" customHeight="1" x14ac:dyDescent="0.3">
      <c r="A281" s="3"/>
      <c r="B281" s="19" t="s">
        <v>1607</v>
      </c>
      <c r="C281" s="63">
        <v>1</v>
      </c>
      <c r="D281" s="13" t="s">
        <v>1608</v>
      </c>
      <c r="E281" s="5" t="s">
        <v>1609</v>
      </c>
      <c r="F281" s="4">
        <v>46249</v>
      </c>
      <c r="G281" s="7" t="s">
        <v>1610</v>
      </c>
      <c r="H281" s="15">
        <v>46251</v>
      </c>
      <c r="I281" s="113">
        <f t="shared" si="12"/>
        <v>13</v>
      </c>
      <c r="J281" s="7" t="s">
        <v>1611</v>
      </c>
      <c r="K281" s="4">
        <v>46264</v>
      </c>
      <c r="L281" s="7" t="s">
        <v>1612</v>
      </c>
      <c r="M281" s="66">
        <v>46264</v>
      </c>
      <c r="N281" s="74">
        <f t="shared" ca="1" si="13"/>
        <v>0</v>
      </c>
      <c r="O281" s="104" t="s">
        <v>2</v>
      </c>
      <c r="P281" s="49" t="s">
        <v>1613</v>
      </c>
    </row>
    <row r="282" spans="1:16" ht="51.6" customHeight="1" x14ac:dyDescent="0.3">
      <c r="A282" s="3"/>
      <c r="B282" s="19" t="s">
        <v>1614</v>
      </c>
      <c r="C282" s="63">
        <v>0</v>
      </c>
      <c r="D282" s="13" t="s">
        <v>1615</v>
      </c>
      <c r="E282" s="5" t="s">
        <v>1616</v>
      </c>
      <c r="F282" s="4">
        <v>46202</v>
      </c>
      <c r="G282" s="7" t="s">
        <v>1617</v>
      </c>
      <c r="H282" s="15">
        <v>46202</v>
      </c>
      <c r="I282" s="113">
        <f t="shared" si="12"/>
        <v>8</v>
      </c>
      <c r="J282" s="7" t="s">
        <v>1618</v>
      </c>
      <c r="K282" s="4">
        <v>46210</v>
      </c>
      <c r="L282" s="7" t="s">
        <v>1619</v>
      </c>
      <c r="M282" s="66">
        <v>46210</v>
      </c>
      <c r="N282" s="74">
        <f t="shared" ca="1" si="13"/>
        <v>0</v>
      </c>
      <c r="O282" s="108" t="s">
        <v>2</v>
      </c>
      <c r="P282" s="14"/>
    </row>
    <row r="283" spans="1:16" ht="51.6" customHeight="1" x14ac:dyDescent="0.3">
      <c r="A283" s="3"/>
      <c r="B283" s="19" t="s">
        <v>1620</v>
      </c>
      <c r="C283" s="63">
        <v>0</v>
      </c>
      <c r="D283" s="13" t="s">
        <v>1621</v>
      </c>
      <c r="E283" s="5" t="s">
        <v>1622</v>
      </c>
      <c r="F283" s="4">
        <v>46198</v>
      </c>
      <c r="G283" s="7" t="s">
        <v>1623</v>
      </c>
      <c r="H283" s="15">
        <v>46198</v>
      </c>
      <c r="I283" s="113">
        <f t="shared" si="12"/>
        <v>4</v>
      </c>
      <c r="J283" s="7" t="s">
        <v>1624</v>
      </c>
      <c r="K283" s="4">
        <v>46202</v>
      </c>
      <c r="L283" s="7" t="s">
        <v>1625</v>
      </c>
      <c r="M283" s="66">
        <v>46202</v>
      </c>
      <c r="N283" s="74">
        <f t="shared" ca="1" si="13"/>
        <v>0</v>
      </c>
      <c r="O283" s="108" t="s">
        <v>2</v>
      </c>
      <c r="P283" s="14"/>
    </row>
    <row r="284" spans="1:16" ht="51.6" customHeight="1" x14ac:dyDescent="0.3">
      <c r="A284" s="3"/>
      <c r="B284" s="19" t="s">
        <v>1626</v>
      </c>
      <c r="C284" s="63">
        <v>0</v>
      </c>
      <c r="D284" s="13" t="s">
        <v>1627</v>
      </c>
      <c r="E284" s="5" t="s">
        <v>1628</v>
      </c>
      <c r="F284" s="4">
        <v>46202</v>
      </c>
      <c r="G284" s="7" t="s">
        <v>1629</v>
      </c>
      <c r="H284" s="15">
        <v>46202</v>
      </c>
      <c r="I284" s="113">
        <f>K284-H284</f>
        <v>9</v>
      </c>
      <c r="J284" s="7" t="s">
        <v>1630</v>
      </c>
      <c r="K284" s="4">
        <v>46211</v>
      </c>
      <c r="L284" s="7" t="s">
        <v>1631</v>
      </c>
      <c r="M284" s="66">
        <v>46211</v>
      </c>
      <c r="N284" s="74">
        <f t="shared" ref="N284:N336" ca="1" si="18">IF(AND(M284="",TODAY()-F284&gt;7),TODAY()-F284-7,0)</f>
        <v>0</v>
      </c>
      <c r="O284" s="108" t="s">
        <v>2</v>
      </c>
      <c r="P284" s="14" t="s">
        <v>1632</v>
      </c>
    </row>
    <row r="285" spans="1:16" ht="51.6" customHeight="1" x14ac:dyDescent="0.3">
      <c r="A285" s="3"/>
      <c r="B285" s="19" t="s">
        <v>1633</v>
      </c>
      <c r="C285" s="63">
        <v>0</v>
      </c>
      <c r="D285" s="13" t="s">
        <v>1634</v>
      </c>
      <c r="E285" s="5" t="s">
        <v>1635</v>
      </c>
      <c r="F285" s="4">
        <v>46199</v>
      </c>
      <c r="G285" s="7" t="s">
        <v>1636</v>
      </c>
      <c r="H285" s="15">
        <v>46201</v>
      </c>
      <c r="I285" s="113">
        <f t="shared" si="12"/>
        <v>8</v>
      </c>
      <c r="J285" s="7" t="s">
        <v>1637</v>
      </c>
      <c r="K285" s="4">
        <v>46209</v>
      </c>
      <c r="L285" s="7" t="s">
        <v>1638</v>
      </c>
      <c r="M285" s="66">
        <v>46209</v>
      </c>
      <c r="N285" s="74">
        <f t="shared" ca="1" si="18"/>
        <v>0</v>
      </c>
      <c r="O285" s="108" t="s">
        <v>2</v>
      </c>
      <c r="P285" s="49" t="s">
        <v>1639</v>
      </c>
    </row>
    <row r="286" spans="1:16" ht="51.6" customHeight="1" x14ac:dyDescent="0.3">
      <c r="A286" s="3"/>
      <c r="B286" s="19" t="s">
        <v>1640</v>
      </c>
      <c r="C286" s="63"/>
      <c r="D286" s="13"/>
      <c r="E286" s="5"/>
      <c r="F286" s="4"/>
      <c r="G286" s="7"/>
      <c r="H286" s="15"/>
      <c r="I286" s="113">
        <f t="shared" si="12"/>
        <v>0</v>
      </c>
      <c r="J286" s="7"/>
      <c r="K286" s="4"/>
      <c r="L286" s="7"/>
      <c r="M286" s="66"/>
      <c r="N286" s="74">
        <f t="shared" ca="1" si="18"/>
        <v>46299</v>
      </c>
      <c r="O286" s="108"/>
      <c r="P286" s="49"/>
    </row>
    <row r="287" spans="1:16" ht="51.6" customHeight="1" x14ac:dyDescent="0.3">
      <c r="A287" s="3"/>
      <c r="B287" s="19" t="s">
        <v>1641</v>
      </c>
      <c r="C287" s="63">
        <v>0</v>
      </c>
      <c r="D287" s="13" t="s">
        <v>1642</v>
      </c>
      <c r="E287" s="5" t="s">
        <v>1643</v>
      </c>
      <c r="F287" s="4">
        <v>46198</v>
      </c>
      <c r="G287" s="7" t="s">
        <v>1644</v>
      </c>
      <c r="H287" s="15">
        <v>46198</v>
      </c>
      <c r="I287" s="113">
        <f t="shared" si="12"/>
        <v>11</v>
      </c>
      <c r="J287" s="7" t="s">
        <v>1645</v>
      </c>
      <c r="K287" s="4">
        <v>46209</v>
      </c>
      <c r="L287" s="7" t="s">
        <v>1646</v>
      </c>
      <c r="M287" s="66">
        <v>46209</v>
      </c>
      <c r="N287" s="74">
        <f t="shared" ca="1" si="18"/>
        <v>0</v>
      </c>
      <c r="O287" s="108" t="s">
        <v>2</v>
      </c>
      <c r="P287" s="49"/>
    </row>
    <row r="288" spans="1:16" ht="51.6" customHeight="1" x14ac:dyDescent="0.3">
      <c r="A288" s="3"/>
      <c r="B288" s="19" t="s">
        <v>1647</v>
      </c>
      <c r="C288" s="63"/>
      <c r="D288" s="13"/>
      <c r="E288" s="5"/>
      <c r="F288" s="4"/>
      <c r="G288" s="7"/>
      <c r="H288" s="15"/>
      <c r="I288" s="113">
        <f t="shared" si="12"/>
        <v>0</v>
      </c>
      <c r="J288" s="7"/>
      <c r="K288" s="4"/>
      <c r="L288" s="7"/>
      <c r="M288" s="66"/>
      <c r="N288" s="74">
        <f t="shared" ca="1" si="18"/>
        <v>46299</v>
      </c>
      <c r="O288" s="108"/>
      <c r="P288" s="49"/>
    </row>
    <row r="289" spans="1:17" ht="51.6" customHeight="1" x14ac:dyDescent="0.3">
      <c r="A289" s="3"/>
      <c r="B289" s="19" t="s">
        <v>1648</v>
      </c>
      <c r="C289" s="63">
        <v>0</v>
      </c>
      <c r="D289" s="13" t="s">
        <v>1649</v>
      </c>
      <c r="E289" s="5" t="s">
        <v>1650</v>
      </c>
      <c r="F289" s="4">
        <v>46203</v>
      </c>
      <c r="G289" s="7" t="s">
        <v>1651</v>
      </c>
      <c r="H289" s="15">
        <v>46203</v>
      </c>
      <c r="I289" s="113">
        <f t="shared" si="12"/>
        <v>8</v>
      </c>
      <c r="J289" s="7" t="s">
        <v>1652</v>
      </c>
      <c r="K289" s="4">
        <v>46211</v>
      </c>
      <c r="L289" s="7" t="s">
        <v>1653</v>
      </c>
      <c r="M289" s="66">
        <v>46211</v>
      </c>
      <c r="N289" s="74">
        <f t="shared" ca="1" si="18"/>
        <v>0</v>
      </c>
      <c r="O289" s="108" t="s">
        <v>2</v>
      </c>
      <c r="P289" s="49"/>
    </row>
    <row r="290" spans="1:17" ht="51.6" customHeight="1" x14ac:dyDescent="0.3">
      <c r="A290" s="3"/>
      <c r="B290" s="19" t="s">
        <v>1654</v>
      </c>
      <c r="C290" s="63">
        <v>0</v>
      </c>
      <c r="D290" s="13" t="s">
        <v>1655</v>
      </c>
      <c r="E290" s="5" t="s">
        <v>1656</v>
      </c>
      <c r="F290" s="4">
        <v>46199</v>
      </c>
      <c r="G290" s="7" t="s">
        <v>1657</v>
      </c>
      <c r="H290" s="15">
        <v>46201</v>
      </c>
      <c r="I290" s="113">
        <f t="shared" si="12"/>
        <v>8</v>
      </c>
      <c r="J290" s="7" t="s">
        <v>1658</v>
      </c>
      <c r="K290" s="4">
        <v>46209</v>
      </c>
      <c r="L290" s="7" t="s">
        <v>1659</v>
      </c>
      <c r="M290" s="66">
        <v>46209</v>
      </c>
      <c r="N290" s="74">
        <f t="shared" ca="1" si="18"/>
        <v>0</v>
      </c>
      <c r="O290" s="108" t="s">
        <v>2</v>
      </c>
      <c r="P290" s="14"/>
    </row>
    <row r="291" spans="1:17" ht="51.6" customHeight="1" x14ac:dyDescent="0.3">
      <c r="A291" s="3"/>
      <c r="B291" s="19" t="s">
        <v>1660</v>
      </c>
      <c r="C291" s="63">
        <v>0</v>
      </c>
      <c r="D291" s="13" t="s">
        <v>1661</v>
      </c>
      <c r="E291" s="5" t="s">
        <v>1662</v>
      </c>
      <c r="F291" s="4">
        <v>46198</v>
      </c>
      <c r="G291" s="7" t="s">
        <v>1663</v>
      </c>
      <c r="H291" s="15">
        <v>46198</v>
      </c>
      <c r="I291" s="113">
        <f t="shared" si="12"/>
        <v>4</v>
      </c>
      <c r="J291" s="7" t="s">
        <v>1664</v>
      </c>
      <c r="K291" s="4">
        <v>46202</v>
      </c>
      <c r="L291" s="7" t="s">
        <v>1665</v>
      </c>
      <c r="M291" s="66">
        <v>46202</v>
      </c>
      <c r="N291" s="74">
        <f t="shared" ca="1" si="18"/>
        <v>0</v>
      </c>
      <c r="O291" s="108" t="s">
        <v>2</v>
      </c>
      <c r="P291" s="49" t="s">
        <v>1666</v>
      </c>
    </row>
    <row r="292" spans="1:17" ht="51.6" customHeight="1" x14ac:dyDescent="0.3">
      <c r="A292" s="3"/>
      <c r="B292" s="19" t="s">
        <v>1667</v>
      </c>
      <c r="C292" s="63">
        <v>0</v>
      </c>
      <c r="D292" s="13" t="s">
        <v>1668</v>
      </c>
      <c r="E292" s="5" t="s">
        <v>1669</v>
      </c>
      <c r="F292" s="4">
        <v>46202</v>
      </c>
      <c r="G292" s="7" t="s">
        <v>1670</v>
      </c>
      <c r="H292" s="15">
        <v>46202</v>
      </c>
      <c r="I292" s="113">
        <f t="shared" si="12"/>
        <v>14</v>
      </c>
      <c r="J292" s="7" t="s">
        <v>1671</v>
      </c>
      <c r="K292" s="4">
        <v>46216</v>
      </c>
      <c r="L292" s="7" t="s">
        <v>1672</v>
      </c>
      <c r="M292" s="66">
        <v>46216</v>
      </c>
      <c r="N292" s="74">
        <f t="shared" ca="1" si="18"/>
        <v>0</v>
      </c>
      <c r="O292" s="108" t="s">
        <v>2</v>
      </c>
      <c r="P292" s="14" t="s">
        <v>1673</v>
      </c>
    </row>
    <row r="293" spans="1:17" ht="51.6" customHeight="1" x14ac:dyDescent="0.3">
      <c r="A293" s="3"/>
      <c r="B293" s="19" t="s">
        <v>1674</v>
      </c>
      <c r="C293" s="63">
        <v>0</v>
      </c>
      <c r="D293" s="13" t="s">
        <v>1675</v>
      </c>
      <c r="E293" s="5" t="s">
        <v>1676</v>
      </c>
      <c r="F293" s="4">
        <v>46203</v>
      </c>
      <c r="G293" s="7" t="s">
        <v>1677</v>
      </c>
      <c r="H293" s="15">
        <v>46203</v>
      </c>
      <c r="I293" s="113">
        <f t="shared" si="12"/>
        <v>8</v>
      </c>
      <c r="J293" s="7" t="s">
        <v>1678</v>
      </c>
      <c r="K293" s="4">
        <v>46211</v>
      </c>
      <c r="L293" s="7" t="s">
        <v>1679</v>
      </c>
      <c r="M293" s="15">
        <v>46211</v>
      </c>
      <c r="N293" s="74">
        <f t="shared" ca="1" si="18"/>
        <v>0</v>
      </c>
      <c r="O293" s="108" t="s">
        <v>2</v>
      </c>
      <c r="P293" s="14" t="s">
        <v>1680</v>
      </c>
    </row>
    <row r="294" spans="1:17" ht="51.6" customHeight="1" x14ac:dyDescent="0.3">
      <c r="A294" s="3"/>
      <c r="B294" s="19" t="s">
        <v>1681</v>
      </c>
      <c r="C294" s="63">
        <v>0</v>
      </c>
      <c r="D294" s="13" t="s">
        <v>1682</v>
      </c>
      <c r="E294" s="5" t="s">
        <v>1683</v>
      </c>
      <c r="F294" s="4">
        <v>46210</v>
      </c>
      <c r="G294" s="7" t="s">
        <v>1684</v>
      </c>
      <c r="H294" s="15">
        <v>46210</v>
      </c>
      <c r="I294" s="113">
        <f t="shared" si="12"/>
        <v>6</v>
      </c>
      <c r="J294" s="7" t="s">
        <v>1685</v>
      </c>
      <c r="K294" s="4">
        <v>46216</v>
      </c>
      <c r="L294" s="7" t="s">
        <v>1686</v>
      </c>
      <c r="M294" s="15">
        <v>46216</v>
      </c>
      <c r="N294" s="74">
        <f t="shared" ca="1" si="18"/>
        <v>0</v>
      </c>
      <c r="O294" s="108" t="s">
        <v>2</v>
      </c>
      <c r="P294" s="49"/>
    </row>
    <row r="295" spans="1:17" ht="51.6" customHeight="1" x14ac:dyDescent="0.3">
      <c r="A295" s="3"/>
      <c r="B295" s="19" t="s">
        <v>1687</v>
      </c>
      <c r="C295" s="63">
        <v>0</v>
      </c>
      <c r="D295" s="13" t="s">
        <v>1688</v>
      </c>
      <c r="E295" s="5" t="s">
        <v>1689</v>
      </c>
      <c r="F295" s="4">
        <v>46199</v>
      </c>
      <c r="G295" s="7" t="s">
        <v>1690</v>
      </c>
      <c r="H295" s="15">
        <v>46201</v>
      </c>
      <c r="I295" s="113">
        <f t="shared" ref="I295:I358" si="19">K295-H295</f>
        <v>2</v>
      </c>
      <c r="J295" s="7" t="s">
        <v>1691</v>
      </c>
      <c r="K295" s="4">
        <v>46203</v>
      </c>
      <c r="L295" s="7" t="s">
        <v>1692</v>
      </c>
      <c r="M295" s="15">
        <v>46203</v>
      </c>
      <c r="N295" s="74">
        <f t="shared" ca="1" si="18"/>
        <v>0</v>
      </c>
      <c r="O295" s="108" t="s">
        <v>2</v>
      </c>
      <c r="P295" s="49" t="s">
        <v>1693</v>
      </c>
      <c r="Q295" t="s">
        <v>1694</v>
      </c>
    </row>
    <row r="296" spans="1:17" ht="51.6" customHeight="1" x14ac:dyDescent="0.3">
      <c r="A296" s="3"/>
      <c r="B296" s="19" t="s">
        <v>1695</v>
      </c>
      <c r="C296" s="63">
        <v>0</v>
      </c>
      <c r="D296" s="13" t="s">
        <v>1696</v>
      </c>
      <c r="E296" s="5" t="s">
        <v>1697</v>
      </c>
      <c r="F296" s="4">
        <v>46198</v>
      </c>
      <c r="G296" s="7" t="s">
        <v>1698</v>
      </c>
      <c r="H296" s="15">
        <v>46198</v>
      </c>
      <c r="I296" s="113">
        <f t="shared" si="19"/>
        <v>4</v>
      </c>
      <c r="J296" s="7" t="s">
        <v>1699</v>
      </c>
      <c r="K296" s="4">
        <v>46202</v>
      </c>
      <c r="L296" s="7" t="s">
        <v>1700</v>
      </c>
      <c r="M296" s="15">
        <v>46202</v>
      </c>
      <c r="N296" s="74">
        <f t="shared" ca="1" si="18"/>
        <v>0</v>
      </c>
      <c r="O296" s="108" t="s">
        <v>2</v>
      </c>
      <c r="P296" s="14"/>
    </row>
    <row r="297" spans="1:17" ht="51.6" customHeight="1" x14ac:dyDescent="0.3">
      <c r="A297" s="3"/>
      <c r="B297" s="19" t="s">
        <v>1701</v>
      </c>
      <c r="C297" s="63">
        <v>0</v>
      </c>
      <c r="D297" s="13" t="s">
        <v>1702</v>
      </c>
      <c r="E297" s="5" t="s">
        <v>1703</v>
      </c>
      <c r="F297" s="4">
        <v>46198</v>
      </c>
      <c r="G297" s="7" t="s">
        <v>1704</v>
      </c>
      <c r="H297" s="15">
        <v>46198</v>
      </c>
      <c r="I297" s="113">
        <f t="shared" si="19"/>
        <v>12</v>
      </c>
      <c r="J297" s="7" t="s">
        <v>1702</v>
      </c>
      <c r="K297" s="15">
        <v>46210</v>
      </c>
      <c r="L297" s="7" t="s">
        <v>1705</v>
      </c>
      <c r="M297" s="15">
        <v>46210</v>
      </c>
      <c r="N297" s="74">
        <f t="shared" ca="1" si="18"/>
        <v>0</v>
      </c>
      <c r="O297" s="108" t="s">
        <v>2</v>
      </c>
      <c r="P297" s="14" t="s">
        <v>1706</v>
      </c>
    </row>
    <row r="298" spans="1:17" ht="51.6" customHeight="1" x14ac:dyDescent="0.3">
      <c r="A298" s="3"/>
      <c r="B298" s="19" t="s">
        <v>1707</v>
      </c>
      <c r="C298" s="63">
        <v>0</v>
      </c>
      <c r="D298" s="13" t="s">
        <v>1708</v>
      </c>
      <c r="E298" s="5" t="s">
        <v>1709</v>
      </c>
      <c r="F298" s="4">
        <v>46198</v>
      </c>
      <c r="G298" s="7" t="s">
        <v>1710</v>
      </c>
      <c r="H298" s="15">
        <v>46198</v>
      </c>
      <c r="I298" s="113">
        <f t="shared" si="19"/>
        <v>3</v>
      </c>
      <c r="J298" s="7" t="s">
        <v>1711</v>
      </c>
      <c r="K298" s="4">
        <v>46201</v>
      </c>
      <c r="L298" s="7" t="s">
        <v>1712</v>
      </c>
      <c r="M298" s="15">
        <v>46205</v>
      </c>
      <c r="N298" s="74">
        <f t="shared" ca="1" si="18"/>
        <v>0</v>
      </c>
      <c r="O298" s="108" t="s">
        <v>2</v>
      </c>
      <c r="P298" s="14" t="s">
        <v>1713</v>
      </c>
    </row>
    <row r="299" spans="1:17" ht="51.6" customHeight="1" x14ac:dyDescent="0.3">
      <c r="A299" s="3"/>
      <c r="B299" s="19" t="s">
        <v>1714</v>
      </c>
      <c r="C299" s="63">
        <v>0</v>
      </c>
      <c r="D299" s="13" t="s">
        <v>1715</v>
      </c>
      <c r="E299" s="5" t="s">
        <v>1716</v>
      </c>
      <c r="F299" s="4">
        <v>46202</v>
      </c>
      <c r="G299" s="7" t="s">
        <v>1717</v>
      </c>
      <c r="H299" s="15">
        <v>46203</v>
      </c>
      <c r="I299" s="113">
        <f t="shared" si="19"/>
        <v>14</v>
      </c>
      <c r="J299" s="7" t="s">
        <v>1718</v>
      </c>
      <c r="K299" s="4">
        <v>46217</v>
      </c>
      <c r="L299" s="7" t="s">
        <v>1719</v>
      </c>
      <c r="M299" s="15">
        <v>46217</v>
      </c>
      <c r="N299" s="74">
        <f t="shared" ca="1" si="18"/>
        <v>0</v>
      </c>
      <c r="O299" s="108" t="s">
        <v>2</v>
      </c>
      <c r="P299" s="14" t="s">
        <v>1720</v>
      </c>
    </row>
    <row r="300" spans="1:17" ht="51.6" customHeight="1" x14ac:dyDescent="0.3">
      <c r="A300" s="3"/>
      <c r="B300" s="19" t="s">
        <v>1721</v>
      </c>
      <c r="C300" s="63">
        <v>0</v>
      </c>
      <c r="D300" s="13" t="s">
        <v>1722</v>
      </c>
      <c r="E300" s="5" t="s">
        <v>1723</v>
      </c>
      <c r="F300" s="4">
        <v>46202</v>
      </c>
      <c r="G300" s="7" t="s">
        <v>1724</v>
      </c>
      <c r="H300" s="15">
        <v>46203</v>
      </c>
      <c r="I300" s="113">
        <f t="shared" si="19"/>
        <v>7</v>
      </c>
      <c r="J300" s="7" t="s">
        <v>1725</v>
      </c>
      <c r="K300" s="4">
        <v>46210</v>
      </c>
      <c r="L300" s="7" t="s">
        <v>1726</v>
      </c>
      <c r="M300" s="15">
        <v>46210</v>
      </c>
      <c r="N300" s="74">
        <f t="shared" ca="1" si="18"/>
        <v>0</v>
      </c>
      <c r="O300" s="108" t="s">
        <v>2</v>
      </c>
      <c r="P300" s="14"/>
    </row>
    <row r="301" spans="1:17" ht="51.6" customHeight="1" x14ac:dyDescent="0.3">
      <c r="A301" s="3"/>
      <c r="B301" s="19" t="s">
        <v>1727</v>
      </c>
      <c r="C301" s="63">
        <v>0</v>
      </c>
      <c r="D301" s="13" t="s">
        <v>1728</v>
      </c>
      <c r="E301" s="5" t="s">
        <v>1729</v>
      </c>
      <c r="F301" s="4">
        <v>46202</v>
      </c>
      <c r="G301" s="7" t="s">
        <v>1730</v>
      </c>
      <c r="H301" s="15">
        <v>46203</v>
      </c>
      <c r="I301" s="113">
        <f t="shared" si="19"/>
        <v>6</v>
      </c>
      <c r="J301" s="7" t="s">
        <v>1731</v>
      </c>
      <c r="K301" s="4">
        <v>46209</v>
      </c>
      <c r="L301" s="7" t="s">
        <v>1732</v>
      </c>
      <c r="M301" s="15">
        <v>46209</v>
      </c>
      <c r="N301" s="74">
        <f t="shared" ca="1" si="18"/>
        <v>0</v>
      </c>
      <c r="O301" s="108" t="s">
        <v>2</v>
      </c>
      <c r="P301" s="14"/>
    </row>
    <row r="302" spans="1:17" ht="51.6" customHeight="1" x14ac:dyDescent="0.3">
      <c r="A302" s="3"/>
      <c r="B302" s="19" t="s">
        <v>1733</v>
      </c>
      <c r="C302" s="63">
        <v>0</v>
      </c>
      <c r="D302" s="13" t="s">
        <v>1734</v>
      </c>
      <c r="E302" s="5" t="s">
        <v>1735</v>
      </c>
      <c r="F302" s="4">
        <v>46203</v>
      </c>
      <c r="G302" s="7" t="s">
        <v>1736</v>
      </c>
      <c r="H302" s="15">
        <v>46203</v>
      </c>
      <c r="I302" s="113">
        <f t="shared" si="19"/>
        <v>8</v>
      </c>
      <c r="J302" s="7" t="s">
        <v>1737</v>
      </c>
      <c r="K302" s="4">
        <v>46211</v>
      </c>
      <c r="L302" s="7" t="s">
        <v>1738</v>
      </c>
      <c r="M302" s="15">
        <v>46211</v>
      </c>
      <c r="N302" s="74">
        <f t="shared" ca="1" si="18"/>
        <v>0</v>
      </c>
      <c r="O302" s="108" t="s">
        <v>2</v>
      </c>
      <c r="P302" s="14" t="s">
        <v>1739</v>
      </c>
    </row>
    <row r="303" spans="1:17" ht="51.6" customHeight="1" x14ac:dyDescent="0.3">
      <c r="A303" s="3"/>
      <c r="B303" s="19" t="s">
        <v>1740</v>
      </c>
      <c r="C303" s="63">
        <v>0</v>
      </c>
      <c r="D303" s="13" t="s">
        <v>1741</v>
      </c>
      <c r="E303" s="5" t="s">
        <v>1742</v>
      </c>
      <c r="F303" s="4">
        <v>46203</v>
      </c>
      <c r="G303" s="7" t="s">
        <v>1743</v>
      </c>
      <c r="H303" s="15">
        <v>46203</v>
      </c>
      <c r="I303" s="113">
        <f t="shared" si="19"/>
        <v>8</v>
      </c>
      <c r="J303" s="7" t="s">
        <v>1744</v>
      </c>
      <c r="K303" s="4">
        <v>46211</v>
      </c>
      <c r="L303" s="7" t="s">
        <v>1745</v>
      </c>
      <c r="M303" s="15">
        <v>46211</v>
      </c>
      <c r="N303" s="74">
        <f t="shared" ca="1" si="18"/>
        <v>0</v>
      </c>
      <c r="O303" s="108" t="s">
        <v>2</v>
      </c>
      <c r="P303" s="14" t="s">
        <v>1746</v>
      </c>
    </row>
    <row r="304" spans="1:17" ht="51.6" customHeight="1" x14ac:dyDescent="0.3">
      <c r="A304" s="3"/>
      <c r="B304" s="19" t="s">
        <v>1747</v>
      </c>
      <c r="C304" s="63">
        <v>0</v>
      </c>
      <c r="D304" s="13" t="s">
        <v>1748</v>
      </c>
      <c r="E304" s="5" t="s">
        <v>1749</v>
      </c>
      <c r="F304" s="4">
        <v>46203</v>
      </c>
      <c r="G304" s="7" t="s">
        <v>1750</v>
      </c>
      <c r="H304" s="15">
        <v>46203</v>
      </c>
      <c r="I304" s="113">
        <f t="shared" si="19"/>
        <v>7</v>
      </c>
      <c r="J304" s="7" t="s">
        <v>1751</v>
      </c>
      <c r="K304" s="4">
        <v>46210</v>
      </c>
      <c r="L304" s="7" t="s">
        <v>1752</v>
      </c>
      <c r="M304" s="15">
        <v>46210</v>
      </c>
      <c r="N304" s="74">
        <f t="shared" ca="1" si="18"/>
        <v>0</v>
      </c>
      <c r="O304" s="108" t="s">
        <v>2</v>
      </c>
      <c r="P304" s="14"/>
    </row>
    <row r="305" spans="1:16" ht="51.6" customHeight="1" x14ac:dyDescent="0.3">
      <c r="A305" s="3"/>
      <c r="B305" s="19" t="s">
        <v>1753</v>
      </c>
      <c r="C305" s="63">
        <v>0</v>
      </c>
      <c r="D305" s="13" t="s">
        <v>1754</v>
      </c>
      <c r="E305" s="5" t="s">
        <v>1755</v>
      </c>
      <c r="F305" s="4">
        <v>46203</v>
      </c>
      <c r="G305" s="7" t="s">
        <v>1756</v>
      </c>
      <c r="H305" s="15">
        <v>46203</v>
      </c>
      <c r="I305" s="113">
        <f t="shared" si="19"/>
        <v>8</v>
      </c>
      <c r="J305" s="7" t="s">
        <v>1757</v>
      </c>
      <c r="K305" s="4">
        <v>46211</v>
      </c>
      <c r="L305" s="7" t="s">
        <v>1758</v>
      </c>
      <c r="M305" s="15">
        <v>46211</v>
      </c>
      <c r="N305" s="74">
        <f t="shared" ca="1" si="18"/>
        <v>0</v>
      </c>
      <c r="O305" s="108" t="s">
        <v>2</v>
      </c>
      <c r="P305" s="14" t="s">
        <v>1759</v>
      </c>
    </row>
    <row r="306" spans="1:16" ht="51.6" customHeight="1" x14ac:dyDescent="0.3">
      <c r="A306" s="3"/>
      <c r="B306" s="19" t="s">
        <v>1760</v>
      </c>
      <c r="C306" s="63">
        <v>0</v>
      </c>
      <c r="D306" s="13" t="s">
        <v>1761</v>
      </c>
      <c r="E306" s="5" t="s">
        <v>1762</v>
      </c>
      <c r="F306" s="4">
        <v>46203</v>
      </c>
      <c r="G306" s="7" t="s">
        <v>1763</v>
      </c>
      <c r="H306" s="15">
        <v>46203</v>
      </c>
      <c r="I306" s="113">
        <f t="shared" si="19"/>
        <v>6</v>
      </c>
      <c r="J306" s="7" t="s">
        <v>1764</v>
      </c>
      <c r="K306" s="4">
        <v>46209</v>
      </c>
      <c r="L306" s="7" t="s">
        <v>1765</v>
      </c>
      <c r="M306" s="15">
        <v>46209</v>
      </c>
      <c r="N306" s="74">
        <f t="shared" ca="1" si="18"/>
        <v>0</v>
      </c>
      <c r="O306" s="108" t="s">
        <v>2</v>
      </c>
      <c r="P306" s="14"/>
    </row>
    <row r="307" spans="1:16" ht="51.6" customHeight="1" x14ac:dyDescent="0.3">
      <c r="A307" s="3"/>
      <c r="B307" s="19" t="s">
        <v>1766</v>
      </c>
      <c r="C307" s="63">
        <v>0</v>
      </c>
      <c r="D307" s="13" t="s">
        <v>1767</v>
      </c>
      <c r="E307" s="5" t="s">
        <v>1768</v>
      </c>
      <c r="F307" s="4">
        <v>46205</v>
      </c>
      <c r="G307" s="7" t="s">
        <v>1769</v>
      </c>
      <c r="H307" s="15">
        <v>46205</v>
      </c>
      <c r="I307" s="113">
        <f t="shared" si="19"/>
        <v>6</v>
      </c>
      <c r="J307" s="7" t="s">
        <v>1770</v>
      </c>
      <c r="K307" s="4">
        <v>46211</v>
      </c>
      <c r="L307" s="7" t="s">
        <v>1771</v>
      </c>
      <c r="M307" s="15">
        <v>46211</v>
      </c>
      <c r="N307" s="74">
        <f t="shared" ca="1" si="18"/>
        <v>0</v>
      </c>
      <c r="O307" s="108" t="s">
        <v>2</v>
      </c>
      <c r="P307" s="14"/>
    </row>
    <row r="308" spans="1:16" ht="51.6" customHeight="1" x14ac:dyDescent="0.3">
      <c r="A308" s="3"/>
      <c r="B308" s="19" t="s">
        <v>1772</v>
      </c>
      <c r="C308" s="63">
        <v>0</v>
      </c>
      <c r="D308" s="13" t="s">
        <v>1773</v>
      </c>
      <c r="E308" s="5" t="s">
        <v>1774</v>
      </c>
      <c r="F308" s="4">
        <v>46205</v>
      </c>
      <c r="G308" s="7" t="s">
        <v>1775</v>
      </c>
      <c r="H308" s="15">
        <v>46205</v>
      </c>
      <c r="I308" s="113">
        <f t="shared" si="19"/>
        <v>5</v>
      </c>
      <c r="J308" s="7" t="s">
        <v>1776</v>
      </c>
      <c r="K308" s="4">
        <v>46210</v>
      </c>
      <c r="L308" s="7" t="s">
        <v>1777</v>
      </c>
      <c r="M308" s="15">
        <v>46210</v>
      </c>
      <c r="N308" s="74">
        <f t="shared" ca="1" si="18"/>
        <v>0</v>
      </c>
      <c r="O308" s="108" t="s">
        <v>2</v>
      </c>
      <c r="P308" s="14"/>
    </row>
    <row r="309" spans="1:16" ht="51.6" customHeight="1" x14ac:dyDescent="0.3">
      <c r="A309" s="3"/>
      <c r="B309" s="19" t="s">
        <v>1778</v>
      </c>
      <c r="C309" s="63">
        <v>0</v>
      </c>
      <c r="D309" s="13" t="s">
        <v>1779</v>
      </c>
      <c r="E309" s="5" t="s">
        <v>1780</v>
      </c>
      <c r="F309" s="4">
        <v>46205</v>
      </c>
      <c r="G309" s="7" t="s">
        <v>1781</v>
      </c>
      <c r="H309" s="15">
        <v>46205</v>
      </c>
      <c r="I309" s="113">
        <f t="shared" si="19"/>
        <v>5</v>
      </c>
      <c r="J309" s="7" t="s">
        <v>1782</v>
      </c>
      <c r="K309" s="4">
        <v>46210</v>
      </c>
      <c r="L309" s="7" t="s">
        <v>1783</v>
      </c>
      <c r="M309" s="15">
        <v>46210</v>
      </c>
      <c r="N309" s="74">
        <f t="shared" ca="1" si="18"/>
        <v>0</v>
      </c>
      <c r="O309" s="108" t="s">
        <v>2</v>
      </c>
      <c r="P309" s="14"/>
    </row>
    <row r="310" spans="1:16" ht="51.6" customHeight="1" x14ac:dyDescent="0.3">
      <c r="A310" s="3"/>
      <c r="B310" s="19" t="s">
        <v>1784</v>
      </c>
      <c r="C310" s="63">
        <v>0</v>
      </c>
      <c r="D310" s="13" t="s">
        <v>1785</v>
      </c>
      <c r="E310" s="5" t="s">
        <v>1786</v>
      </c>
      <c r="F310" s="4">
        <v>46205</v>
      </c>
      <c r="G310" s="7" t="s">
        <v>1787</v>
      </c>
      <c r="H310" s="15">
        <v>46205</v>
      </c>
      <c r="I310" s="113">
        <f t="shared" si="19"/>
        <v>5</v>
      </c>
      <c r="J310" s="7" t="s">
        <v>1788</v>
      </c>
      <c r="K310" s="4">
        <v>46210</v>
      </c>
      <c r="L310" s="7" t="s">
        <v>1789</v>
      </c>
      <c r="M310" s="15">
        <v>46210</v>
      </c>
      <c r="N310" s="74">
        <f t="shared" ca="1" si="18"/>
        <v>0</v>
      </c>
      <c r="O310" s="108" t="s">
        <v>2</v>
      </c>
      <c r="P310" s="14"/>
    </row>
    <row r="311" spans="1:16" ht="51.6" customHeight="1" x14ac:dyDescent="0.3">
      <c r="A311" s="3"/>
      <c r="B311" s="19" t="s">
        <v>1790</v>
      </c>
      <c r="C311" s="63">
        <v>0</v>
      </c>
      <c r="D311" s="13" t="s">
        <v>1791</v>
      </c>
      <c r="E311" s="5" t="s">
        <v>1792</v>
      </c>
      <c r="F311" s="4">
        <v>46205</v>
      </c>
      <c r="G311" s="7" t="s">
        <v>1793</v>
      </c>
      <c r="H311" s="15">
        <v>46205</v>
      </c>
      <c r="I311" s="113">
        <f t="shared" si="19"/>
        <v>5</v>
      </c>
      <c r="J311" s="7" t="s">
        <v>1794</v>
      </c>
      <c r="K311" s="4">
        <v>46210</v>
      </c>
      <c r="L311" s="7" t="s">
        <v>1795</v>
      </c>
      <c r="M311" s="15">
        <v>46210</v>
      </c>
      <c r="N311" s="74">
        <f t="shared" ca="1" si="18"/>
        <v>0</v>
      </c>
      <c r="O311" s="108" t="s">
        <v>2</v>
      </c>
      <c r="P311" s="14"/>
    </row>
    <row r="312" spans="1:16" ht="51.6" customHeight="1" x14ac:dyDescent="0.3">
      <c r="A312" s="3"/>
      <c r="B312" s="19" t="s">
        <v>1796</v>
      </c>
      <c r="C312" s="63">
        <v>0</v>
      </c>
      <c r="D312" s="13" t="s">
        <v>1797</v>
      </c>
      <c r="E312" s="5" t="s">
        <v>1798</v>
      </c>
      <c r="F312" s="4">
        <v>46205</v>
      </c>
      <c r="G312" s="118" t="s">
        <v>1799</v>
      </c>
      <c r="H312" s="15">
        <v>46205</v>
      </c>
      <c r="I312" s="113">
        <f t="shared" si="19"/>
        <v>5</v>
      </c>
      <c r="J312" s="7" t="s">
        <v>1800</v>
      </c>
      <c r="K312" s="4">
        <v>46210</v>
      </c>
      <c r="L312" s="7" t="s">
        <v>1801</v>
      </c>
      <c r="M312" s="15">
        <v>46210</v>
      </c>
      <c r="N312" s="74">
        <f t="shared" ca="1" si="18"/>
        <v>0</v>
      </c>
      <c r="O312" s="108" t="s">
        <v>2</v>
      </c>
      <c r="P312" s="14"/>
    </row>
    <row r="313" spans="1:16" ht="51.6" customHeight="1" x14ac:dyDescent="0.3">
      <c r="A313" s="3"/>
      <c r="B313" s="19" t="s">
        <v>1802</v>
      </c>
      <c r="C313" s="63">
        <v>0</v>
      </c>
      <c r="D313" s="13" t="s">
        <v>1803</v>
      </c>
      <c r="E313" s="5" t="s">
        <v>1804</v>
      </c>
      <c r="F313" s="4">
        <v>46205</v>
      </c>
      <c r="G313" s="7" t="s">
        <v>1805</v>
      </c>
      <c r="H313" s="15">
        <v>46205</v>
      </c>
      <c r="I313" s="113">
        <f t="shared" si="19"/>
        <v>5</v>
      </c>
      <c r="J313" s="7" t="s">
        <v>1806</v>
      </c>
      <c r="K313" s="4">
        <v>46210</v>
      </c>
      <c r="L313" s="7" t="s">
        <v>1807</v>
      </c>
      <c r="M313" s="15">
        <v>46210</v>
      </c>
      <c r="N313" s="74">
        <f t="shared" ca="1" si="18"/>
        <v>0</v>
      </c>
      <c r="O313" s="108" t="s">
        <v>2</v>
      </c>
      <c r="P313" s="14"/>
    </row>
    <row r="314" spans="1:16" ht="51.6" customHeight="1" x14ac:dyDescent="0.3">
      <c r="A314" s="3"/>
      <c r="B314" s="19" t="s">
        <v>1808</v>
      </c>
      <c r="C314" s="63">
        <v>0</v>
      </c>
      <c r="D314" s="13" t="s">
        <v>1809</v>
      </c>
      <c r="E314" s="5" t="s">
        <v>1810</v>
      </c>
      <c r="F314" s="4">
        <v>46205</v>
      </c>
      <c r="G314" s="7" t="s">
        <v>1811</v>
      </c>
      <c r="H314" s="15">
        <v>46205</v>
      </c>
      <c r="I314" s="113">
        <f t="shared" si="19"/>
        <v>5</v>
      </c>
      <c r="J314" s="7" t="s">
        <v>1812</v>
      </c>
      <c r="K314" s="4">
        <v>46210</v>
      </c>
      <c r="L314" s="7" t="s">
        <v>1813</v>
      </c>
      <c r="M314" s="15">
        <v>46210</v>
      </c>
      <c r="N314" s="74">
        <f t="shared" ca="1" si="18"/>
        <v>0</v>
      </c>
      <c r="O314" s="108" t="s">
        <v>2</v>
      </c>
      <c r="P314" s="14"/>
    </row>
    <row r="315" spans="1:16" ht="51.6" customHeight="1" x14ac:dyDescent="0.3">
      <c r="A315" s="3"/>
      <c r="B315" s="19" t="s">
        <v>1814</v>
      </c>
      <c r="C315" s="63">
        <v>0</v>
      </c>
      <c r="D315" s="13" t="s">
        <v>1815</v>
      </c>
      <c r="E315" s="5" t="s">
        <v>1816</v>
      </c>
      <c r="F315" s="4">
        <v>46205</v>
      </c>
      <c r="G315" s="7" t="s">
        <v>1817</v>
      </c>
      <c r="H315" s="15">
        <v>46205</v>
      </c>
      <c r="I315" s="113">
        <f t="shared" si="19"/>
        <v>6</v>
      </c>
      <c r="J315" s="7" t="s">
        <v>1818</v>
      </c>
      <c r="K315" s="4">
        <v>46211</v>
      </c>
      <c r="L315" s="7" t="s">
        <v>1819</v>
      </c>
      <c r="M315" s="15">
        <v>46211</v>
      </c>
      <c r="N315" s="74">
        <f t="shared" ca="1" si="18"/>
        <v>0</v>
      </c>
      <c r="O315" s="108" t="s">
        <v>2</v>
      </c>
      <c r="P315" s="14"/>
    </row>
    <row r="316" spans="1:16" ht="51.6" customHeight="1" x14ac:dyDescent="0.3">
      <c r="A316" s="3"/>
      <c r="B316" s="19" t="s">
        <v>1820</v>
      </c>
      <c r="C316" s="63">
        <v>0</v>
      </c>
      <c r="D316" s="13" t="s">
        <v>1821</v>
      </c>
      <c r="E316" s="5" t="s">
        <v>1822</v>
      </c>
      <c r="F316" s="4">
        <v>46208</v>
      </c>
      <c r="G316" s="7" t="s">
        <v>1823</v>
      </c>
      <c r="H316" s="15">
        <v>46208</v>
      </c>
      <c r="I316" s="113">
        <f t="shared" si="19"/>
        <v>3</v>
      </c>
      <c r="J316" s="7" t="s">
        <v>1824</v>
      </c>
      <c r="K316" s="4">
        <v>46211</v>
      </c>
      <c r="L316" s="7" t="s">
        <v>1825</v>
      </c>
      <c r="M316" s="15">
        <v>46211</v>
      </c>
      <c r="N316" s="74">
        <f t="shared" ca="1" si="18"/>
        <v>0</v>
      </c>
      <c r="O316" s="108" t="s">
        <v>2</v>
      </c>
      <c r="P316" s="14"/>
    </row>
    <row r="317" spans="1:16" ht="51.6" customHeight="1" x14ac:dyDescent="0.3">
      <c r="A317" s="3"/>
      <c r="B317" s="19" t="s">
        <v>1826</v>
      </c>
      <c r="C317" s="63">
        <v>0</v>
      </c>
      <c r="D317" s="13" t="s">
        <v>1827</v>
      </c>
      <c r="E317" s="5" t="s">
        <v>1828</v>
      </c>
      <c r="F317" s="4">
        <v>46208</v>
      </c>
      <c r="G317" s="7" t="s">
        <v>1829</v>
      </c>
      <c r="H317" s="15">
        <v>46208</v>
      </c>
      <c r="I317" s="113">
        <f t="shared" si="19"/>
        <v>5</v>
      </c>
      <c r="J317" s="7" t="s">
        <v>1830</v>
      </c>
      <c r="K317" s="4">
        <v>46213</v>
      </c>
      <c r="L317" s="7" t="s">
        <v>1831</v>
      </c>
      <c r="M317" s="15">
        <v>46213</v>
      </c>
      <c r="N317" s="74">
        <f t="shared" ca="1" si="18"/>
        <v>0</v>
      </c>
      <c r="O317" s="108" t="s">
        <v>2</v>
      </c>
      <c r="P317" s="14"/>
    </row>
    <row r="318" spans="1:16" ht="51.6" customHeight="1" x14ac:dyDescent="0.3">
      <c r="A318" s="3"/>
      <c r="B318" s="19" t="s">
        <v>1832</v>
      </c>
      <c r="C318" s="63">
        <v>0</v>
      </c>
      <c r="D318" s="13" t="s">
        <v>1833</v>
      </c>
      <c r="E318" s="5" t="s">
        <v>1834</v>
      </c>
      <c r="F318" s="4">
        <v>46208</v>
      </c>
      <c r="G318" s="7" t="s">
        <v>1835</v>
      </c>
      <c r="H318" s="15">
        <v>46208</v>
      </c>
      <c r="I318" s="113">
        <f t="shared" si="19"/>
        <v>4</v>
      </c>
      <c r="J318" s="7" t="s">
        <v>1836</v>
      </c>
      <c r="K318" s="4">
        <v>46212</v>
      </c>
      <c r="L318" s="7" t="s">
        <v>1837</v>
      </c>
      <c r="M318" s="66">
        <v>46212</v>
      </c>
      <c r="N318" s="74">
        <f t="shared" ca="1" si="18"/>
        <v>0</v>
      </c>
      <c r="O318" s="108" t="s">
        <v>2</v>
      </c>
      <c r="P318" s="14"/>
    </row>
    <row r="319" spans="1:16" ht="51.6" customHeight="1" x14ac:dyDescent="0.3">
      <c r="A319" s="3"/>
      <c r="B319" s="19" t="s">
        <v>1838</v>
      </c>
      <c r="C319" s="63">
        <v>0</v>
      </c>
      <c r="D319" s="13" t="s">
        <v>1839</v>
      </c>
      <c r="E319" s="5" t="s">
        <v>1840</v>
      </c>
      <c r="F319" s="4">
        <v>46209</v>
      </c>
      <c r="G319" s="7" t="s">
        <v>1841</v>
      </c>
      <c r="H319" s="15">
        <v>46209</v>
      </c>
      <c r="I319" s="113">
        <f t="shared" si="19"/>
        <v>7</v>
      </c>
      <c r="J319" s="7" t="s">
        <v>1842</v>
      </c>
      <c r="K319" s="4">
        <v>46216</v>
      </c>
      <c r="L319" s="7" t="s">
        <v>1843</v>
      </c>
      <c r="M319" s="66">
        <v>46216</v>
      </c>
      <c r="N319" s="74">
        <f t="shared" ca="1" si="18"/>
        <v>0</v>
      </c>
      <c r="O319" s="108" t="s">
        <v>2</v>
      </c>
      <c r="P319" s="14"/>
    </row>
    <row r="320" spans="1:16" ht="51.6" customHeight="1" x14ac:dyDescent="0.3">
      <c r="A320" s="3"/>
      <c r="B320" s="19" t="s">
        <v>1844</v>
      </c>
      <c r="C320" s="63">
        <v>0</v>
      </c>
      <c r="D320" s="13" t="s">
        <v>1845</v>
      </c>
      <c r="E320" s="5" t="s">
        <v>1846</v>
      </c>
      <c r="F320" s="4">
        <v>46209</v>
      </c>
      <c r="G320" s="7" t="s">
        <v>1847</v>
      </c>
      <c r="H320" s="15">
        <v>46209</v>
      </c>
      <c r="I320" s="113">
        <f t="shared" si="19"/>
        <v>7</v>
      </c>
      <c r="J320" s="7" t="s">
        <v>1848</v>
      </c>
      <c r="K320" s="4">
        <v>46216</v>
      </c>
      <c r="L320" s="7" t="s">
        <v>1849</v>
      </c>
      <c r="M320" s="66">
        <v>46216</v>
      </c>
      <c r="N320" s="74">
        <f t="shared" ca="1" si="18"/>
        <v>0</v>
      </c>
      <c r="O320" s="108" t="s">
        <v>2</v>
      </c>
      <c r="P320" s="14"/>
    </row>
    <row r="321" spans="1:16" ht="51.6" customHeight="1" x14ac:dyDescent="0.3">
      <c r="A321" s="3"/>
      <c r="B321" s="19" t="s">
        <v>1850</v>
      </c>
      <c r="C321" s="63">
        <v>0</v>
      </c>
      <c r="D321" s="13" t="s">
        <v>1851</v>
      </c>
      <c r="E321" s="5" t="s">
        <v>1852</v>
      </c>
      <c r="F321" s="4">
        <v>46209</v>
      </c>
      <c r="G321" s="7" t="s">
        <v>1853</v>
      </c>
      <c r="H321" s="15">
        <v>46209</v>
      </c>
      <c r="I321" s="113">
        <f t="shared" si="19"/>
        <v>7</v>
      </c>
      <c r="J321" s="7" t="s">
        <v>1854</v>
      </c>
      <c r="K321" s="4">
        <v>46216</v>
      </c>
      <c r="L321" s="7" t="s">
        <v>1855</v>
      </c>
      <c r="M321" s="66">
        <v>46216</v>
      </c>
      <c r="N321" s="74">
        <f t="shared" ca="1" si="18"/>
        <v>0</v>
      </c>
      <c r="O321" s="108" t="s">
        <v>2</v>
      </c>
      <c r="P321" s="14"/>
    </row>
    <row r="322" spans="1:16" ht="51.6" customHeight="1" x14ac:dyDescent="0.3">
      <c r="A322" s="3"/>
      <c r="B322" s="19" t="s">
        <v>1856</v>
      </c>
      <c r="C322" s="63">
        <v>0</v>
      </c>
      <c r="D322" s="13" t="s">
        <v>1857</v>
      </c>
      <c r="E322" s="5" t="s">
        <v>1858</v>
      </c>
      <c r="F322" s="4">
        <v>46209</v>
      </c>
      <c r="G322" s="7" t="s">
        <v>1859</v>
      </c>
      <c r="H322" s="15">
        <v>46209</v>
      </c>
      <c r="I322" s="113">
        <f t="shared" si="19"/>
        <v>7</v>
      </c>
      <c r="J322" s="7" t="s">
        <v>1860</v>
      </c>
      <c r="K322" s="4">
        <v>46216</v>
      </c>
      <c r="L322" s="7" t="s">
        <v>1861</v>
      </c>
      <c r="M322" s="66">
        <v>46216</v>
      </c>
      <c r="N322" s="74">
        <f t="shared" ca="1" si="18"/>
        <v>0</v>
      </c>
      <c r="O322" s="108" t="s">
        <v>2</v>
      </c>
      <c r="P322" s="14"/>
    </row>
    <row r="323" spans="1:16" ht="51.6" customHeight="1" x14ac:dyDescent="0.3">
      <c r="A323" s="3"/>
      <c r="B323" s="19" t="s">
        <v>1862</v>
      </c>
      <c r="C323" s="63">
        <v>0</v>
      </c>
      <c r="D323" s="13" t="s">
        <v>1863</v>
      </c>
      <c r="E323" s="5" t="s">
        <v>1864</v>
      </c>
      <c r="F323" s="4">
        <v>46209</v>
      </c>
      <c r="G323" s="7" t="s">
        <v>1865</v>
      </c>
      <c r="H323" s="15">
        <v>46209</v>
      </c>
      <c r="I323" s="113">
        <f t="shared" si="19"/>
        <v>7</v>
      </c>
      <c r="J323" s="7" t="s">
        <v>1866</v>
      </c>
      <c r="K323" s="4">
        <v>46216</v>
      </c>
      <c r="L323" s="7" t="s">
        <v>1867</v>
      </c>
      <c r="M323" s="66">
        <v>46216</v>
      </c>
      <c r="N323" s="74">
        <f t="shared" ca="1" si="18"/>
        <v>0</v>
      </c>
      <c r="O323" s="108" t="s">
        <v>2</v>
      </c>
      <c r="P323" s="14"/>
    </row>
    <row r="324" spans="1:16" ht="51.6" customHeight="1" x14ac:dyDescent="0.3">
      <c r="A324" s="3"/>
      <c r="B324" s="19" t="s">
        <v>1868</v>
      </c>
      <c r="C324" s="63">
        <v>0</v>
      </c>
      <c r="D324" s="13" t="s">
        <v>1869</v>
      </c>
      <c r="E324" s="5" t="s">
        <v>1870</v>
      </c>
      <c r="F324" s="4">
        <v>46211</v>
      </c>
      <c r="G324" s="7" t="s">
        <v>1871</v>
      </c>
      <c r="H324" s="4">
        <v>46211</v>
      </c>
      <c r="I324" s="113">
        <f t="shared" si="19"/>
        <v>5</v>
      </c>
      <c r="J324" s="7" t="s">
        <v>1872</v>
      </c>
      <c r="K324" s="4">
        <v>46216</v>
      </c>
      <c r="L324" s="7" t="s">
        <v>1873</v>
      </c>
      <c r="M324" s="66">
        <v>46216</v>
      </c>
      <c r="N324" s="74">
        <f t="shared" ca="1" si="18"/>
        <v>0</v>
      </c>
      <c r="O324" s="108" t="s">
        <v>2</v>
      </c>
      <c r="P324" s="14"/>
    </row>
    <row r="325" spans="1:16" ht="51.6" customHeight="1" x14ac:dyDescent="0.3">
      <c r="A325" s="3"/>
      <c r="B325" s="19" t="s">
        <v>1874</v>
      </c>
      <c r="C325" s="63">
        <v>0</v>
      </c>
      <c r="D325" s="13" t="s">
        <v>1875</v>
      </c>
      <c r="E325" s="5" t="s">
        <v>1876</v>
      </c>
      <c r="F325" s="4">
        <v>46211</v>
      </c>
      <c r="G325" s="7" t="s">
        <v>1877</v>
      </c>
      <c r="H325" s="4">
        <v>46211</v>
      </c>
      <c r="I325" s="113">
        <f t="shared" si="19"/>
        <v>5</v>
      </c>
      <c r="J325" s="7" t="s">
        <v>1878</v>
      </c>
      <c r="K325" s="4">
        <v>46216</v>
      </c>
      <c r="L325" s="7" t="s">
        <v>1879</v>
      </c>
      <c r="M325" s="66">
        <v>46216</v>
      </c>
      <c r="N325" s="74">
        <f t="shared" ca="1" si="18"/>
        <v>0</v>
      </c>
      <c r="O325" s="108" t="s">
        <v>2</v>
      </c>
      <c r="P325" s="14"/>
    </row>
    <row r="326" spans="1:16" ht="51.6" customHeight="1" x14ac:dyDescent="0.3">
      <c r="A326" s="3"/>
      <c r="B326" s="19" t="s">
        <v>1880</v>
      </c>
      <c r="C326" s="63">
        <v>0</v>
      </c>
      <c r="D326" s="13" t="s">
        <v>1881</v>
      </c>
      <c r="E326" s="5" t="s">
        <v>1882</v>
      </c>
      <c r="F326" s="4">
        <v>46223</v>
      </c>
      <c r="G326" s="7" t="s">
        <v>1883</v>
      </c>
      <c r="H326" s="15">
        <v>46224</v>
      </c>
      <c r="I326" s="113">
        <f>K326-H326</f>
        <v>6</v>
      </c>
      <c r="J326" s="7" t="s">
        <v>1884</v>
      </c>
      <c r="K326" s="4">
        <v>46230</v>
      </c>
      <c r="L326" s="7" t="s">
        <v>1885</v>
      </c>
      <c r="M326" s="66">
        <v>46230</v>
      </c>
      <c r="N326" s="27">
        <f t="shared" ref="N326" ca="1" si="20">IF(AND(M326="",TODAY()-F326&gt;7),TODAY()-F326-7,0)</f>
        <v>0</v>
      </c>
      <c r="O326" s="108" t="s">
        <v>2</v>
      </c>
      <c r="P326" s="14"/>
    </row>
    <row r="327" spans="1:16" ht="51.6" customHeight="1" x14ac:dyDescent="0.3">
      <c r="A327" s="3"/>
      <c r="B327" s="19" t="s">
        <v>1886</v>
      </c>
      <c r="C327" s="63">
        <v>0</v>
      </c>
      <c r="D327" s="13" t="s">
        <v>1887</v>
      </c>
      <c r="E327" s="5" t="s">
        <v>1888</v>
      </c>
      <c r="F327" s="4">
        <v>46223</v>
      </c>
      <c r="G327" s="7" t="s">
        <v>1889</v>
      </c>
      <c r="H327" s="15">
        <v>46224</v>
      </c>
      <c r="I327" s="113">
        <f>K327-H327</f>
        <v>7</v>
      </c>
      <c r="J327" s="7" t="s">
        <v>1890</v>
      </c>
      <c r="K327" s="4">
        <v>46231</v>
      </c>
      <c r="L327" s="7" t="s">
        <v>1891</v>
      </c>
      <c r="M327" s="4">
        <v>46231</v>
      </c>
      <c r="N327" s="27">
        <f t="shared" ref="N327" ca="1" si="21">IF(AND(M327="",TODAY()-F327&gt;7),TODAY()-F327-7,0)</f>
        <v>0</v>
      </c>
      <c r="O327" s="108" t="s">
        <v>2</v>
      </c>
      <c r="P327" s="14"/>
    </row>
    <row r="328" spans="1:16" ht="51.6" customHeight="1" x14ac:dyDescent="0.3">
      <c r="A328" s="3"/>
      <c r="B328" s="19" t="s">
        <v>1892</v>
      </c>
      <c r="C328" s="63">
        <v>0</v>
      </c>
      <c r="D328" s="13" t="s">
        <v>1893</v>
      </c>
      <c r="E328" s="5" t="s">
        <v>1894</v>
      </c>
      <c r="F328" s="4">
        <v>46223</v>
      </c>
      <c r="G328" s="7" t="s">
        <v>1895</v>
      </c>
      <c r="H328" s="15">
        <v>46224</v>
      </c>
      <c r="I328" s="113">
        <f t="shared" ref="I328" si="22">K328-H328</f>
        <v>7</v>
      </c>
      <c r="J328" s="7" t="s">
        <v>1896</v>
      </c>
      <c r="K328" s="4">
        <v>46231</v>
      </c>
      <c r="L328" s="7" t="s">
        <v>1897</v>
      </c>
      <c r="M328" s="66">
        <v>46231</v>
      </c>
      <c r="N328" s="27">
        <f t="shared" ref="N328" ca="1" si="23">IF(AND(M328="",TODAY()-F328&gt;7),TODAY()-F328-7,0)</f>
        <v>0</v>
      </c>
      <c r="O328" s="108" t="s">
        <v>2</v>
      </c>
      <c r="P328" s="14"/>
    </row>
    <row r="329" spans="1:16" ht="51.6" customHeight="1" x14ac:dyDescent="0.3">
      <c r="A329" s="3"/>
      <c r="B329" s="19" t="s">
        <v>1898</v>
      </c>
      <c r="C329" s="63">
        <v>0</v>
      </c>
      <c r="D329" s="13" t="s">
        <v>1899</v>
      </c>
      <c r="E329" s="5" t="s">
        <v>1900</v>
      </c>
      <c r="F329" s="4">
        <v>46223</v>
      </c>
      <c r="G329" s="7" t="s">
        <v>1901</v>
      </c>
      <c r="H329" s="15">
        <v>46224</v>
      </c>
      <c r="I329" s="113">
        <f t="shared" ref="I329:I330" si="24">K329-H329</f>
        <v>7</v>
      </c>
      <c r="J329" s="7" t="s">
        <v>1902</v>
      </c>
      <c r="K329" s="4">
        <v>46231</v>
      </c>
      <c r="L329" s="7" t="s">
        <v>1903</v>
      </c>
      <c r="M329" s="66">
        <v>46231</v>
      </c>
      <c r="N329" s="27">
        <f t="shared" ref="N329" ca="1" si="25">IF(AND(M329="",TODAY()-F329&gt;7),TODAY()-F329-7,0)</f>
        <v>0</v>
      </c>
      <c r="O329" s="108" t="s">
        <v>2</v>
      </c>
      <c r="P329" s="14"/>
    </row>
    <row r="330" spans="1:16" ht="51.6" customHeight="1" x14ac:dyDescent="0.3">
      <c r="A330" s="3"/>
      <c r="B330" s="19" t="s">
        <v>1904</v>
      </c>
      <c r="C330" s="63">
        <v>0</v>
      </c>
      <c r="D330" s="13" t="s">
        <v>1905</v>
      </c>
      <c r="E330" s="5" t="s">
        <v>1906</v>
      </c>
      <c r="F330" s="4">
        <v>46223</v>
      </c>
      <c r="G330" s="7" t="s">
        <v>1907</v>
      </c>
      <c r="H330" s="15">
        <v>46224</v>
      </c>
      <c r="I330" s="113">
        <f t="shared" si="24"/>
        <v>7</v>
      </c>
      <c r="J330" s="7" t="s">
        <v>1908</v>
      </c>
      <c r="K330" s="4">
        <v>46231</v>
      </c>
      <c r="L330" s="7" t="s">
        <v>1909</v>
      </c>
      <c r="M330" s="66">
        <v>46231</v>
      </c>
      <c r="N330" s="27">
        <f t="shared" ref="N330:N331" ca="1" si="26">IF(AND(M330="",TODAY()-F330&gt;7),TODAY()-F330-7,0)</f>
        <v>0</v>
      </c>
      <c r="O330" s="108" t="s">
        <v>2</v>
      </c>
      <c r="P330" s="14"/>
    </row>
    <row r="331" spans="1:16" ht="51.6" customHeight="1" x14ac:dyDescent="0.3">
      <c r="A331" s="3"/>
      <c r="B331" s="19" t="s">
        <v>1910</v>
      </c>
      <c r="C331" s="63">
        <v>0</v>
      </c>
      <c r="D331" s="13" t="s">
        <v>1911</v>
      </c>
      <c r="E331" s="5" t="s">
        <v>1912</v>
      </c>
      <c r="F331" s="4">
        <v>46223</v>
      </c>
      <c r="G331" s="7" t="s">
        <v>1913</v>
      </c>
      <c r="H331" s="15">
        <v>46224</v>
      </c>
      <c r="I331" s="113">
        <f t="shared" ref="I331:I333" si="27">K331-H331</f>
        <v>7</v>
      </c>
      <c r="J331" s="7" t="s">
        <v>1914</v>
      </c>
      <c r="K331" s="4">
        <v>46231</v>
      </c>
      <c r="L331" s="7" t="s">
        <v>1915</v>
      </c>
      <c r="M331" s="66">
        <v>46231</v>
      </c>
      <c r="N331" s="27">
        <f t="shared" ca="1" si="26"/>
        <v>0</v>
      </c>
      <c r="O331" s="108" t="s">
        <v>2</v>
      </c>
      <c r="P331" s="14"/>
    </row>
    <row r="332" spans="1:16" ht="51.6" customHeight="1" x14ac:dyDescent="0.3">
      <c r="A332" s="3"/>
      <c r="B332" s="19" t="s">
        <v>1916</v>
      </c>
      <c r="C332" s="63">
        <v>0</v>
      </c>
      <c r="D332" s="13" t="s">
        <v>1917</v>
      </c>
      <c r="E332" s="5" t="s">
        <v>1918</v>
      </c>
      <c r="F332" s="4">
        <v>46223</v>
      </c>
      <c r="G332" s="7" t="s">
        <v>1919</v>
      </c>
      <c r="H332" s="15">
        <v>46224</v>
      </c>
      <c r="I332" s="113">
        <f t="shared" si="27"/>
        <v>7</v>
      </c>
      <c r="J332" s="7" t="s">
        <v>1920</v>
      </c>
      <c r="K332" s="4">
        <v>46231</v>
      </c>
      <c r="L332" s="7" t="s">
        <v>1921</v>
      </c>
      <c r="M332" s="66">
        <v>46231</v>
      </c>
      <c r="N332" s="27">
        <f t="shared" ref="N332" ca="1" si="28">IF(AND(M332="",TODAY()-F332&gt;7),TODAY()-F332-7,0)</f>
        <v>0</v>
      </c>
      <c r="O332" s="108" t="s">
        <v>2</v>
      </c>
      <c r="P332" s="14"/>
    </row>
    <row r="333" spans="1:16" ht="51.6" customHeight="1" x14ac:dyDescent="0.3">
      <c r="A333" s="3"/>
      <c r="B333" s="19" t="s">
        <v>1922</v>
      </c>
      <c r="C333" s="63">
        <v>0</v>
      </c>
      <c r="D333" s="13" t="s">
        <v>1923</v>
      </c>
      <c r="E333" s="5" t="s">
        <v>1924</v>
      </c>
      <c r="F333" s="4">
        <v>46223</v>
      </c>
      <c r="G333" s="7" t="s">
        <v>1925</v>
      </c>
      <c r="H333" s="15">
        <v>46224</v>
      </c>
      <c r="I333" s="113">
        <f t="shared" si="27"/>
        <v>6</v>
      </c>
      <c r="J333" s="7" t="s">
        <v>1926</v>
      </c>
      <c r="K333" s="4">
        <v>46230</v>
      </c>
      <c r="L333" s="7" t="s">
        <v>1927</v>
      </c>
      <c r="M333" s="66">
        <v>46240</v>
      </c>
      <c r="N333" s="27">
        <f t="shared" ref="N333" ca="1" si="29">IF(AND(M333="",TODAY()-F333&gt;7),TODAY()-F333-7,0)</f>
        <v>0</v>
      </c>
      <c r="O333" s="108" t="s">
        <v>2</v>
      </c>
      <c r="P333" s="14"/>
    </row>
    <row r="334" spans="1:16" ht="51.6" customHeight="1" x14ac:dyDescent="0.3">
      <c r="A334" s="3"/>
      <c r="B334" s="19" t="s">
        <v>1928</v>
      </c>
      <c r="C334" s="63">
        <v>0</v>
      </c>
      <c r="D334" s="13" t="s">
        <v>1929</v>
      </c>
      <c r="E334" s="5" t="s">
        <v>1930</v>
      </c>
      <c r="F334" s="4">
        <v>46212</v>
      </c>
      <c r="G334" s="7" t="s">
        <v>1931</v>
      </c>
      <c r="H334" s="15">
        <v>46212</v>
      </c>
      <c r="I334" s="113">
        <f t="shared" si="19"/>
        <v>4</v>
      </c>
      <c r="J334" s="7" t="s">
        <v>1932</v>
      </c>
      <c r="K334" s="4">
        <v>46216</v>
      </c>
      <c r="L334" s="7" t="s">
        <v>1933</v>
      </c>
      <c r="M334" s="66">
        <v>46216</v>
      </c>
      <c r="N334" s="74">
        <f t="shared" ca="1" si="18"/>
        <v>0</v>
      </c>
      <c r="O334" s="108" t="s">
        <v>2</v>
      </c>
      <c r="P334" s="14"/>
    </row>
    <row r="335" spans="1:16" ht="51.6" customHeight="1" x14ac:dyDescent="0.3">
      <c r="A335" s="3"/>
      <c r="B335" s="19" t="s">
        <v>1934</v>
      </c>
      <c r="C335" s="63">
        <v>0</v>
      </c>
      <c r="D335" s="13" t="s">
        <v>1935</v>
      </c>
      <c r="E335" s="5" t="s">
        <v>1936</v>
      </c>
      <c r="F335" s="4">
        <v>46213</v>
      </c>
      <c r="G335" s="7" t="s">
        <v>1937</v>
      </c>
      <c r="H335" s="15">
        <v>46214</v>
      </c>
      <c r="I335" s="113">
        <f t="shared" si="19"/>
        <v>9</v>
      </c>
      <c r="J335" s="7" t="s">
        <v>1938</v>
      </c>
      <c r="K335" s="4">
        <v>46223</v>
      </c>
      <c r="L335" s="7" t="s">
        <v>1939</v>
      </c>
      <c r="M335" s="66">
        <v>46223</v>
      </c>
      <c r="N335" s="27">
        <f t="shared" ca="1" si="18"/>
        <v>0</v>
      </c>
      <c r="O335" s="108" t="s">
        <v>2</v>
      </c>
      <c r="P335" s="14"/>
    </row>
    <row r="336" spans="1:16" ht="51.6" customHeight="1" x14ac:dyDescent="0.3">
      <c r="A336" s="3"/>
      <c r="B336" s="19" t="s">
        <v>1940</v>
      </c>
      <c r="C336" s="63">
        <v>0</v>
      </c>
      <c r="D336" s="13" t="s">
        <v>1941</v>
      </c>
      <c r="E336" s="5" t="s">
        <v>1942</v>
      </c>
      <c r="F336" s="4">
        <v>46218</v>
      </c>
      <c r="G336" s="7" t="s">
        <v>1943</v>
      </c>
      <c r="H336" s="15">
        <v>46218</v>
      </c>
      <c r="I336" s="113">
        <f t="shared" si="19"/>
        <v>14</v>
      </c>
      <c r="J336" s="7" t="s">
        <v>1944</v>
      </c>
      <c r="K336" s="4">
        <v>46232</v>
      </c>
      <c r="L336" s="7" t="s">
        <v>1945</v>
      </c>
      <c r="M336" s="66">
        <v>46232</v>
      </c>
      <c r="N336" s="27">
        <f t="shared" ca="1" si="18"/>
        <v>0</v>
      </c>
      <c r="O336" s="108" t="s">
        <v>2</v>
      </c>
      <c r="P336" s="14"/>
    </row>
    <row r="337" spans="1:16" ht="51.6" customHeight="1" x14ac:dyDescent="0.3">
      <c r="A337" s="3"/>
      <c r="B337" s="19" t="s">
        <v>1946</v>
      </c>
      <c r="C337" s="46">
        <v>0</v>
      </c>
      <c r="D337" s="13" t="s">
        <v>1947</v>
      </c>
      <c r="E337" s="5" t="s">
        <v>1948</v>
      </c>
      <c r="F337" s="4">
        <v>46216</v>
      </c>
      <c r="G337" s="7" t="s">
        <v>1949</v>
      </c>
      <c r="H337" s="15">
        <v>46216</v>
      </c>
      <c r="I337" s="113">
        <f t="shared" si="19"/>
        <v>1</v>
      </c>
      <c r="J337" s="7" t="s">
        <v>1950</v>
      </c>
      <c r="K337" s="4">
        <v>46217</v>
      </c>
      <c r="L337" s="7" t="s">
        <v>1951</v>
      </c>
      <c r="M337" s="66">
        <v>46217</v>
      </c>
      <c r="N337" s="27">
        <f t="shared" ref="N337:N359" ca="1" si="30">IF(AND(M337="",TODAY()-F337&gt;7),TODAY()-F337-7,0)</f>
        <v>0</v>
      </c>
      <c r="O337" s="108" t="s">
        <v>2</v>
      </c>
      <c r="P337" s="14" t="s">
        <v>1952</v>
      </c>
    </row>
    <row r="338" spans="1:16" ht="51.6" customHeight="1" x14ac:dyDescent="0.3">
      <c r="A338" s="3"/>
      <c r="B338" s="19" t="s">
        <v>1953</v>
      </c>
      <c r="C338" s="46">
        <v>1</v>
      </c>
      <c r="D338" s="13" t="s">
        <v>1954</v>
      </c>
      <c r="E338" s="5" t="s">
        <v>1955</v>
      </c>
      <c r="F338" s="4">
        <v>46218</v>
      </c>
      <c r="G338" s="7" t="s">
        <v>1956</v>
      </c>
      <c r="H338" s="15">
        <v>46218</v>
      </c>
      <c r="I338" s="113">
        <f t="shared" ref="I338:I339" si="31">K338-H338</f>
        <v>7</v>
      </c>
      <c r="J338" s="7" t="s">
        <v>1957</v>
      </c>
      <c r="K338" s="4">
        <v>46225</v>
      </c>
      <c r="L338" s="7" t="s">
        <v>1958</v>
      </c>
      <c r="M338" s="4">
        <v>46225</v>
      </c>
      <c r="N338" s="27">
        <f t="shared" ca="1" si="30"/>
        <v>0</v>
      </c>
      <c r="O338" s="108" t="s">
        <v>2</v>
      </c>
      <c r="P338" s="14"/>
    </row>
    <row r="339" spans="1:16" ht="51.6" customHeight="1" x14ac:dyDescent="0.3">
      <c r="A339" s="3"/>
      <c r="B339" s="19" t="s">
        <v>1959</v>
      </c>
      <c r="C339" s="46">
        <v>0</v>
      </c>
      <c r="D339" s="13" t="s">
        <v>1960</v>
      </c>
      <c r="E339" s="5" t="s">
        <v>1961</v>
      </c>
      <c r="F339" s="4">
        <v>46250</v>
      </c>
      <c r="G339" s="7" t="s">
        <v>1962</v>
      </c>
      <c r="H339" s="15">
        <v>46250</v>
      </c>
      <c r="I339" s="113">
        <f t="shared" si="31"/>
        <v>11</v>
      </c>
      <c r="J339" s="7" t="s">
        <v>1963</v>
      </c>
      <c r="K339" s="4">
        <v>46261</v>
      </c>
      <c r="L339" s="7" t="s">
        <v>1964</v>
      </c>
      <c r="M339" s="4">
        <v>46264</v>
      </c>
      <c r="N339" s="74">
        <f t="shared" ca="1" si="30"/>
        <v>0</v>
      </c>
      <c r="O339" s="108" t="s">
        <v>2</v>
      </c>
      <c r="P339" s="14"/>
    </row>
    <row r="340" spans="1:16" ht="51.6" customHeight="1" x14ac:dyDescent="0.3">
      <c r="A340" s="3"/>
      <c r="B340" s="19" t="s">
        <v>1965</v>
      </c>
      <c r="C340" s="63">
        <v>0</v>
      </c>
      <c r="D340" s="13" t="s">
        <v>1966</v>
      </c>
      <c r="E340" s="5" t="s">
        <v>1967</v>
      </c>
      <c r="F340" s="4">
        <v>46216</v>
      </c>
      <c r="G340" s="7" t="s">
        <v>1968</v>
      </c>
      <c r="H340" s="15">
        <v>46216</v>
      </c>
      <c r="I340" s="113">
        <f t="shared" si="19"/>
        <v>9</v>
      </c>
      <c r="J340" s="7" t="s">
        <v>1969</v>
      </c>
      <c r="K340" s="4">
        <v>46225</v>
      </c>
      <c r="L340" s="7" t="s">
        <v>1970</v>
      </c>
      <c r="M340" s="66">
        <v>46225</v>
      </c>
      <c r="N340" s="27">
        <f t="shared" ca="1" si="30"/>
        <v>0</v>
      </c>
      <c r="O340" s="108" t="s">
        <v>2</v>
      </c>
      <c r="P340" s="14"/>
    </row>
    <row r="341" spans="1:16" ht="51.6" customHeight="1" x14ac:dyDescent="0.3">
      <c r="A341" s="3"/>
      <c r="B341" s="19" t="s">
        <v>1971</v>
      </c>
      <c r="C341" s="63">
        <v>0</v>
      </c>
      <c r="D341" s="13" t="s">
        <v>1972</v>
      </c>
      <c r="E341" s="5" t="s">
        <v>1973</v>
      </c>
      <c r="F341" s="4">
        <v>46239</v>
      </c>
      <c r="G341" s="7" t="s">
        <v>1974</v>
      </c>
      <c r="H341" s="15">
        <v>46239</v>
      </c>
      <c r="I341" s="113">
        <f t="shared" si="19"/>
        <v>5</v>
      </c>
      <c r="J341" s="7" t="s">
        <v>1975</v>
      </c>
      <c r="K341" s="4">
        <v>46244</v>
      </c>
      <c r="L341" s="7" t="s">
        <v>1976</v>
      </c>
      <c r="M341" s="66">
        <v>46244</v>
      </c>
      <c r="N341" s="27">
        <f t="shared" ca="1" si="30"/>
        <v>0</v>
      </c>
      <c r="O341" s="108" t="s">
        <v>2</v>
      </c>
      <c r="P341" s="14"/>
    </row>
    <row r="342" spans="1:16" ht="51.6" customHeight="1" x14ac:dyDescent="0.3">
      <c r="A342" s="3"/>
      <c r="B342" s="19" t="s">
        <v>1977</v>
      </c>
      <c r="C342" s="63">
        <v>0</v>
      </c>
      <c r="D342" s="13" t="s">
        <v>1978</v>
      </c>
      <c r="E342" s="5" t="s">
        <v>1979</v>
      </c>
      <c r="F342" s="4">
        <v>46247</v>
      </c>
      <c r="G342" s="7" t="s">
        <v>1980</v>
      </c>
      <c r="H342" s="15">
        <v>46285</v>
      </c>
      <c r="I342" s="113">
        <f t="shared" si="19"/>
        <v>10</v>
      </c>
      <c r="J342" s="7" t="s">
        <v>3209</v>
      </c>
      <c r="K342" s="4">
        <v>46295</v>
      </c>
      <c r="L342" s="7" t="s">
        <v>3210</v>
      </c>
      <c r="M342" s="66">
        <v>46295</v>
      </c>
      <c r="N342" s="74">
        <f t="shared" ca="1" si="30"/>
        <v>0</v>
      </c>
      <c r="O342" s="108" t="s">
        <v>2</v>
      </c>
      <c r="P342" s="14"/>
    </row>
    <row r="343" spans="1:16" ht="51.6" customHeight="1" x14ac:dyDescent="0.3">
      <c r="A343" s="3"/>
      <c r="B343" s="19" t="s">
        <v>1981</v>
      </c>
      <c r="C343" s="63">
        <v>0</v>
      </c>
      <c r="D343" s="13" t="s">
        <v>1982</v>
      </c>
      <c r="E343" s="5" t="s">
        <v>1983</v>
      </c>
      <c r="F343" s="4">
        <v>46241</v>
      </c>
      <c r="G343" s="7" t="s">
        <v>1984</v>
      </c>
      <c r="H343" s="15">
        <v>46243</v>
      </c>
      <c r="I343" s="113">
        <f t="shared" si="19"/>
        <v>10</v>
      </c>
      <c r="J343" s="7" t="s">
        <v>1985</v>
      </c>
      <c r="K343" s="4">
        <v>46253</v>
      </c>
      <c r="L343" s="7" t="s">
        <v>1986</v>
      </c>
      <c r="M343" s="66">
        <v>46253</v>
      </c>
      <c r="N343" s="27">
        <f t="shared" ca="1" si="30"/>
        <v>0</v>
      </c>
      <c r="O343" s="108" t="s">
        <v>2</v>
      </c>
      <c r="P343" s="14"/>
    </row>
    <row r="344" spans="1:16" ht="51.6" customHeight="1" x14ac:dyDescent="0.3">
      <c r="A344" s="3"/>
      <c r="B344" s="19" t="s">
        <v>1987</v>
      </c>
      <c r="C344" s="63">
        <v>0</v>
      </c>
      <c r="D344" s="13" t="s">
        <v>1988</v>
      </c>
      <c r="E344" s="5" t="s">
        <v>1989</v>
      </c>
      <c r="F344" s="4">
        <v>46241</v>
      </c>
      <c r="G344" s="7" t="s">
        <v>1990</v>
      </c>
      <c r="H344" s="15">
        <v>46243</v>
      </c>
      <c r="I344" s="113">
        <f t="shared" si="19"/>
        <v>10</v>
      </c>
      <c r="J344" s="7" t="s">
        <v>1991</v>
      </c>
      <c r="K344" s="4">
        <v>46253</v>
      </c>
      <c r="L344" s="7" t="s">
        <v>1992</v>
      </c>
      <c r="M344" s="66">
        <v>46253</v>
      </c>
      <c r="N344" s="27">
        <f t="shared" ca="1" si="30"/>
        <v>0</v>
      </c>
      <c r="O344" s="108" t="s">
        <v>2</v>
      </c>
      <c r="P344" s="14"/>
    </row>
    <row r="345" spans="1:16" ht="51.6" customHeight="1" x14ac:dyDescent="0.3">
      <c r="A345" s="3"/>
      <c r="B345" s="19" t="s">
        <v>1993</v>
      </c>
      <c r="C345" s="63">
        <v>0</v>
      </c>
      <c r="D345" s="13" t="s">
        <v>1994</v>
      </c>
      <c r="E345" s="5" t="s">
        <v>1995</v>
      </c>
      <c r="F345" s="4">
        <v>46217</v>
      </c>
      <c r="G345" s="7" t="s">
        <v>1996</v>
      </c>
      <c r="H345" s="15">
        <v>46217</v>
      </c>
      <c r="I345" s="113">
        <f>K345-H345</f>
        <v>6</v>
      </c>
      <c r="J345" s="7" t="s">
        <v>1997</v>
      </c>
      <c r="K345" s="4">
        <v>46223</v>
      </c>
      <c r="L345" s="7" t="s">
        <v>1998</v>
      </c>
      <c r="M345" s="66">
        <v>46223</v>
      </c>
      <c r="N345" s="27">
        <f ca="1">IF(AND(M345="",TODAY()-F345&gt;7),TODAY()-F345-7,0)</f>
        <v>0</v>
      </c>
      <c r="O345" s="108" t="s">
        <v>2</v>
      </c>
      <c r="P345" s="14"/>
    </row>
    <row r="346" spans="1:16" ht="51.6" customHeight="1" x14ac:dyDescent="0.3">
      <c r="A346" s="3"/>
      <c r="B346" s="19" t="s">
        <v>1999</v>
      </c>
      <c r="C346" s="63">
        <v>0</v>
      </c>
      <c r="D346" s="13" t="s">
        <v>2000</v>
      </c>
      <c r="E346" s="5" t="s">
        <v>2001</v>
      </c>
      <c r="F346" s="4">
        <v>46239</v>
      </c>
      <c r="G346" s="7" t="s">
        <v>2002</v>
      </c>
      <c r="H346" s="15">
        <v>46239</v>
      </c>
      <c r="I346" s="113">
        <f t="shared" si="19"/>
        <v>12</v>
      </c>
      <c r="J346" s="7" t="s">
        <v>2003</v>
      </c>
      <c r="K346" s="4">
        <v>46251</v>
      </c>
      <c r="L346" s="7" t="s">
        <v>2004</v>
      </c>
      <c r="M346" s="66">
        <v>46251</v>
      </c>
      <c r="N346" s="27">
        <f t="shared" ref="N346:N348" ca="1" si="32">IF(AND(M346="",TODAY()-F346&gt;7),TODAY()-F346-7,0)</f>
        <v>0</v>
      </c>
      <c r="O346" s="108" t="s">
        <v>2</v>
      </c>
      <c r="P346" s="14"/>
    </row>
    <row r="347" spans="1:16" ht="51.6" customHeight="1" x14ac:dyDescent="0.3">
      <c r="A347" s="3"/>
      <c r="B347" s="19" t="s">
        <v>2005</v>
      </c>
      <c r="C347" s="63">
        <v>1</v>
      </c>
      <c r="D347" s="13" t="s">
        <v>2006</v>
      </c>
      <c r="E347" s="5" t="s">
        <v>2007</v>
      </c>
      <c r="F347" s="4">
        <v>46286</v>
      </c>
      <c r="G347" s="7" t="s">
        <v>2008</v>
      </c>
      <c r="H347" s="15">
        <v>46287</v>
      </c>
      <c r="I347" s="113">
        <f t="shared" si="19"/>
        <v>-46287</v>
      </c>
      <c r="J347" s="7"/>
      <c r="K347" s="4"/>
      <c r="L347" s="7"/>
      <c r="M347" s="66"/>
      <c r="N347" s="27">
        <f t="shared" ca="1" si="32"/>
        <v>13</v>
      </c>
      <c r="O347" s="69" t="s">
        <v>7</v>
      </c>
      <c r="P347" s="14"/>
    </row>
    <row r="348" spans="1:16" ht="51.6" customHeight="1" x14ac:dyDescent="0.3">
      <c r="A348" s="3"/>
      <c r="B348" s="19" t="s">
        <v>2009</v>
      </c>
      <c r="C348" s="63">
        <v>0</v>
      </c>
      <c r="D348" s="13" t="s">
        <v>2010</v>
      </c>
      <c r="E348" s="5" t="s">
        <v>2011</v>
      </c>
      <c r="F348" s="4">
        <v>46253</v>
      </c>
      <c r="G348" s="7" t="s">
        <v>2012</v>
      </c>
      <c r="H348" s="15">
        <v>46253</v>
      </c>
      <c r="I348" s="113">
        <f t="shared" si="19"/>
        <v>11</v>
      </c>
      <c r="J348" s="7" t="s">
        <v>2013</v>
      </c>
      <c r="K348" s="4">
        <v>46264</v>
      </c>
      <c r="L348" s="7" t="s">
        <v>2014</v>
      </c>
      <c r="M348" s="66">
        <v>46264</v>
      </c>
      <c r="N348" s="74">
        <f t="shared" ca="1" si="32"/>
        <v>0</v>
      </c>
      <c r="O348" s="104" t="s">
        <v>2</v>
      </c>
      <c r="P348" s="14"/>
    </row>
    <row r="349" spans="1:16" ht="51.6" customHeight="1" x14ac:dyDescent="0.3">
      <c r="A349" s="3"/>
      <c r="B349" s="19" t="s">
        <v>2015</v>
      </c>
      <c r="C349" s="63">
        <v>0</v>
      </c>
      <c r="D349" s="13" t="s">
        <v>2016</v>
      </c>
      <c r="E349" s="5" t="s">
        <v>2017</v>
      </c>
      <c r="F349" s="4">
        <v>46217</v>
      </c>
      <c r="G349" s="7" t="s">
        <v>2018</v>
      </c>
      <c r="H349" s="15">
        <v>46217</v>
      </c>
      <c r="I349" s="113">
        <f t="shared" si="19"/>
        <v>6</v>
      </c>
      <c r="J349" s="7" t="s">
        <v>2019</v>
      </c>
      <c r="K349" s="4">
        <v>46223</v>
      </c>
      <c r="L349" s="7" t="s">
        <v>2020</v>
      </c>
      <c r="M349" s="66">
        <v>46223</v>
      </c>
      <c r="N349" s="27">
        <f t="shared" ca="1" si="30"/>
        <v>0</v>
      </c>
      <c r="O349" s="108" t="s">
        <v>2</v>
      </c>
      <c r="P349" s="14"/>
    </row>
    <row r="350" spans="1:16" ht="51.6" customHeight="1" x14ac:dyDescent="0.3">
      <c r="A350" s="3"/>
      <c r="B350" s="19" t="s">
        <v>2021</v>
      </c>
      <c r="C350" s="63">
        <v>0</v>
      </c>
      <c r="D350" s="13" t="s">
        <v>2022</v>
      </c>
      <c r="E350" s="5" t="s">
        <v>2023</v>
      </c>
      <c r="F350" s="4">
        <v>46254</v>
      </c>
      <c r="G350" s="7" t="s">
        <v>2024</v>
      </c>
      <c r="H350" s="15">
        <v>46257</v>
      </c>
      <c r="I350" s="113">
        <f t="shared" si="19"/>
        <v>9</v>
      </c>
      <c r="J350" s="7" t="s">
        <v>2025</v>
      </c>
      <c r="K350" s="4">
        <v>46266</v>
      </c>
      <c r="L350" s="7" t="s">
        <v>2026</v>
      </c>
      <c r="M350" s="66">
        <v>46266</v>
      </c>
      <c r="N350" s="74">
        <f t="shared" ca="1" si="30"/>
        <v>0</v>
      </c>
      <c r="O350" s="104" t="s">
        <v>2</v>
      </c>
      <c r="P350" s="14"/>
    </row>
    <row r="351" spans="1:16" ht="51.6" customHeight="1" x14ac:dyDescent="0.3">
      <c r="A351" s="3"/>
      <c r="B351" s="19" t="s">
        <v>2027</v>
      </c>
      <c r="C351" s="63">
        <v>0</v>
      </c>
      <c r="D351" s="13" t="s">
        <v>2028</v>
      </c>
      <c r="E351" s="5" t="s">
        <v>2029</v>
      </c>
      <c r="F351" s="4">
        <v>46223</v>
      </c>
      <c r="G351" s="7" t="s">
        <v>2030</v>
      </c>
      <c r="H351" s="15">
        <v>46223</v>
      </c>
      <c r="I351" s="113">
        <f t="shared" si="19"/>
        <v>7</v>
      </c>
      <c r="J351" s="7" t="s">
        <v>2031</v>
      </c>
      <c r="K351" s="4">
        <v>46230</v>
      </c>
      <c r="L351" s="7" t="s">
        <v>2032</v>
      </c>
      <c r="M351" s="66">
        <v>46230</v>
      </c>
      <c r="N351" s="27">
        <f t="shared" ca="1" si="30"/>
        <v>0</v>
      </c>
      <c r="O351" s="108" t="s">
        <v>2</v>
      </c>
      <c r="P351" s="14"/>
    </row>
    <row r="352" spans="1:16" ht="51.6" customHeight="1" x14ac:dyDescent="0.3">
      <c r="A352" s="3"/>
      <c r="B352" s="19" t="s">
        <v>2033</v>
      </c>
      <c r="C352" s="63">
        <v>0</v>
      </c>
      <c r="D352" s="13" t="s">
        <v>2034</v>
      </c>
      <c r="E352" s="5" t="s">
        <v>2035</v>
      </c>
      <c r="F352" s="4">
        <v>46239</v>
      </c>
      <c r="G352" s="7" t="s">
        <v>2036</v>
      </c>
      <c r="H352" s="15">
        <v>46239</v>
      </c>
      <c r="I352" s="113">
        <f t="shared" si="19"/>
        <v>5</v>
      </c>
      <c r="J352" s="7" t="s">
        <v>2037</v>
      </c>
      <c r="K352" s="4">
        <v>46244</v>
      </c>
      <c r="L352" s="7" t="s">
        <v>2038</v>
      </c>
      <c r="M352" s="66">
        <v>46244</v>
      </c>
      <c r="N352" s="27">
        <f t="shared" ca="1" si="30"/>
        <v>0</v>
      </c>
      <c r="O352" s="108" t="s">
        <v>2</v>
      </c>
      <c r="P352" s="14"/>
    </row>
    <row r="353" spans="1:16" ht="51.6" customHeight="1" x14ac:dyDescent="0.3">
      <c r="A353" s="3"/>
      <c r="B353" s="19" t="s">
        <v>2039</v>
      </c>
      <c r="C353" s="63">
        <v>0</v>
      </c>
      <c r="D353" s="13" t="s">
        <v>2040</v>
      </c>
      <c r="E353" s="5" t="s">
        <v>2041</v>
      </c>
      <c r="F353" s="4">
        <v>46239</v>
      </c>
      <c r="G353" s="7" t="s">
        <v>2042</v>
      </c>
      <c r="H353" s="15">
        <v>46239</v>
      </c>
      <c r="I353" s="113">
        <f t="shared" si="19"/>
        <v>5</v>
      </c>
      <c r="J353" s="7" t="s">
        <v>2043</v>
      </c>
      <c r="K353" s="4">
        <v>46244</v>
      </c>
      <c r="L353" s="7" t="s">
        <v>2044</v>
      </c>
      <c r="M353" s="66">
        <v>46244</v>
      </c>
      <c r="N353" s="27">
        <f t="shared" ca="1" si="30"/>
        <v>0</v>
      </c>
      <c r="O353" s="108" t="s">
        <v>2</v>
      </c>
      <c r="P353" s="14"/>
    </row>
    <row r="354" spans="1:16" ht="51.6" customHeight="1" x14ac:dyDescent="0.3">
      <c r="A354" s="3"/>
      <c r="B354" s="19" t="s">
        <v>2045</v>
      </c>
      <c r="C354" s="63">
        <v>0</v>
      </c>
      <c r="D354" s="13" t="s">
        <v>2046</v>
      </c>
      <c r="E354" s="5" t="s">
        <v>2047</v>
      </c>
      <c r="F354" s="4">
        <v>46239</v>
      </c>
      <c r="G354" s="7" t="s">
        <v>2048</v>
      </c>
      <c r="H354" s="15">
        <v>46239</v>
      </c>
      <c r="I354" s="113">
        <f t="shared" si="19"/>
        <v>7</v>
      </c>
      <c r="J354" s="7" t="s">
        <v>2049</v>
      </c>
      <c r="K354" s="4">
        <v>46246</v>
      </c>
      <c r="L354" s="7" t="s">
        <v>2050</v>
      </c>
      <c r="M354" s="66">
        <v>46246</v>
      </c>
      <c r="N354" s="27">
        <f t="shared" ca="1" si="30"/>
        <v>0</v>
      </c>
      <c r="O354" s="108" t="s">
        <v>2</v>
      </c>
      <c r="P354" s="14"/>
    </row>
    <row r="355" spans="1:16" ht="51.6" customHeight="1" x14ac:dyDescent="0.3">
      <c r="A355" s="3"/>
      <c r="B355" s="19" t="s">
        <v>2051</v>
      </c>
      <c r="C355" s="63">
        <v>1</v>
      </c>
      <c r="D355" s="13" t="s">
        <v>2052</v>
      </c>
      <c r="E355" s="5" t="s">
        <v>2053</v>
      </c>
      <c r="F355" s="4">
        <v>46256</v>
      </c>
      <c r="G355" s="7" t="s">
        <v>2054</v>
      </c>
      <c r="H355" s="15">
        <v>46257</v>
      </c>
      <c r="I355" s="113">
        <f t="shared" si="19"/>
        <v>9</v>
      </c>
      <c r="J355" s="7" t="s">
        <v>2055</v>
      </c>
      <c r="K355" s="4">
        <v>46266</v>
      </c>
      <c r="L355" s="7" t="s">
        <v>2056</v>
      </c>
      <c r="M355" s="66">
        <v>46266</v>
      </c>
      <c r="N355" s="27">
        <f t="shared" ca="1" si="30"/>
        <v>0</v>
      </c>
      <c r="O355" s="108" t="s">
        <v>2</v>
      </c>
      <c r="P355" s="14"/>
    </row>
    <row r="356" spans="1:16" ht="51.6" customHeight="1" x14ac:dyDescent="0.3">
      <c r="A356" s="3"/>
      <c r="B356" s="19" t="s">
        <v>2057</v>
      </c>
      <c r="C356" s="63">
        <v>0</v>
      </c>
      <c r="D356" s="13" t="s">
        <v>2058</v>
      </c>
      <c r="E356" s="5" t="s">
        <v>2059</v>
      </c>
      <c r="F356" s="4">
        <v>46239</v>
      </c>
      <c r="G356" s="7" t="s">
        <v>2060</v>
      </c>
      <c r="H356" s="15">
        <v>46239</v>
      </c>
      <c r="I356" s="113">
        <f t="shared" si="19"/>
        <v>7</v>
      </c>
      <c r="J356" s="7" t="s">
        <v>2061</v>
      </c>
      <c r="K356" s="4">
        <v>46246</v>
      </c>
      <c r="L356" s="7" t="s">
        <v>2062</v>
      </c>
      <c r="M356" s="66">
        <v>46246</v>
      </c>
      <c r="N356" s="27">
        <f t="shared" ca="1" si="30"/>
        <v>0</v>
      </c>
      <c r="O356" s="108" t="s">
        <v>2</v>
      </c>
      <c r="P356" s="14"/>
    </row>
    <row r="357" spans="1:16" ht="51.6" customHeight="1" x14ac:dyDescent="0.3">
      <c r="A357" s="3"/>
      <c r="B357" s="19" t="s">
        <v>2063</v>
      </c>
      <c r="C357" s="63">
        <v>0</v>
      </c>
      <c r="D357" s="13" t="s">
        <v>2064</v>
      </c>
      <c r="E357" s="5" t="s">
        <v>2065</v>
      </c>
      <c r="F357" s="4">
        <v>46239</v>
      </c>
      <c r="G357" s="7" t="s">
        <v>2066</v>
      </c>
      <c r="H357" s="15">
        <v>46240</v>
      </c>
      <c r="I357" s="113">
        <f t="shared" si="19"/>
        <v>6</v>
      </c>
      <c r="J357" s="7" t="s">
        <v>2067</v>
      </c>
      <c r="K357" s="4">
        <v>46246</v>
      </c>
      <c r="L357" s="7" t="s">
        <v>2068</v>
      </c>
      <c r="M357" s="66">
        <v>46246</v>
      </c>
      <c r="N357" s="27">
        <f t="shared" ca="1" si="30"/>
        <v>0</v>
      </c>
      <c r="O357" s="108" t="s">
        <v>2</v>
      </c>
      <c r="P357" s="14"/>
    </row>
    <row r="358" spans="1:16" ht="51.6" customHeight="1" x14ac:dyDescent="0.3">
      <c r="A358" s="3"/>
      <c r="B358" s="19" t="s">
        <v>2069</v>
      </c>
      <c r="C358" s="63">
        <v>0</v>
      </c>
      <c r="D358" s="13" t="s">
        <v>2070</v>
      </c>
      <c r="E358" s="5" t="s">
        <v>2071</v>
      </c>
      <c r="F358" s="4">
        <v>46239</v>
      </c>
      <c r="G358" s="7" t="s">
        <v>2072</v>
      </c>
      <c r="H358" s="15">
        <v>46240</v>
      </c>
      <c r="I358" s="113">
        <f t="shared" si="19"/>
        <v>6</v>
      </c>
      <c r="J358" s="7" t="s">
        <v>2073</v>
      </c>
      <c r="K358" s="4">
        <v>46246</v>
      </c>
      <c r="L358" s="7" t="s">
        <v>2074</v>
      </c>
      <c r="M358" s="66">
        <v>46246</v>
      </c>
      <c r="N358" s="27">
        <f t="shared" ca="1" si="30"/>
        <v>0</v>
      </c>
      <c r="O358" s="108" t="s">
        <v>2</v>
      </c>
      <c r="P358" s="14"/>
    </row>
    <row r="359" spans="1:16" ht="51.6" customHeight="1" x14ac:dyDescent="0.3">
      <c r="A359" s="3"/>
      <c r="B359" s="19" t="s">
        <v>2075</v>
      </c>
      <c r="C359" s="63">
        <v>0</v>
      </c>
      <c r="D359" s="13" t="s">
        <v>2076</v>
      </c>
      <c r="E359" s="5" t="s">
        <v>2077</v>
      </c>
      <c r="F359" s="4">
        <v>46223</v>
      </c>
      <c r="G359" s="7" t="s">
        <v>2078</v>
      </c>
      <c r="H359" s="15">
        <v>46223</v>
      </c>
      <c r="I359" s="113">
        <f t="shared" ref="I359:I378" si="33">K359-H359</f>
        <v>2</v>
      </c>
      <c r="J359" s="7" t="s">
        <v>2079</v>
      </c>
      <c r="K359" s="4">
        <v>46225</v>
      </c>
      <c r="L359" s="7" t="s">
        <v>2080</v>
      </c>
      <c r="M359" s="66">
        <v>46225</v>
      </c>
      <c r="N359" s="27">
        <f t="shared" ca="1" si="30"/>
        <v>0</v>
      </c>
      <c r="O359" s="108" t="s">
        <v>2</v>
      </c>
      <c r="P359" s="14"/>
    </row>
    <row r="360" spans="1:16" ht="51.6" customHeight="1" x14ac:dyDescent="0.3">
      <c r="A360" s="3"/>
      <c r="B360" s="19" t="s">
        <v>2081</v>
      </c>
      <c r="C360" s="63">
        <v>0</v>
      </c>
      <c r="D360" s="13" t="s">
        <v>2082</v>
      </c>
      <c r="E360" s="5" t="s">
        <v>2083</v>
      </c>
      <c r="F360" s="4">
        <v>46223</v>
      </c>
      <c r="G360" s="7" t="s">
        <v>2084</v>
      </c>
      <c r="H360" s="15">
        <v>46223</v>
      </c>
      <c r="I360" s="113">
        <f t="shared" si="33"/>
        <v>2</v>
      </c>
      <c r="J360" s="7" t="s">
        <v>2085</v>
      </c>
      <c r="K360" s="4">
        <v>46225</v>
      </c>
      <c r="L360" s="7" t="s">
        <v>2086</v>
      </c>
      <c r="M360" s="66">
        <v>46225</v>
      </c>
      <c r="N360" s="27">
        <f t="shared" ref="N360" ca="1" si="34">IF(AND(M360="",TODAY()-F360&gt;7),TODAY()-F360-7,0)</f>
        <v>0</v>
      </c>
      <c r="O360" s="108" t="s">
        <v>2</v>
      </c>
      <c r="P360" s="14"/>
    </row>
    <row r="361" spans="1:16" ht="51.6" customHeight="1" x14ac:dyDescent="0.3">
      <c r="A361" s="3"/>
      <c r="B361" s="19" t="s">
        <v>2087</v>
      </c>
      <c r="C361" s="63">
        <v>0</v>
      </c>
      <c r="D361" s="13" t="s">
        <v>2088</v>
      </c>
      <c r="E361" s="5" t="s">
        <v>2089</v>
      </c>
      <c r="F361" s="4">
        <v>46223</v>
      </c>
      <c r="G361" s="7" t="s">
        <v>2090</v>
      </c>
      <c r="H361" s="15">
        <v>46223</v>
      </c>
      <c r="I361" s="113">
        <f t="shared" si="33"/>
        <v>14</v>
      </c>
      <c r="J361" s="7" t="s">
        <v>2091</v>
      </c>
      <c r="K361" s="4">
        <v>46237</v>
      </c>
      <c r="L361" s="7" t="s">
        <v>2092</v>
      </c>
      <c r="M361" s="66">
        <v>46237</v>
      </c>
      <c r="N361" s="27">
        <f t="shared" ref="N361" ca="1" si="35">IF(AND(M361="",TODAY()-F361&gt;7),TODAY()-F361-7,0)</f>
        <v>0</v>
      </c>
      <c r="O361" s="108" t="s">
        <v>2</v>
      </c>
      <c r="P361" s="14"/>
    </row>
    <row r="362" spans="1:16" ht="51.6" customHeight="1" x14ac:dyDescent="0.3">
      <c r="A362" s="3"/>
      <c r="B362" s="19" t="s">
        <v>2093</v>
      </c>
      <c r="C362" s="63">
        <v>0</v>
      </c>
      <c r="D362" s="13" t="s">
        <v>2094</v>
      </c>
      <c r="E362" s="5" t="s">
        <v>2095</v>
      </c>
      <c r="F362" s="4">
        <v>46223</v>
      </c>
      <c r="G362" s="7" t="s">
        <v>2096</v>
      </c>
      <c r="H362" s="15">
        <v>46223</v>
      </c>
      <c r="I362" s="113">
        <f t="shared" si="33"/>
        <v>2</v>
      </c>
      <c r="J362" s="7" t="s">
        <v>2097</v>
      </c>
      <c r="K362" s="4">
        <v>46225</v>
      </c>
      <c r="L362" s="7" t="s">
        <v>2098</v>
      </c>
      <c r="M362" s="66">
        <v>46225</v>
      </c>
      <c r="N362" s="27">
        <f t="shared" ref="N362" ca="1" si="36">IF(AND(M362="",TODAY()-F362&gt;7),TODAY()-F362-7,0)</f>
        <v>0</v>
      </c>
      <c r="O362" s="108" t="s">
        <v>2</v>
      </c>
      <c r="P362" s="14"/>
    </row>
    <row r="363" spans="1:16" ht="51.6" customHeight="1" x14ac:dyDescent="0.3">
      <c r="A363" s="3"/>
      <c r="B363" s="19" t="s">
        <v>2099</v>
      </c>
      <c r="C363" s="63">
        <v>0</v>
      </c>
      <c r="D363" s="13" t="s">
        <v>2100</v>
      </c>
      <c r="E363" s="5" t="s">
        <v>2101</v>
      </c>
      <c r="F363" s="4">
        <v>46223</v>
      </c>
      <c r="G363" s="7" t="s">
        <v>2102</v>
      </c>
      <c r="H363" s="15">
        <v>46223</v>
      </c>
      <c r="I363" s="113">
        <f t="shared" si="33"/>
        <v>8</v>
      </c>
      <c r="J363" s="7" t="s">
        <v>2103</v>
      </c>
      <c r="K363" s="4">
        <v>46231</v>
      </c>
      <c r="L363" s="7" t="s">
        <v>2104</v>
      </c>
      <c r="M363" s="66">
        <v>46231</v>
      </c>
      <c r="N363" s="27">
        <f t="shared" ref="N363" ca="1" si="37">IF(AND(M363="",TODAY()-F363&gt;7),TODAY()-F363-7,0)</f>
        <v>0</v>
      </c>
      <c r="O363" s="108" t="s">
        <v>2</v>
      </c>
      <c r="P363" s="14"/>
    </row>
    <row r="364" spans="1:16" ht="51.6" customHeight="1" x14ac:dyDescent="0.3">
      <c r="A364" s="3"/>
      <c r="B364" s="19" t="s">
        <v>2105</v>
      </c>
      <c r="C364" s="63">
        <v>0</v>
      </c>
      <c r="D364" s="13" t="s">
        <v>2106</v>
      </c>
      <c r="E364" s="5" t="s">
        <v>2107</v>
      </c>
      <c r="F364" s="4">
        <v>46223</v>
      </c>
      <c r="G364" s="7" t="s">
        <v>2108</v>
      </c>
      <c r="H364" s="15">
        <v>46223</v>
      </c>
      <c r="I364" s="113">
        <f t="shared" si="33"/>
        <v>8</v>
      </c>
      <c r="J364" s="7" t="s">
        <v>2109</v>
      </c>
      <c r="K364" s="4">
        <v>46231</v>
      </c>
      <c r="L364" s="7" t="s">
        <v>2110</v>
      </c>
      <c r="M364" s="66">
        <v>46231</v>
      </c>
      <c r="N364" s="27">
        <f t="shared" ref="N364" ca="1" si="38">IF(AND(M364="",TODAY()-F364&gt;7),TODAY()-F364-7,0)</f>
        <v>0</v>
      </c>
      <c r="O364" s="108" t="s">
        <v>2</v>
      </c>
      <c r="P364" s="14"/>
    </row>
    <row r="365" spans="1:16" ht="51.6" customHeight="1" x14ac:dyDescent="0.3">
      <c r="A365" s="3"/>
      <c r="B365" s="19" t="s">
        <v>2111</v>
      </c>
      <c r="C365" s="63">
        <v>0</v>
      </c>
      <c r="D365" s="13" t="s">
        <v>2112</v>
      </c>
      <c r="E365" s="5" t="s">
        <v>2113</v>
      </c>
      <c r="F365" s="4">
        <v>46223</v>
      </c>
      <c r="G365" s="7" t="s">
        <v>2114</v>
      </c>
      <c r="H365" s="15">
        <v>46223</v>
      </c>
      <c r="I365" s="113">
        <f t="shared" si="33"/>
        <v>3</v>
      </c>
      <c r="J365" s="7" t="s">
        <v>2115</v>
      </c>
      <c r="K365" s="4">
        <v>46226</v>
      </c>
      <c r="L365" s="7" t="s">
        <v>2116</v>
      </c>
      <c r="M365" s="66">
        <v>46226</v>
      </c>
      <c r="N365" s="27">
        <f t="shared" ref="N365" ca="1" si="39">IF(AND(M365="",TODAY()-F365&gt;7),TODAY()-F365-7,0)</f>
        <v>0</v>
      </c>
      <c r="O365" s="108" t="s">
        <v>2</v>
      </c>
      <c r="P365" s="14"/>
    </row>
    <row r="366" spans="1:16" ht="51.6" customHeight="1" x14ac:dyDescent="0.3">
      <c r="A366" s="3"/>
      <c r="B366" s="19" t="s">
        <v>2117</v>
      </c>
      <c r="C366" s="63">
        <v>0</v>
      </c>
      <c r="D366" s="13" t="s">
        <v>2118</v>
      </c>
      <c r="E366" s="5" t="s">
        <v>2119</v>
      </c>
      <c r="F366" s="4">
        <v>46223</v>
      </c>
      <c r="G366" s="7" t="s">
        <v>2120</v>
      </c>
      <c r="H366" s="15">
        <v>46223</v>
      </c>
      <c r="I366" s="113">
        <f t="shared" si="33"/>
        <v>2</v>
      </c>
      <c r="J366" s="7" t="s">
        <v>2121</v>
      </c>
      <c r="K366" s="4">
        <v>46225</v>
      </c>
      <c r="L366" s="7" t="s">
        <v>2122</v>
      </c>
      <c r="M366" s="66">
        <v>46225</v>
      </c>
      <c r="N366" s="27">
        <f t="shared" ref="N366" ca="1" si="40">IF(AND(M366="",TODAY()-F366&gt;7),TODAY()-F366-7,0)</f>
        <v>0</v>
      </c>
      <c r="O366" s="108" t="s">
        <v>2</v>
      </c>
      <c r="P366" s="14"/>
    </row>
    <row r="367" spans="1:16" ht="51.6" customHeight="1" x14ac:dyDescent="0.3">
      <c r="A367" s="3"/>
      <c r="B367" s="19" t="s">
        <v>2123</v>
      </c>
      <c r="C367" s="63">
        <v>0</v>
      </c>
      <c r="D367" s="13" t="s">
        <v>2124</v>
      </c>
      <c r="E367" s="5" t="s">
        <v>2125</v>
      </c>
      <c r="F367" s="4">
        <v>46223</v>
      </c>
      <c r="G367" s="7" t="s">
        <v>2126</v>
      </c>
      <c r="H367" s="15">
        <v>46223</v>
      </c>
      <c r="I367" s="113">
        <f t="shared" si="33"/>
        <v>10</v>
      </c>
      <c r="J367" s="7" t="s">
        <v>2127</v>
      </c>
      <c r="K367" s="4">
        <v>46233</v>
      </c>
      <c r="L367" s="7" t="s">
        <v>2128</v>
      </c>
      <c r="M367" s="66">
        <v>46233</v>
      </c>
      <c r="N367" s="27">
        <f t="shared" ref="N367" ca="1" si="41">IF(AND(M367="",TODAY()-F367&gt;7),TODAY()-F367-7,0)</f>
        <v>0</v>
      </c>
      <c r="O367" s="108" t="s">
        <v>2</v>
      </c>
      <c r="P367" s="14" t="s">
        <v>1713</v>
      </c>
    </row>
    <row r="368" spans="1:16" ht="51.6" customHeight="1" x14ac:dyDescent="0.3">
      <c r="A368" s="3"/>
      <c r="B368" s="19" t="s">
        <v>2129</v>
      </c>
      <c r="C368" s="63">
        <v>0</v>
      </c>
      <c r="D368" s="13" t="s">
        <v>2130</v>
      </c>
      <c r="E368" s="5" t="s">
        <v>2131</v>
      </c>
      <c r="F368" s="4">
        <v>46223</v>
      </c>
      <c r="G368" s="7" t="s">
        <v>2132</v>
      </c>
      <c r="H368" s="15">
        <v>46223</v>
      </c>
      <c r="I368" s="113">
        <f t="shared" si="33"/>
        <v>3</v>
      </c>
      <c r="J368" s="7" t="s">
        <v>2133</v>
      </c>
      <c r="K368" s="4">
        <v>46226</v>
      </c>
      <c r="L368" s="7" t="s">
        <v>2134</v>
      </c>
      <c r="M368" s="66">
        <v>46226</v>
      </c>
      <c r="N368" s="27">
        <f t="shared" ref="N368" ca="1" si="42">IF(AND(M368="",TODAY()-F368&gt;7),TODAY()-F368-7,0)</f>
        <v>0</v>
      </c>
      <c r="O368" s="108" t="s">
        <v>2</v>
      </c>
      <c r="P368" s="14"/>
    </row>
    <row r="369" spans="1:16" ht="51.6" customHeight="1" x14ac:dyDescent="0.3">
      <c r="A369" s="3"/>
      <c r="B369" s="19" t="s">
        <v>2135</v>
      </c>
      <c r="C369" s="63">
        <v>0</v>
      </c>
      <c r="D369" s="13" t="s">
        <v>2136</v>
      </c>
      <c r="E369" s="5" t="s">
        <v>2137</v>
      </c>
      <c r="F369" s="4">
        <v>46223</v>
      </c>
      <c r="G369" s="7" t="s">
        <v>2138</v>
      </c>
      <c r="H369" s="15">
        <v>46223</v>
      </c>
      <c r="I369" s="113">
        <f t="shared" si="33"/>
        <v>8</v>
      </c>
      <c r="J369" s="7" t="s">
        <v>2139</v>
      </c>
      <c r="K369" s="4">
        <v>46231</v>
      </c>
      <c r="L369" s="7" t="s">
        <v>2140</v>
      </c>
      <c r="M369" s="66">
        <v>46231</v>
      </c>
      <c r="N369" s="27">
        <f t="shared" ref="N369" ca="1" si="43">IF(AND(M369="",TODAY()-F369&gt;7),TODAY()-F369-7,0)</f>
        <v>0</v>
      </c>
      <c r="O369" s="108" t="s">
        <v>2</v>
      </c>
      <c r="P369" s="14"/>
    </row>
    <row r="370" spans="1:16" ht="51.6" customHeight="1" x14ac:dyDescent="0.3">
      <c r="A370" s="3"/>
      <c r="B370" s="19" t="s">
        <v>2141</v>
      </c>
      <c r="C370" s="63">
        <v>0</v>
      </c>
      <c r="D370" s="13" t="s">
        <v>2142</v>
      </c>
      <c r="E370" s="5" t="s">
        <v>2143</v>
      </c>
      <c r="F370" s="4">
        <v>46223</v>
      </c>
      <c r="G370" s="7" t="s">
        <v>2144</v>
      </c>
      <c r="H370" s="15">
        <v>46224</v>
      </c>
      <c r="I370" s="113">
        <f t="shared" si="33"/>
        <v>7</v>
      </c>
      <c r="J370" s="7" t="s">
        <v>2145</v>
      </c>
      <c r="K370" s="4">
        <v>46231</v>
      </c>
      <c r="L370" s="7" t="s">
        <v>2146</v>
      </c>
      <c r="M370" s="66">
        <v>46231</v>
      </c>
      <c r="N370" s="27">
        <f t="shared" ref="N370:N381" ca="1" si="44">IF(AND(M370="",TODAY()-F370&gt;7),TODAY()-F370-7,0)</f>
        <v>0</v>
      </c>
      <c r="O370" s="108" t="s">
        <v>2</v>
      </c>
      <c r="P370" s="14"/>
    </row>
    <row r="371" spans="1:16" ht="51.6" customHeight="1" x14ac:dyDescent="0.3">
      <c r="A371" s="3"/>
      <c r="B371" s="19" t="s">
        <v>2147</v>
      </c>
      <c r="C371" s="63">
        <v>0</v>
      </c>
      <c r="D371" s="13" t="s">
        <v>2148</v>
      </c>
      <c r="E371" s="5" t="s">
        <v>2149</v>
      </c>
      <c r="F371" s="4">
        <v>46224</v>
      </c>
      <c r="G371" s="7" t="s">
        <v>2150</v>
      </c>
      <c r="H371" s="15">
        <v>46224</v>
      </c>
      <c r="I371" s="113">
        <f t="shared" si="33"/>
        <v>13</v>
      </c>
      <c r="J371" s="7" t="s">
        <v>2151</v>
      </c>
      <c r="K371" s="4">
        <v>46237</v>
      </c>
      <c r="L371" s="7" t="s">
        <v>2152</v>
      </c>
      <c r="M371" s="66">
        <v>46237</v>
      </c>
      <c r="N371" s="27">
        <f t="shared" ca="1" si="44"/>
        <v>0</v>
      </c>
      <c r="O371" s="108" t="s">
        <v>2</v>
      </c>
      <c r="P371" s="14"/>
    </row>
    <row r="372" spans="1:16" ht="51.6" customHeight="1" x14ac:dyDescent="0.3">
      <c r="A372" s="3"/>
      <c r="B372" s="19" t="s">
        <v>2153</v>
      </c>
      <c r="C372" s="63">
        <v>0</v>
      </c>
      <c r="D372" s="13" t="s">
        <v>2154</v>
      </c>
      <c r="E372" s="5" t="s">
        <v>2155</v>
      </c>
      <c r="F372" s="4">
        <v>46241</v>
      </c>
      <c r="G372" s="7" t="s">
        <v>2156</v>
      </c>
      <c r="H372" s="15">
        <v>46243</v>
      </c>
      <c r="I372" s="113">
        <f t="shared" si="33"/>
        <v>10</v>
      </c>
      <c r="J372" s="7" t="s">
        <v>2157</v>
      </c>
      <c r="K372" s="4">
        <v>46253</v>
      </c>
      <c r="L372" s="7" t="s">
        <v>2158</v>
      </c>
      <c r="M372" s="66">
        <v>46253</v>
      </c>
      <c r="N372" s="27">
        <f t="shared" ca="1" si="44"/>
        <v>0</v>
      </c>
      <c r="O372" s="108" t="s">
        <v>2</v>
      </c>
      <c r="P372" s="14"/>
    </row>
    <row r="373" spans="1:16" ht="51.6" customHeight="1" x14ac:dyDescent="0.3">
      <c r="A373" s="3"/>
      <c r="B373" s="19" t="s">
        <v>2159</v>
      </c>
      <c r="C373" s="63">
        <v>0</v>
      </c>
      <c r="D373" s="13" t="s">
        <v>2160</v>
      </c>
      <c r="E373" s="5" t="s">
        <v>2161</v>
      </c>
      <c r="F373" s="4">
        <v>46241</v>
      </c>
      <c r="G373" s="7" t="s">
        <v>2162</v>
      </c>
      <c r="H373" s="15">
        <v>46243</v>
      </c>
      <c r="I373" s="113">
        <f>K373-H373</f>
        <v>10</v>
      </c>
      <c r="J373" s="7" t="s">
        <v>2163</v>
      </c>
      <c r="K373" s="4">
        <v>46253</v>
      </c>
      <c r="L373" s="7" t="s">
        <v>2164</v>
      </c>
      <c r="M373" s="66">
        <v>46253</v>
      </c>
      <c r="N373" s="27">
        <f ca="1">IF(AND(M373="",TODAY()-F373&gt;7),TODAY()-F373-7,0)</f>
        <v>0</v>
      </c>
      <c r="O373" s="108" t="s">
        <v>2</v>
      </c>
      <c r="P373" s="14"/>
    </row>
    <row r="374" spans="1:16" ht="51.6" customHeight="1" x14ac:dyDescent="0.3">
      <c r="A374" s="3"/>
      <c r="B374" s="19" t="s">
        <v>2165</v>
      </c>
      <c r="C374" s="63">
        <v>0</v>
      </c>
      <c r="D374" s="13" t="s">
        <v>2166</v>
      </c>
      <c r="E374" s="5" t="s">
        <v>2167</v>
      </c>
      <c r="F374" s="4">
        <v>46253</v>
      </c>
      <c r="G374" s="7" t="s">
        <v>2168</v>
      </c>
      <c r="H374" s="15">
        <v>46253</v>
      </c>
      <c r="I374" s="113">
        <f t="shared" ref="I374" si="45">K374-H374</f>
        <v>8</v>
      </c>
      <c r="J374" s="7" t="s">
        <v>2169</v>
      </c>
      <c r="K374" s="4">
        <v>46261</v>
      </c>
      <c r="L374" s="7" t="s">
        <v>2170</v>
      </c>
      <c r="M374" s="66">
        <v>46264</v>
      </c>
      <c r="N374" s="74">
        <f t="shared" ref="N374" ca="1" si="46">IF(AND(M374="",TODAY()-F374&gt;7),TODAY()-F374-7,0)</f>
        <v>0</v>
      </c>
      <c r="O374" s="108" t="s">
        <v>2</v>
      </c>
      <c r="P374" s="14"/>
    </row>
    <row r="375" spans="1:16" ht="51.6" customHeight="1" x14ac:dyDescent="0.3">
      <c r="A375" s="3"/>
      <c r="B375" s="19" t="s">
        <v>2171</v>
      </c>
      <c r="C375" s="63">
        <v>0</v>
      </c>
      <c r="D375" s="13" t="s">
        <v>2172</v>
      </c>
      <c r="E375" s="5" t="s">
        <v>2173</v>
      </c>
      <c r="F375" s="4">
        <v>46241</v>
      </c>
      <c r="G375" s="7" t="s">
        <v>2174</v>
      </c>
      <c r="H375" s="15">
        <v>46243</v>
      </c>
      <c r="I375" s="113">
        <f>K375-H375</f>
        <v>10</v>
      </c>
      <c r="J375" s="7" t="s">
        <v>2175</v>
      </c>
      <c r="K375" s="4">
        <v>46253</v>
      </c>
      <c r="L375" s="7" t="s">
        <v>2176</v>
      </c>
      <c r="M375" s="66">
        <v>46253</v>
      </c>
      <c r="N375" s="27">
        <f ca="1">IF(AND(M375="",TODAY()-F375&gt;7),TODAY()-F375-7,0)</f>
        <v>0</v>
      </c>
      <c r="O375" s="10" t="s">
        <v>2</v>
      </c>
      <c r="P375" s="14"/>
    </row>
    <row r="376" spans="1:16" ht="51.6" customHeight="1" x14ac:dyDescent="0.3">
      <c r="A376" s="3"/>
      <c r="B376" s="19" t="s">
        <v>2177</v>
      </c>
      <c r="C376" s="63">
        <v>0</v>
      </c>
      <c r="D376" s="13" t="s">
        <v>2178</v>
      </c>
      <c r="E376" s="5" t="s">
        <v>2179</v>
      </c>
      <c r="F376" s="4">
        <v>46226</v>
      </c>
      <c r="G376" s="7" t="s">
        <v>2180</v>
      </c>
      <c r="H376" s="15">
        <v>46229</v>
      </c>
      <c r="I376" s="113">
        <f t="shared" si="33"/>
        <v>8</v>
      </c>
      <c r="J376" s="7" t="s">
        <v>2181</v>
      </c>
      <c r="K376" s="4">
        <v>46237</v>
      </c>
      <c r="L376" s="7" t="s">
        <v>2182</v>
      </c>
      <c r="M376" s="66">
        <v>46237</v>
      </c>
      <c r="N376" s="27">
        <f t="shared" ca="1" si="44"/>
        <v>0</v>
      </c>
      <c r="O376" s="108" t="s">
        <v>2</v>
      </c>
      <c r="P376" s="14"/>
    </row>
    <row r="377" spans="1:16" ht="51.6" customHeight="1" x14ac:dyDescent="0.3">
      <c r="A377" s="3"/>
      <c r="B377" s="19" t="s">
        <v>2183</v>
      </c>
      <c r="C377" s="63">
        <v>0</v>
      </c>
      <c r="D377" s="13" t="s">
        <v>2184</v>
      </c>
      <c r="E377" s="5" t="s">
        <v>2185</v>
      </c>
      <c r="F377" s="4">
        <v>46226</v>
      </c>
      <c r="G377" s="7" t="s">
        <v>2186</v>
      </c>
      <c r="H377" s="15">
        <v>46229</v>
      </c>
      <c r="I377" s="113">
        <f t="shared" si="33"/>
        <v>8</v>
      </c>
      <c r="J377" s="7" t="s">
        <v>2187</v>
      </c>
      <c r="K377" s="4">
        <v>46237</v>
      </c>
      <c r="L377" s="7" t="s">
        <v>2188</v>
      </c>
      <c r="M377" s="66">
        <v>46237</v>
      </c>
      <c r="N377" s="27">
        <f t="shared" ca="1" si="44"/>
        <v>0</v>
      </c>
      <c r="O377" s="108" t="s">
        <v>2</v>
      </c>
      <c r="P377" s="14"/>
    </row>
    <row r="378" spans="1:16" ht="51.6" customHeight="1" x14ac:dyDescent="0.3">
      <c r="A378" s="3"/>
      <c r="B378" s="19" t="s">
        <v>2189</v>
      </c>
      <c r="C378" s="63">
        <v>0</v>
      </c>
      <c r="D378" s="13" t="s">
        <v>2190</v>
      </c>
      <c r="E378" s="5" t="s">
        <v>2191</v>
      </c>
      <c r="F378" s="4">
        <v>46227</v>
      </c>
      <c r="G378" s="7" t="s">
        <v>2192</v>
      </c>
      <c r="H378" s="15">
        <v>46229</v>
      </c>
      <c r="I378" s="113">
        <f t="shared" si="33"/>
        <v>8</v>
      </c>
      <c r="J378" s="7" t="s">
        <v>2193</v>
      </c>
      <c r="K378" s="4">
        <v>46237</v>
      </c>
      <c r="L378" s="7" t="s">
        <v>2194</v>
      </c>
      <c r="M378" s="66">
        <v>46237</v>
      </c>
      <c r="N378" s="27">
        <f t="shared" ca="1" si="44"/>
        <v>0</v>
      </c>
      <c r="O378" s="108" t="s">
        <v>2</v>
      </c>
      <c r="P378" s="14"/>
    </row>
    <row r="379" spans="1:16" ht="51.6" customHeight="1" x14ac:dyDescent="0.3">
      <c r="A379" s="3"/>
      <c r="B379" s="19" t="s">
        <v>2195</v>
      </c>
      <c r="C379" s="63">
        <v>0</v>
      </c>
      <c r="D379" s="13" t="s">
        <v>2196</v>
      </c>
      <c r="E379" s="5" t="s">
        <v>2197</v>
      </c>
      <c r="F379" s="4">
        <v>46226</v>
      </c>
      <c r="G379" s="7" t="s">
        <v>2198</v>
      </c>
      <c r="H379" s="15">
        <v>46229</v>
      </c>
      <c r="I379" s="113">
        <f t="shared" ref="I379:I450" si="47">K379-H379</f>
        <v>8</v>
      </c>
      <c r="J379" s="7" t="s">
        <v>2199</v>
      </c>
      <c r="K379" s="4">
        <v>46237</v>
      </c>
      <c r="L379" s="7" t="s">
        <v>2200</v>
      </c>
      <c r="M379" s="66">
        <v>46237</v>
      </c>
      <c r="N379" s="27">
        <f t="shared" ca="1" si="44"/>
        <v>0</v>
      </c>
      <c r="O379" s="108" t="s">
        <v>2</v>
      </c>
      <c r="P379" s="14"/>
    </row>
    <row r="380" spans="1:16" ht="51.6" customHeight="1" x14ac:dyDescent="0.3">
      <c r="A380" s="3"/>
      <c r="B380" s="19" t="s">
        <v>2201</v>
      </c>
      <c r="C380" s="63">
        <v>0</v>
      </c>
      <c r="D380" s="13" t="s">
        <v>2202</v>
      </c>
      <c r="E380" s="5" t="s">
        <v>2203</v>
      </c>
      <c r="F380" s="4">
        <v>46226</v>
      </c>
      <c r="G380" s="7" t="s">
        <v>2204</v>
      </c>
      <c r="H380" s="15">
        <v>46229</v>
      </c>
      <c r="I380" s="113">
        <f t="shared" si="47"/>
        <v>8</v>
      </c>
      <c r="J380" s="7" t="s">
        <v>2205</v>
      </c>
      <c r="K380" s="4">
        <v>46237</v>
      </c>
      <c r="L380" s="7" t="s">
        <v>2206</v>
      </c>
      <c r="M380" s="66">
        <v>46237</v>
      </c>
      <c r="N380" s="27">
        <f t="shared" ca="1" si="44"/>
        <v>0</v>
      </c>
      <c r="O380" s="108" t="s">
        <v>2</v>
      </c>
      <c r="P380" s="14"/>
    </row>
    <row r="381" spans="1:16" ht="51.6" customHeight="1" x14ac:dyDescent="0.3">
      <c r="A381" s="3"/>
      <c r="B381" s="19" t="s">
        <v>2207</v>
      </c>
      <c r="C381" s="63">
        <v>0</v>
      </c>
      <c r="D381" s="13" t="s">
        <v>2208</v>
      </c>
      <c r="E381" s="5" t="s">
        <v>2209</v>
      </c>
      <c r="F381" s="4">
        <v>46227</v>
      </c>
      <c r="G381" s="7" t="s">
        <v>2210</v>
      </c>
      <c r="H381" s="15">
        <v>46229</v>
      </c>
      <c r="I381" s="113">
        <f t="shared" si="47"/>
        <v>8</v>
      </c>
      <c r="J381" s="7" t="s">
        <v>2211</v>
      </c>
      <c r="K381" s="4">
        <v>46237</v>
      </c>
      <c r="L381" s="7" t="s">
        <v>2212</v>
      </c>
      <c r="M381" s="66">
        <v>46237</v>
      </c>
      <c r="N381" s="27">
        <f t="shared" ca="1" si="44"/>
        <v>0</v>
      </c>
      <c r="O381" s="108" t="s">
        <v>2</v>
      </c>
      <c r="P381" s="14"/>
    </row>
    <row r="382" spans="1:16" ht="51.6" customHeight="1" x14ac:dyDescent="0.3">
      <c r="A382" s="3"/>
      <c r="B382" s="19" t="s">
        <v>2213</v>
      </c>
      <c r="C382" s="63">
        <v>0</v>
      </c>
      <c r="D382" s="13" t="s">
        <v>2214</v>
      </c>
      <c r="E382" s="5" t="s">
        <v>2215</v>
      </c>
      <c r="F382" s="4">
        <v>46227</v>
      </c>
      <c r="G382" s="7" t="s">
        <v>2216</v>
      </c>
      <c r="H382" s="15">
        <v>46229</v>
      </c>
      <c r="I382" s="113">
        <f t="shared" si="47"/>
        <v>8</v>
      </c>
      <c r="J382" s="7" t="s">
        <v>2217</v>
      </c>
      <c r="K382" s="15">
        <v>46237</v>
      </c>
      <c r="L382" s="7" t="s">
        <v>2218</v>
      </c>
      <c r="M382" s="66">
        <v>46237</v>
      </c>
      <c r="N382" s="27">
        <f t="shared" ref="N382:N393" ca="1" si="48">IF(AND(M382="",TODAY()-F382&gt;7),TODAY()-F382-7,0)</f>
        <v>0</v>
      </c>
      <c r="O382" s="108" t="s">
        <v>2</v>
      </c>
      <c r="P382" s="14"/>
    </row>
    <row r="383" spans="1:16" ht="51.6" customHeight="1" x14ac:dyDescent="0.3">
      <c r="A383" s="3"/>
      <c r="B383" s="19" t="s">
        <v>2219</v>
      </c>
      <c r="C383" s="63">
        <v>0</v>
      </c>
      <c r="D383" s="13" t="s">
        <v>2220</v>
      </c>
      <c r="E383" s="5" t="s">
        <v>2221</v>
      </c>
      <c r="F383" s="4">
        <v>46229</v>
      </c>
      <c r="G383" s="7" t="s">
        <v>2222</v>
      </c>
      <c r="H383" s="4">
        <v>46229</v>
      </c>
      <c r="I383" s="113">
        <f t="shared" si="47"/>
        <v>8</v>
      </c>
      <c r="J383" s="7" t="s">
        <v>2223</v>
      </c>
      <c r="K383" s="4">
        <v>46237</v>
      </c>
      <c r="L383" s="7" t="s">
        <v>2224</v>
      </c>
      <c r="M383" s="66">
        <v>46237</v>
      </c>
      <c r="N383" s="27">
        <f t="shared" ca="1" si="48"/>
        <v>0</v>
      </c>
      <c r="O383" s="108" t="s">
        <v>2</v>
      </c>
      <c r="P383" s="14"/>
    </row>
    <row r="384" spans="1:16" ht="51.6" customHeight="1" x14ac:dyDescent="0.3">
      <c r="A384" s="3"/>
      <c r="B384" s="19" t="s">
        <v>2225</v>
      </c>
      <c r="C384" s="63">
        <v>0</v>
      </c>
      <c r="D384" s="13" t="s">
        <v>2226</v>
      </c>
      <c r="E384" s="5" t="s">
        <v>2227</v>
      </c>
      <c r="F384" s="15">
        <v>46241</v>
      </c>
      <c r="G384" s="7" t="s">
        <v>2228</v>
      </c>
      <c r="H384" s="15">
        <v>46243</v>
      </c>
      <c r="I384" s="113">
        <f t="shared" si="47"/>
        <v>14</v>
      </c>
      <c r="J384" s="7" t="s">
        <v>2229</v>
      </c>
      <c r="K384" s="4">
        <v>46257</v>
      </c>
      <c r="L384" s="7" t="s">
        <v>2230</v>
      </c>
      <c r="M384" s="66">
        <v>46257</v>
      </c>
      <c r="N384" s="74">
        <f t="shared" ca="1" si="48"/>
        <v>0</v>
      </c>
      <c r="O384" s="10" t="s">
        <v>2</v>
      </c>
      <c r="P384" s="14"/>
    </row>
    <row r="385" spans="1:16" ht="51.6" customHeight="1" x14ac:dyDescent="0.3">
      <c r="A385" s="3"/>
      <c r="B385" s="19" t="s">
        <v>2231</v>
      </c>
      <c r="C385" s="63">
        <v>1</v>
      </c>
      <c r="D385" s="13" t="s">
        <v>2232</v>
      </c>
      <c r="E385" s="5" t="s">
        <v>2233</v>
      </c>
      <c r="F385" s="15">
        <v>46286</v>
      </c>
      <c r="G385" s="7" t="s">
        <v>2234</v>
      </c>
      <c r="H385" s="15">
        <v>46287</v>
      </c>
      <c r="I385" s="113">
        <f t="shared" si="47"/>
        <v>0</v>
      </c>
      <c r="J385" s="7" t="s">
        <v>2235</v>
      </c>
      <c r="K385" s="4">
        <v>46287</v>
      </c>
      <c r="L385" s="7"/>
      <c r="M385" s="66"/>
      <c r="N385" s="27">
        <f t="shared" ca="1" si="48"/>
        <v>13</v>
      </c>
      <c r="O385" s="121" t="s">
        <v>7</v>
      </c>
      <c r="P385" s="14"/>
    </row>
    <row r="386" spans="1:16" ht="51.6" customHeight="1" x14ac:dyDescent="0.3">
      <c r="A386" s="3"/>
      <c r="B386" s="19" t="s">
        <v>2236</v>
      </c>
      <c r="C386" s="63">
        <v>0</v>
      </c>
      <c r="D386" s="13" t="s">
        <v>2237</v>
      </c>
      <c r="E386" s="5" t="s">
        <v>2238</v>
      </c>
      <c r="F386" s="15">
        <v>46241</v>
      </c>
      <c r="G386" s="7" t="s">
        <v>2239</v>
      </c>
      <c r="H386" s="15">
        <v>46243</v>
      </c>
      <c r="I386" s="113">
        <f t="shared" si="47"/>
        <v>11</v>
      </c>
      <c r="J386" s="7" t="s">
        <v>2240</v>
      </c>
      <c r="K386" s="4">
        <v>46254</v>
      </c>
      <c r="L386" s="7" t="s">
        <v>2241</v>
      </c>
      <c r="M386" s="66">
        <v>46254</v>
      </c>
      <c r="N386" s="74">
        <f t="shared" ca="1" si="48"/>
        <v>0</v>
      </c>
      <c r="O386" s="108" t="s">
        <v>2</v>
      </c>
      <c r="P386" s="14"/>
    </row>
    <row r="387" spans="1:16" ht="51.6" customHeight="1" x14ac:dyDescent="0.3">
      <c r="A387" s="3"/>
      <c r="B387" s="19" t="s">
        <v>2242</v>
      </c>
      <c r="C387" s="63">
        <v>0</v>
      </c>
      <c r="D387" s="13" t="s">
        <v>2243</v>
      </c>
      <c r="E387" s="5" t="s">
        <v>2244</v>
      </c>
      <c r="F387" s="15">
        <v>46250</v>
      </c>
      <c r="G387" s="7" t="s">
        <v>2245</v>
      </c>
      <c r="H387" s="15">
        <v>46250</v>
      </c>
      <c r="I387" s="113">
        <f t="shared" si="47"/>
        <v>11</v>
      </c>
      <c r="J387" s="7" t="s">
        <v>2246</v>
      </c>
      <c r="K387" s="4">
        <v>46261</v>
      </c>
      <c r="L387" s="7" t="s">
        <v>2247</v>
      </c>
      <c r="M387" s="66">
        <v>46264</v>
      </c>
      <c r="N387" s="74">
        <f t="shared" ca="1" si="48"/>
        <v>0</v>
      </c>
      <c r="O387" s="108" t="s">
        <v>2</v>
      </c>
      <c r="P387" s="14"/>
    </row>
    <row r="388" spans="1:16" ht="51.6" customHeight="1" x14ac:dyDescent="0.3">
      <c r="A388" s="3"/>
      <c r="B388" s="19" t="s">
        <v>2248</v>
      </c>
      <c r="C388" s="63">
        <v>0</v>
      </c>
      <c r="D388" s="13" t="s">
        <v>2249</v>
      </c>
      <c r="E388" s="5" t="s">
        <v>2250</v>
      </c>
      <c r="F388" s="15">
        <v>46241</v>
      </c>
      <c r="G388" s="7" t="s">
        <v>2251</v>
      </c>
      <c r="H388" s="15">
        <v>46243</v>
      </c>
      <c r="I388" s="113">
        <f t="shared" si="47"/>
        <v>11</v>
      </c>
      <c r="J388" s="7" t="s">
        <v>2252</v>
      </c>
      <c r="K388" s="4">
        <v>46254</v>
      </c>
      <c r="L388" s="7" t="s">
        <v>2253</v>
      </c>
      <c r="M388" s="66">
        <v>46254</v>
      </c>
      <c r="N388" s="74">
        <f t="shared" ca="1" si="48"/>
        <v>0</v>
      </c>
      <c r="O388" s="10" t="s">
        <v>2</v>
      </c>
      <c r="P388" s="14"/>
    </row>
    <row r="389" spans="1:16" ht="51.6" customHeight="1" x14ac:dyDescent="0.3">
      <c r="A389" s="3"/>
      <c r="B389" s="19" t="s">
        <v>2254</v>
      </c>
      <c r="C389" s="63">
        <v>0</v>
      </c>
      <c r="D389" s="13" t="s">
        <v>2255</v>
      </c>
      <c r="E389" s="5" t="s">
        <v>2256</v>
      </c>
      <c r="F389" s="15">
        <v>46241</v>
      </c>
      <c r="G389" s="7" t="s">
        <v>2257</v>
      </c>
      <c r="H389" s="15">
        <v>46243</v>
      </c>
      <c r="I389" s="113">
        <f t="shared" si="47"/>
        <v>11</v>
      </c>
      <c r="J389" s="7" t="s">
        <v>2258</v>
      </c>
      <c r="K389" s="4">
        <v>46254</v>
      </c>
      <c r="L389" s="7" t="s">
        <v>2259</v>
      </c>
      <c r="M389" s="66">
        <v>46254</v>
      </c>
      <c r="N389" s="74">
        <f t="shared" ca="1" si="48"/>
        <v>0</v>
      </c>
      <c r="O389" s="10" t="s">
        <v>2</v>
      </c>
      <c r="P389" s="14"/>
    </row>
    <row r="390" spans="1:16" ht="51.6" customHeight="1" x14ac:dyDescent="0.3">
      <c r="A390" s="3"/>
      <c r="B390" s="19" t="s">
        <v>3384</v>
      </c>
      <c r="C390" s="63">
        <v>1</v>
      </c>
      <c r="D390" s="13" t="s">
        <v>3338</v>
      </c>
      <c r="E390" s="5" t="s">
        <v>3339</v>
      </c>
      <c r="F390" s="15">
        <v>46296</v>
      </c>
      <c r="G390" s="7" t="s">
        <v>3340</v>
      </c>
      <c r="H390" s="15">
        <v>46299</v>
      </c>
      <c r="I390" s="113">
        <f t="shared" si="47"/>
        <v>-46299</v>
      </c>
      <c r="J390" s="7"/>
      <c r="K390" s="4"/>
      <c r="L390" s="7"/>
      <c r="M390" s="66"/>
      <c r="N390" s="74">
        <f t="shared" ca="1" si="48"/>
        <v>3</v>
      </c>
      <c r="O390" s="121" t="s">
        <v>7</v>
      </c>
      <c r="P390" s="14"/>
    </row>
    <row r="391" spans="1:16" ht="51.6" customHeight="1" x14ac:dyDescent="0.3">
      <c r="A391" s="3"/>
      <c r="B391" s="19" t="s">
        <v>2260</v>
      </c>
      <c r="C391" s="63">
        <v>0</v>
      </c>
      <c r="D391" s="13" t="s">
        <v>2261</v>
      </c>
      <c r="E391" s="5" t="s">
        <v>2262</v>
      </c>
      <c r="F391" s="4">
        <v>46231</v>
      </c>
      <c r="G391" s="7" t="s">
        <v>2263</v>
      </c>
      <c r="H391" s="15">
        <v>46232</v>
      </c>
      <c r="I391" s="113">
        <f t="shared" si="47"/>
        <v>6</v>
      </c>
      <c r="J391" s="7" t="s">
        <v>2264</v>
      </c>
      <c r="K391" s="4">
        <v>46238</v>
      </c>
      <c r="L391" s="7" t="s">
        <v>2265</v>
      </c>
      <c r="M391" s="66">
        <v>46238</v>
      </c>
      <c r="N391" s="27">
        <f t="shared" ca="1" si="48"/>
        <v>0</v>
      </c>
      <c r="O391" s="108" t="s">
        <v>2</v>
      </c>
      <c r="P391" s="14"/>
    </row>
    <row r="392" spans="1:16" ht="51.6" customHeight="1" x14ac:dyDescent="0.3">
      <c r="A392" s="3"/>
      <c r="B392" s="19" t="s">
        <v>2266</v>
      </c>
      <c r="C392" s="63">
        <v>1</v>
      </c>
      <c r="D392" s="13" t="s">
        <v>2267</v>
      </c>
      <c r="E392" s="5" t="s">
        <v>2268</v>
      </c>
      <c r="F392" s="4">
        <v>46250</v>
      </c>
      <c r="G392" s="7" t="s">
        <v>2269</v>
      </c>
      <c r="H392" s="15">
        <v>46250</v>
      </c>
      <c r="I392" s="113">
        <f t="shared" si="47"/>
        <v>11</v>
      </c>
      <c r="J392" s="7" t="s">
        <v>2270</v>
      </c>
      <c r="K392" s="4">
        <v>46261</v>
      </c>
      <c r="L392" s="7" t="s">
        <v>2271</v>
      </c>
      <c r="M392" s="66">
        <v>46264</v>
      </c>
      <c r="N392" s="74">
        <f t="shared" ca="1" si="48"/>
        <v>0</v>
      </c>
      <c r="O392" s="108" t="s">
        <v>2</v>
      </c>
      <c r="P392" s="14"/>
    </row>
    <row r="393" spans="1:16" ht="51.6" customHeight="1" x14ac:dyDescent="0.3">
      <c r="A393" s="3"/>
      <c r="B393" s="19" t="s">
        <v>2272</v>
      </c>
      <c r="C393" s="63">
        <v>0</v>
      </c>
      <c r="D393" s="13" t="s">
        <v>2273</v>
      </c>
      <c r="E393" s="5" t="s">
        <v>2274</v>
      </c>
      <c r="F393" s="4">
        <v>46231</v>
      </c>
      <c r="G393" s="7" t="s">
        <v>2275</v>
      </c>
      <c r="H393" s="15">
        <v>46232</v>
      </c>
      <c r="I393" s="113">
        <f t="shared" si="47"/>
        <v>6</v>
      </c>
      <c r="J393" s="7" t="s">
        <v>2276</v>
      </c>
      <c r="K393" s="4">
        <v>46238</v>
      </c>
      <c r="L393" s="7" t="s">
        <v>2277</v>
      </c>
      <c r="M393" s="66">
        <v>46238</v>
      </c>
      <c r="N393" s="27">
        <f t="shared" ca="1" si="48"/>
        <v>0</v>
      </c>
      <c r="O393" s="108" t="s">
        <v>2</v>
      </c>
      <c r="P393" s="14"/>
    </row>
    <row r="394" spans="1:16" ht="51.6" customHeight="1" x14ac:dyDescent="0.3">
      <c r="A394" s="3"/>
      <c r="B394" s="19" t="s">
        <v>2278</v>
      </c>
      <c r="C394" s="63">
        <v>0</v>
      </c>
      <c r="D394" s="13" t="s">
        <v>2279</v>
      </c>
      <c r="E394" s="5" t="s">
        <v>2280</v>
      </c>
      <c r="F394" s="4">
        <v>46231</v>
      </c>
      <c r="G394" s="7" t="s">
        <v>2281</v>
      </c>
      <c r="H394" s="15">
        <v>46232</v>
      </c>
      <c r="I394" s="113">
        <f t="shared" si="47"/>
        <v>6</v>
      </c>
      <c r="J394" s="7" t="s">
        <v>2282</v>
      </c>
      <c r="K394" s="4">
        <v>46238</v>
      </c>
      <c r="L394" s="7" t="s">
        <v>2283</v>
      </c>
      <c r="M394" s="66">
        <v>46238</v>
      </c>
      <c r="N394" s="27">
        <f t="shared" ref="N394:N401" ca="1" si="49">IF(AND(M394="",TODAY()-F394&gt;7),TODAY()-F394-7,0)</f>
        <v>0</v>
      </c>
      <c r="O394" s="108" t="s">
        <v>2</v>
      </c>
      <c r="P394" s="14"/>
    </row>
    <row r="395" spans="1:16" ht="51.6" customHeight="1" x14ac:dyDescent="0.3">
      <c r="A395" s="3"/>
      <c r="B395" s="19" t="s">
        <v>2284</v>
      </c>
      <c r="C395" s="63">
        <v>0</v>
      </c>
      <c r="D395" s="13" t="s">
        <v>2285</v>
      </c>
      <c r="E395" s="5" t="s">
        <v>2286</v>
      </c>
      <c r="F395" s="4">
        <v>46232</v>
      </c>
      <c r="G395" s="7" t="s">
        <v>2287</v>
      </c>
      <c r="H395" s="15">
        <v>46232</v>
      </c>
      <c r="I395" s="113">
        <f t="shared" si="47"/>
        <v>6</v>
      </c>
      <c r="J395" s="7" t="s">
        <v>2288</v>
      </c>
      <c r="K395" s="4">
        <v>46238</v>
      </c>
      <c r="L395" s="7" t="s">
        <v>2289</v>
      </c>
      <c r="M395" s="66">
        <v>46238</v>
      </c>
      <c r="N395" s="27">
        <f t="shared" ca="1" si="49"/>
        <v>0</v>
      </c>
      <c r="O395" s="108" t="s">
        <v>2</v>
      </c>
      <c r="P395" s="14"/>
    </row>
    <row r="396" spans="1:16" ht="51.6" customHeight="1" x14ac:dyDescent="0.3">
      <c r="A396" s="3"/>
      <c r="B396" s="19" t="s">
        <v>2290</v>
      </c>
      <c r="C396" s="63">
        <v>0</v>
      </c>
      <c r="D396" s="13" t="s">
        <v>2291</v>
      </c>
      <c r="E396" s="5" t="s">
        <v>2292</v>
      </c>
      <c r="F396" s="4">
        <v>46232</v>
      </c>
      <c r="G396" s="7" t="s">
        <v>2293</v>
      </c>
      <c r="H396" s="15">
        <v>46232</v>
      </c>
      <c r="I396" s="113">
        <f t="shared" si="47"/>
        <v>6</v>
      </c>
      <c r="J396" s="7" t="s">
        <v>2294</v>
      </c>
      <c r="K396" s="4">
        <v>46238</v>
      </c>
      <c r="L396" s="7" t="s">
        <v>2295</v>
      </c>
      <c r="M396" s="66">
        <v>46238</v>
      </c>
      <c r="N396" s="27">
        <f t="shared" ca="1" si="49"/>
        <v>0</v>
      </c>
      <c r="O396" s="108" t="s">
        <v>2</v>
      </c>
      <c r="P396" s="14"/>
    </row>
    <row r="397" spans="1:16" ht="51.6" customHeight="1" x14ac:dyDescent="0.3">
      <c r="A397" s="3"/>
      <c r="B397" s="19" t="s">
        <v>2296</v>
      </c>
      <c r="C397" s="63">
        <v>0</v>
      </c>
      <c r="D397" s="13" t="s">
        <v>2297</v>
      </c>
      <c r="E397" s="5" t="s">
        <v>2298</v>
      </c>
      <c r="F397" s="4">
        <v>46232</v>
      </c>
      <c r="G397" s="7" t="s">
        <v>2299</v>
      </c>
      <c r="H397" s="15">
        <v>46232</v>
      </c>
      <c r="I397" s="113">
        <f t="shared" si="47"/>
        <v>8</v>
      </c>
      <c r="J397" s="7" t="s">
        <v>2300</v>
      </c>
      <c r="K397" s="4">
        <v>46240</v>
      </c>
      <c r="L397" s="7" t="s">
        <v>2301</v>
      </c>
      <c r="M397" s="66">
        <v>46240</v>
      </c>
      <c r="N397" s="27">
        <f t="shared" ca="1" si="49"/>
        <v>0</v>
      </c>
      <c r="O397" s="108" t="s">
        <v>2</v>
      </c>
      <c r="P397" s="14"/>
    </row>
    <row r="398" spans="1:16" ht="51.6" customHeight="1" x14ac:dyDescent="0.3">
      <c r="A398" s="3"/>
      <c r="B398" s="19" t="s">
        <v>2302</v>
      </c>
      <c r="C398" s="63">
        <v>0</v>
      </c>
      <c r="D398" s="13" t="s">
        <v>3341</v>
      </c>
      <c r="E398" s="5" t="s">
        <v>3342</v>
      </c>
      <c r="F398" s="4">
        <v>46233</v>
      </c>
      <c r="G398" s="7" t="s">
        <v>3343</v>
      </c>
      <c r="H398" s="15">
        <v>46280</v>
      </c>
      <c r="I398" s="113">
        <f t="shared" si="47"/>
        <v>20</v>
      </c>
      <c r="J398" s="7" t="s">
        <v>3385</v>
      </c>
      <c r="K398" s="4">
        <v>46300</v>
      </c>
      <c r="L398" s="7" t="s">
        <v>3386</v>
      </c>
      <c r="M398" s="66">
        <v>46300</v>
      </c>
      <c r="N398" s="27">
        <f t="shared" ca="1" si="49"/>
        <v>0</v>
      </c>
      <c r="O398" s="108" t="s">
        <v>2</v>
      </c>
      <c r="P398" s="14"/>
    </row>
    <row r="399" spans="1:16" ht="51.6" customHeight="1" x14ac:dyDescent="0.3">
      <c r="A399" s="3"/>
      <c r="B399" s="19" t="s">
        <v>2303</v>
      </c>
      <c r="C399" s="63">
        <v>0</v>
      </c>
      <c r="D399" s="13" t="s">
        <v>2304</v>
      </c>
      <c r="E399" s="5" t="s">
        <v>2305</v>
      </c>
      <c r="F399" s="4">
        <v>46250</v>
      </c>
      <c r="G399" s="7" t="s">
        <v>2306</v>
      </c>
      <c r="H399" s="15">
        <v>46250</v>
      </c>
      <c r="I399" s="113">
        <f t="shared" si="47"/>
        <v>11</v>
      </c>
      <c r="J399" s="7" t="s">
        <v>2307</v>
      </c>
      <c r="K399" s="4">
        <v>46261</v>
      </c>
      <c r="L399" s="7" t="s">
        <v>2308</v>
      </c>
      <c r="M399" s="66">
        <v>46264</v>
      </c>
      <c r="N399" s="74">
        <f t="shared" ca="1" si="49"/>
        <v>0</v>
      </c>
      <c r="O399" s="108" t="s">
        <v>2</v>
      </c>
      <c r="P399" s="14"/>
    </row>
    <row r="400" spans="1:16" ht="51.6" customHeight="1" x14ac:dyDescent="0.3">
      <c r="A400" s="3"/>
      <c r="B400" s="19" t="s">
        <v>2309</v>
      </c>
      <c r="C400" s="63">
        <v>0</v>
      </c>
      <c r="D400" s="13" t="s">
        <v>2310</v>
      </c>
      <c r="E400" s="5" t="s">
        <v>2311</v>
      </c>
      <c r="F400" s="4">
        <v>46250</v>
      </c>
      <c r="G400" s="7" t="s">
        <v>2312</v>
      </c>
      <c r="H400" s="15">
        <v>46250</v>
      </c>
      <c r="I400" s="113">
        <f t="shared" si="47"/>
        <v>11</v>
      </c>
      <c r="J400" s="7" t="s">
        <v>2313</v>
      </c>
      <c r="K400" s="4">
        <v>46261</v>
      </c>
      <c r="L400" s="7" t="s">
        <v>2314</v>
      </c>
      <c r="M400" s="66">
        <v>46264</v>
      </c>
      <c r="N400" s="74">
        <f t="shared" ca="1" si="49"/>
        <v>0</v>
      </c>
      <c r="O400" s="108" t="s">
        <v>2</v>
      </c>
      <c r="P400" s="14"/>
    </row>
    <row r="401" spans="1:16" ht="51.6" customHeight="1" x14ac:dyDescent="0.3">
      <c r="A401" s="3"/>
      <c r="B401" s="19" t="s">
        <v>2315</v>
      </c>
      <c r="C401" s="63">
        <v>0</v>
      </c>
      <c r="D401" s="13" t="s">
        <v>2316</v>
      </c>
      <c r="E401" s="5" t="s">
        <v>2317</v>
      </c>
      <c r="F401" s="4">
        <v>46241</v>
      </c>
      <c r="G401" s="7" t="s">
        <v>2318</v>
      </c>
      <c r="H401" s="15">
        <v>46243</v>
      </c>
      <c r="I401" s="113">
        <f t="shared" si="47"/>
        <v>11</v>
      </c>
      <c r="J401" s="7" t="s">
        <v>2319</v>
      </c>
      <c r="K401" s="4">
        <v>46254</v>
      </c>
      <c r="L401" s="7" t="s">
        <v>2320</v>
      </c>
      <c r="M401" s="66">
        <v>46254</v>
      </c>
      <c r="N401" s="74">
        <f t="shared" ca="1" si="49"/>
        <v>0</v>
      </c>
      <c r="O401" s="10" t="s">
        <v>2</v>
      </c>
      <c r="P401" s="14"/>
    </row>
    <row r="402" spans="1:16" ht="51.6" customHeight="1" x14ac:dyDescent="0.3">
      <c r="A402" s="3"/>
      <c r="B402" s="19" t="s">
        <v>2321</v>
      </c>
      <c r="C402" s="63">
        <v>0</v>
      </c>
      <c r="D402" s="13" t="s">
        <v>2322</v>
      </c>
      <c r="E402" s="5" t="s">
        <v>2323</v>
      </c>
      <c r="F402" s="4">
        <v>46233</v>
      </c>
      <c r="G402" s="7" t="s">
        <v>2324</v>
      </c>
      <c r="H402" s="15">
        <v>46236</v>
      </c>
      <c r="I402" s="113">
        <f t="shared" si="47"/>
        <v>4</v>
      </c>
      <c r="J402" s="7" t="s">
        <v>2325</v>
      </c>
      <c r="K402" s="4">
        <v>46240</v>
      </c>
      <c r="L402" s="7" t="s">
        <v>2326</v>
      </c>
      <c r="M402" s="66">
        <v>46240</v>
      </c>
      <c r="N402" s="27">
        <f t="shared" ref="N402:N407" ca="1" si="50">IF(AND(M402="",TODAY()-F402&gt;7),TODAY()-F402-7,0)</f>
        <v>0</v>
      </c>
      <c r="O402" s="108" t="s">
        <v>2</v>
      </c>
      <c r="P402" s="14"/>
    </row>
    <row r="403" spans="1:16" ht="51.6" customHeight="1" x14ac:dyDescent="0.3">
      <c r="A403" s="3"/>
      <c r="B403" s="19" t="s">
        <v>2327</v>
      </c>
      <c r="C403" s="63">
        <v>0</v>
      </c>
      <c r="D403" s="13" t="s">
        <v>2328</v>
      </c>
      <c r="E403" s="5" t="s">
        <v>2329</v>
      </c>
      <c r="F403" s="4">
        <v>46235</v>
      </c>
      <c r="G403" s="7" t="s">
        <v>2330</v>
      </c>
      <c r="H403" s="15">
        <v>46236</v>
      </c>
      <c r="I403" s="113">
        <f t="shared" si="47"/>
        <v>8</v>
      </c>
      <c r="J403" s="7" t="s">
        <v>2331</v>
      </c>
      <c r="K403" s="4">
        <v>46244</v>
      </c>
      <c r="L403" s="7" t="s">
        <v>2332</v>
      </c>
      <c r="M403" s="66">
        <v>46244</v>
      </c>
      <c r="N403" s="27">
        <f t="shared" ca="1" si="50"/>
        <v>0</v>
      </c>
      <c r="O403" s="108" t="s">
        <v>2</v>
      </c>
      <c r="P403" s="14"/>
    </row>
    <row r="404" spans="1:16" ht="51.6" customHeight="1" x14ac:dyDescent="0.3">
      <c r="A404" s="3"/>
      <c r="B404" s="19" t="s">
        <v>2333</v>
      </c>
      <c r="C404" s="63">
        <v>0</v>
      </c>
      <c r="D404" s="13" t="s">
        <v>2334</v>
      </c>
      <c r="E404" s="5" t="s">
        <v>2335</v>
      </c>
      <c r="F404" s="4">
        <v>46241</v>
      </c>
      <c r="G404" s="7" t="s">
        <v>2336</v>
      </c>
      <c r="H404" s="15">
        <v>46243</v>
      </c>
      <c r="I404" s="113">
        <f t="shared" si="47"/>
        <v>11</v>
      </c>
      <c r="J404" s="7" t="s">
        <v>2337</v>
      </c>
      <c r="K404" s="15">
        <v>46254</v>
      </c>
      <c r="L404" s="7" t="s">
        <v>2338</v>
      </c>
      <c r="M404" s="15">
        <v>46254</v>
      </c>
      <c r="N404" s="74">
        <f t="shared" ca="1" si="50"/>
        <v>0</v>
      </c>
      <c r="O404" s="10" t="s">
        <v>2</v>
      </c>
      <c r="P404" s="14"/>
    </row>
    <row r="405" spans="1:16" ht="51.6" customHeight="1" x14ac:dyDescent="0.3">
      <c r="A405" s="3"/>
      <c r="B405" s="19" t="s">
        <v>2339</v>
      </c>
      <c r="C405" s="63">
        <v>0</v>
      </c>
      <c r="D405" s="13" t="s">
        <v>2340</v>
      </c>
      <c r="E405" s="5" t="s">
        <v>2341</v>
      </c>
      <c r="F405" s="4">
        <v>46287</v>
      </c>
      <c r="G405" s="7" t="s">
        <v>2342</v>
      </c>
      <c r="H405" s="15">
        <v>46288</v>
      </c>
      <c r="I405" s="113">
        <f t="shared" si="47"/>
        <v>7</v>
      </c>
      <c r="J405" s="7" t="s">
        <v>3211</v>
      </c>
      <c r="K405" s="15">
        <v>46295</v>
      </c>
      <c r="L405" s="7" t="s">
        <v>3212</v>
      </c>
      <c r="M405" s="15">
        <v>46295</v>
      </c>
      <c r="N405" s="27">
        <f t="shared" ca="1" si="50"/>
        <v>0</v>
      </c>
      <c r="O405" s="121" t="s">
        <v>2</v>
      </c>
      <c r="P405" s="14"/>
    </row>
    <row r="406" spans="1:16" ht="51.6" customHeight="1" x14ac:dyDescent="0.3">
      <c r="A406" s="3"/>
      <c r="B406" s="19" t="s">
        <v>2343</v>
      </c>
      <c r="C406" s="63">
        <v>0</v>
      </c>
      <c r="D406" s="13" t="s">
        <v>2344</v>
      </c>
      <c r="E406" s="5" t="s">
        <v>2345</v>
      </c>
      <c r="F406" s="4">
        <v>46250</v>
      </c>
      <c r="G406" s="7" t="s">
        <v>2346</v>
      </c>
      <c r="H406" s="15">
        <v>46250</v>
      </c>
      <c r="I406" s="113">
        <f t="shared" si="47"/>
        <v>11</v>
      </c>
      <c r="J406" s="7" t="s">
        <v>2347</v>
      </c>
      <c r="K406" s="4">
        <v>46261</v>
      </c>
      <c r="L406" s="7" t="s">
        <v>2348</v>
      </c>
      <c r="M406" s="66">
        <v>46264</v>
      </c>
      <c r="N406" s="74">
        <f t="shared" ca="1" si="50"/>
        <v>0</v>
      </c>
      <c r="O406" s="108" t="s">
        <v>2</v>
      </c>
      <c r="P406" s="14"/>
    </row>
    <row r="407" spans="1:16" ht="51.6" customHeight="1" x14ac:dyDescent="0.3">
      <c r="A407" s="3"/>
      <c r="B407" s="19" t="s">
        <v>2349</v>
      </c>
      <c r="C407" s="63">
        <v>0</v>
      </c>
      <c r="D407" s="13" t="s">
        <v>2350</v>
      </c>
      <c r="E407" s="5" t="s">
        <v>2351</v>
      </c>
      <c r="F407" s="4">
        <v>46240</v>
      </c>
      <c r="G407" s="7" t="s">
        <v>2352</v>
      </c>
      <c r="H407" s="15">
        <v>46243</v>
      </c>
      <c r="I407" s="113">
        <f t="shared" si="47"/>
        <v>3</v>
      </c>
      <c r="J407" s="7" t="s">
        <v>2353</v>
      </c>
      <c r="K407" s="4">
        <v>46246</v>
      </c>
      <c r="L407" s="7" t="s">
        <v>2354</v>
      </c>
      <c r="M407" s="66">
        <v>46246</v>
      </c>
      <c r="N407" s="27">
        <f t="shared" ca="1" si="50"/>
        <v>0</v>
      </c>
      <c r="O407" s="108" t="s">
        <v>2</v>
      </c>
      <c r="P407" s="14"/>
    </row>
    <row r="408" spans="1:16" ht="51.6" customHeight="1" x14ac:dyDescent="0.3">
      <c r="A408" s="3"/>
      <c r="B408" s="19" t="s">
        <v>2355</v>
      </c>
      <c r="C408" s="63">
        <v>0</v>
      </c>
      <c r="D408" s="13" t="s">
        <v>2356</v>
      </c>
      <c r="E408" s="5" t="s">
        <v>2357</v>
      </c>
      <c r="F408" s="4">
        <v>46240</v>
      </c>
      <c r="G408" s="7" t="s">
        <v>2358</v>
      </c>
      <c r="H408" s="15">
        <v>46243</v>
      </c>
      <c r="I408" s="113">
        <f t="shared" si="47"/>
        <v>10</v>
      </c>
      <c r="J408" s="7" t="s">
        <v>2359</v>
      </c>
      <c r="K408" s="4">
        <v>46253</v>
      </c>
      <c r="L408" s="7" t="s">
        <v>2360</v>
      </c>
      <c r="M408" s="66">
        <v>46253</v>
      </c>
      <c r="N408" s="27">
        <f t="shared" ref="N408:N423" ca="1" si="51">IF(AND(M408="",TODAY()-F408&gt;7),TODAY()-F408-7,0)</f>
        <v>0</v>
      </c>
      <c r="O408" s="108" t="s">
        <v>2</v>
      </c>
      <c r="P408" s="14"/>
    </row>
    <row r="409" spans="1:16" ht="51.6" customHeight="1" x14ac:dyDescent="0.3">
      <c r="A409" s="3"/>
      <c r="B409" s="19" t="s">
        <v>2361</v>
      </c>
      <c r="C409" s="63">
        <v>0</v>
      </c>
      <c r="D409" s="13" t="s">
        <v>2362</v>
      </c>
      <c r="E409" s="5" t="s">
        <v>2363</v>
      </c>
      <c r="F409" s="4">
        <v>46253</v>
      </c>
      <c r="G409" s="7" t="s">
        <v>2364</v>
      </c>
      <c r="H409" s="15">
        <v>46253</v>
      </c>
      <c r="I409" s="113">
        <f t="shared" si="47"/>
        <v>8</v>
      </c>
      <c r="J409" s="7" t="s">
        <v>2365</v>
      </c>
      <c r="K409" s="4">
        <v>46261</v>
      </c>
      <c r="L409" s="7" t="s">
        <v>2366</v>
      </c>
      <c r="M409" s="66">
        <v>46264</v>
      </c>
      <c r="N409" s="74">
        <f t="shared" ca="1" si="51"/>
        <v>0</v>
      </c>
      <c r="O409" s="108" t="s">
        <v>2</v>
      </c>
      <c r="P409" s="14"/>
    </row>
    <row r="410" spans="1:16" ht="51.6" customHeight="1" x14ac:dyDescent="0.3">
      <c r="A410" s="3"/>
      <c r="B410" s="19" t="s">
        <v>2367</v>
      </c>
      <c r="C410" s="63">
        <v>0</v>
      </c>
      <c r="D410" s="13" t="s">
        <v>2368</v>
      </c>
      <c r="E410" s="5" t="s">
        <v>2369</v>
      </c>
      <c r="F410" s="4">
        <v>46241</v>
      </c>
      <c r="G410" s="7" t="s">
        <v>2370</v>
      </c>
      <c r="H410" s="15">
        <v>46243</v>
      </c>
      <c r="I410" s="113">
        <f t="shared" si="47"/>
        <v>11</v>
      </c>
      <c r="J410" s="7" t="s">
        <v>2371</v>
      </c>
      <c r="K410" s="4">
        <v>46254</v>
      </c>
      <c r="L410" s="7" t="s">
        <v>2372</v>
      </c>
      <c r="M410" s="66">
        <v>46254</v>
      </c>
      <c r="N410" s="74">
        <f t="shared" ca="1" si="51"/>
        <v>0</v>
      </c>
      <c r="O410" s="10" t="s">
        <v>2</v>
      </c>
      <c r="P410" s="14"/>
    </row>
    <row r="411" spans="1:16" ht="51.6" customHeight="1" x14ac:dyDescent="0.3">
      <c r="A411" s="3"/>
      <c r="B411" s="19" t="s">
        <v>2373</v>
      </c>
      <c r="C411" s="63">
        <v>0</v>
      </c>
      <c r="D411" s="13" t="s">
        <v>2374</v>
      </c>
      <c r="E411" s="5" t="s">
        <v>2375</v>
      </c>
      <c r="F411" s="4">
        <v>46253</v>
      </c>
      <c r="G411" s="7" t="s">
        <v>2376</v>
      </c>
      <c r="H411" s="15">
        <v>46253</v>
      </c>
      <c r="I411" s="113">
        <f t="shared" si="47"/>
        <v>11</v>
      </c>
      <c r="J411" s="7" t="s">
        <v>2377</v>
      </c>
      <c r="K411" s="4">
        <v>46264</v>
      </c>
      <c r="L411" s="7" t="s">
        <v>2378</v>
      </c>
      <c r="M411" s="66">
        <v>46264</v>
      </c>
      <c r="N411" s="74">
        <f t="shared" ca="1" si="51"/>
        <v>0</v>
      </c>
      <c r="O411" s="104" t="s">
        <v>2</v>
      </c>
      <c r="P411" s="14"/>
    </row>
    <row r="412" spans="1:16" ht="51.6" customHeight="1" x14ac:dyDescent="0.3">
      <c r="A412" s="3"/>
      <c r="B412" s="19" t="s">
        <v>2379</v>
      </c>
      <c r="C412" s="63">
        <v>0</v>
      </c>
      <c r="D412" s="13" t="s">
        <v>2380</v>
      </c>
      <c r="E412" s="5" t="s">
        <v>2381</v>
      </c>
      <c r="F412" s="4">
        <v>46241</v>
      </c>
      <c r="G412" s="7" t="s">
        <v>2382</v>
      </c>
      <c r="H412" s="15">
        <v>46243</v>
      </c>
      <c r="I412" s="113">
        <f t="shared" si="47"/>
        <v>11</v>
      </c>
      <c r="J412" s="7" t="s">
        <v>2383</v>
      </c>
      <c r="K412" s="4">
        <v>46254</v>
      </c>
      <c r="L412" s="7" t="s">
        <v>2384</v>
      </c>
      <c r="M412" s="66">
        <v>46254</v>
      </c>
      <c r="N412" s="74">
        <f t="shared" ca="1" si="51"/>
        <v>0</v>
      </c>
      <c r="O412" s="108" t="s">
        <v>2</v>
      </c>
      <c r="P412" s="14"/>
    </row>
    <row r="413" spans="1:16" ht="51.6" customHeight="1" x14ac:dyDescent="0.3">
      <c r="A413" s="3"/>
      <c r="B413" s="19" t="s">
        <v>2385</v>
      </c>
      <c r="C413" s="63">
        <v>0</v>
      </c>
      <c r="D413" s="13" t="s">
        <v>2386</v>
      </c>
      <c r="E413" s="5" t="s">
        <v>2387</v>
      </c>
      <c r="F413" s="4">
        <v>46240</v>
      </c>
      <c r="G413" s="7" t="s">
        <v>2388</v>
      </c>
      <c r="H413" s="15">
        <v>46243</v>
      </c>
      <c r="I413" s="113">
        <f t="shared" si="47"/>
        <v>11</v>
      </c>
      <c r="J413" s="7" t="s">
        <v>2389</v>
      </c>
      <c r="K413" s="4">
        <v>46254</v>
      </c>
      <c r="L413" s="7" t="s">
        <v>2390</v>
      </c>
      <c r="M413" s="66">
        <v>46257</v>
      </c>
      <c r="N413" s="74">
        <f t="shared" ca="1" si="51"/>
        <v>0</v>
      </c>
      <c r="O413" s="108" t="s">
        <v>2</v>
      </c>
      <c r="P413" s="14"/>
    </row>
    <row r="414" spans="1:16" ht="51.6" customHeight="1" x14ac:dyDescent="0.3">
      <c r="A414" s="3"/>
      <c r="B414" s="19" t="s">
        <v>2391</v>
      </c>
      <c r="C414" s="63">
        <v>0</v>
      </c>
      <c r="D414" s="13" t="s">
        <v>2392</v>
      </c>
      <c r="E414" s="5" t="s">
        <v>2393</v>
      </c>
      <c r="F414" s="4">
        <v>46253</v>
      </c>
      <c r="G414" s="7" t="s">
        <v>2394</v>
      </c>
      <c r="H414" s="15">
        <v>46253</v>
      </c>
      <c r="I414" s="113">
        <f t="shared" si="47"/>
        <v>8</v>
      </c>
      <c r="J414" s="7" t="s">
        <v>2395</v>
      </c>
      <c r="K414" s="4">
        <v>46261</v>
      </c>
      <c r="L414" s="7" t="s">
        <v>2396</v>
      </c>
      <c r="M414" s="66">
        <v>46264</v>
      </c>
      <c r="N414" s="74">
        <f t="shared" ca="1" si="51"/>
        <v>0</v>
      </c>
      <c r="O414" s="104" t="s">
        <v>2</v>
      </c>
      <c r="P414" s="14"/>
    </row>
    <row r="415" spans="1:16" ht="51.6" customHeight="1" x14ac:dyDescent="0.3">
      <c r="A415" s="3"/>
      <c r="B415" s="19" t="s">
        <v>2397</v>
      </c>
      <c r="C415" s="63">
        <v>0</v>
      </c>
      <c r="D415" s="13" t="s">
        <v>2398</v>
      </c>
      <c r="E415" s="5" t="s">
        <v>2399</v>
      </c>
      <c r="F415" s="4">
        <v>46241</v>
      </c>
      <c r="G415" s="7" t="s">
        <v>2400</v>
      </c>
      <c r="H415" s="15">
        <v>46243</v>
      </c>
      <c r="I415" s="113">
        <f t="shared" si="47"/>
        <v>11</v>
      </c>
      <c r="J415" s="7" t="s">
        <v>2401</v>
      </c>
      <c r="K415" s="4">
        <v>46254</v>
      </c>
      <c r="L415" s="7" t="s">
        <v>2402</v>
      </c>
      <c r="M415" s="66">
        <v>46254</v>
      </c>
      <c r="N415" s="74">
        <f t="shared" ca="1" si="51"/>
        <v>0</v>
      </c>
      <c r="O415" s="10" t="s">
        <v>2</v>
      </c>
      <c r="P415" s="14"/>
    </row>
    <row r="416" spans="1:16" ht="51.6" customHeight="1" x14ac:dyDescent="0.3">
      <c r="A416" s="3"/>
      <c r="B416" s="19" t="s">
        <v>2403</v>
      </c>
      <c r="C416" s="63">
        <v>0</v>
      </c>
      <c r="D416" s="13" t="s">
        <v>2404</v>
      </c>
      <c r="E416" s="5" t="s">
        <v>2405</v>
      </c>
      <c r="F416" s="4">
        <v>46257</v>
      </c>
      <c r="G416" s="7" t="s">
        <v>2406</v>
      </c>
      <c r="H416" s="15">
        <v>46257</v>
      </c>
      <c r="I416" s="113">
        <f t="shared" si="47"/>
        <v>9</v>
      </c>
      <c r="J416" s="7" t="s">
        <v>2407</v>
      </c>
      <c r="K416" s="4">
        <v>46266</v>
      </c>
      <c r="L416" s="7" t="s">
        <v>2408</v>
      </c>
      <c r="M416" s="66">
        <v>46267</v>
      </c>
      <c r="N416" s="74">
        <f t="shared" ca="1" si="51"/>
        <v>0</v>
      </c>
      <c r="O416" s="108" t="s">
        <v>2</v>
      </c>
      <c r="P416" s="14"/>
    </row>
    <row r="417" spans="1:16" ht="51.6" customHeight="1" x14ac:dyDescent="0.3">
      <c r="A417" s="3"/>
      <c r="B417" s="19" t="s">
        <v>3489</v>
      </c>
      <c r="C417" s="63">
        <v>1</v>
      </c>
      <c r="D417" s="13" t="s">
        <v>3490</v>
      </c>
      <c r="E417" s="5" t="s">
        <v>3491</v>
      </c>
      <c r="F417" s="4">
        <v>46302</v>
      </c>
      <c r="G417" s="7" t="s">
        <v>3492</v>
      </c>
      <c r="H417" s="15">
        <v>46306</v>
      </c>
      <c r="I417" s="113">
        <f t="shared" si="47"/>
        <v>-46306</v>
      </c>
      <c r="J417" s="7"/>
      <c r="K417" s="4"/>
      <c r="L417" s="7"/>
      <c r="M417" s="66"/>
      <c r="N417" s="74"/>
      <c r="O417" s="108" t="s">
        <v>7</v>
      </c>
      <c r="P417" s="14"/>
    </row>
    <row r="418" spans="1:16" ht="51.6" customHeight="1" x14ac:dyDescent="0.3">
      <c r="A418" s="3"/>
      <c r="B418" s="19" t="s">
        <v>2409</v>
      </c>
      <c r="C418" s="63">
        <v>0</v>
      </c>
      <c r="D418" s="13" t="s">
        <v>2410</v>
      </c>
      <c r="E418" s="5" t="s">
        <v>2411</v>
      </c>
      <c r="F418" s="4">
        <v>46250</v>
      </c>
      <c r="G418" s="7" t="s">
        <v>2412</v>
      </c>
      <c r="H418" s="15">
        <v>46250</v>
      </c>
      <c r="I418" s="113">
        <f t="shared" si="47"/>
        <v>14</v>
      </c>
      <c r="J418" s="7" t="s">
        <v>2413</v>
      </c>
      <c r="K418" s="4">
        <v>46264</v>
      </c>
      <c r="L418" s="7" t="s">
        <v>2414</v>
      </c>
      <c r="M418" s="66">
        <v>46264</v>
      </c>
      <c r="N418" s="74">
        <f t="shared" ca="1" si="51"/>
        <v>0</v>
      </c>
      <c r="O418" s="108" t="s">
        <v>2</v>
      </c>
      <c r="P418" s="14"/>
    </row>
    <row r="419" spans="1:16" ht="51.6" customHeight="1" x14ac:dyDescent="0.3">
      <c r="A419" s="3"/>
      <c r="B419" s="19" t="s">
        <v>2415</v>
      </c>
      <c r="C419" s="63">
        <v>0</v>
      </c>
      <c r="D419" s="13" t="s">
        <v>2416</v>
      </c>
      <c r="E419" s="5" t="s">
        <v>2417</v>
      </c>
      <c r="F419" s="4">
        <v>46253</v>
      </c>
      <c r="G419" s="7" t="s">
        <v>2418</v>
      </c>
      <c r="H419" s="15">
        <v>46253</v>
      </c>
      <c r="I419" s="113">
        <f t="shared" si="47"/>
        <v>5</v>
      </c>
      <c r="J419" s="7" t="s">
        <v>2419</v>
      </c>
      <c r="K419" s="4">
        <v>46258</v>
      </c>
      <c r="L419" s="7" t="s">
        <v>2420</v>
      </c>
      <c r="M419" s="66">
        <v>46258</v>
      </c>
      <c r="N419" s="74">
        <f t="shared" ca="1" si="51"/>
        <v>0</v>
      </c>
      <c r="O419" s="104" t="s">
        <v>2</v>
      </c>
      <c r="P419" s="14"/>
    </row>
    <row r="420" spans="1:16" ht="51.6" customHeight="1" x14ac:dyDescent="0.3">
      <c r="A420" s="3"/>
      <c r="B420" s="19" t="s">
        <v>2421</v>
      </c>
      <c r="C420" s="63">
        <v>0</v>
      </c>
      <c r="D420" s="13" t="s">
        <v>2422</v>
      </c>
      <c r="E420" s="5" t="s">
        <v>2423</v>
      </c>
      <c r="F420" s="4">
        <v>46247</v>
      </c>
      <c r="G420" s="7" t="s">
        <v>2424</v>
      </c>
      <c r="H420" s="15">
        <v>46250</v>
      </c>
      <c r="I420" s="113">
        <f t="shared" si="47"/>
        <v>9</v>
      </c>
      <c r="J420" s="7" t="s">
        <v>2425</v>
      </c>
      <c r="K420" s="4">
        <v>46259</v>
      </c>
      <c r="L420" s="7" t="s">
        <v>2426</v>
      </c>
      <c r="M420" s="66">
        <v>46259</v>
      </c>
      <c r="N420" s="74">
        <f t="shared" ca="1" si="51"/>
        <v>0</v>
      </c>
      <c r="O420" s="108" t="s">
        <v>2</v>
      </c>
      <c r="P420" s="14"/>
    </row>
    <row r="421" spans="1:16" ht="51.6" customHeight="1" x14ac:dyDescent="0.3">
      <c r="A421" s="3"/>
      <c r="B421" s="19" t="s">
        <v>2427</v>
      </c>
      <c r="C421" s="63">
        <v>0</v>
      </c>
      <c r="D421" s="13" t="s">
        <v>2428</v>
      </c>
      <c r="E421" s="5" t="s">
        <v>2429</v>
      </c>
      <c r="F421" s="4">
        <v>46247</v>
      </c>
      <c r="G421" s="7" t="s">
        <v>2430</v>
      </c>
      <c r="H421" s="15">
        <v>46250</v>
      </c>
      <c r="I421" s="113">
        <f t="shared" si="47"/>
        <v>9</v>
      </c>
      <c r="J421" s="7" t="s">
        <v>2431</v>
      </c>
      <c r="K421" s="4">
        <v>46259</v>
      </c>
      <c r="L421" s="7" t="s">
        <v>2432</v>
      </c>
      <c r="M421" s="66">
        <v>46259</v>
      </c>
      <c r="N421" s="74">
        <f t="shared" ca="1" si="51"/>
        <v>0</v>
      </c>
      <c r="O421" s="108" t="s">
        <v>2</v>
      </c>
      <c r="P421" s="14"/>
    </row>
    <row r="422" spans="1:16" ht="51.6" customHeight="1" x14ac:dyDescent="0.3">
      <c r="A422" s="3"/>
      <c r="B422" s="19" t="s">
        <v>2433</v>
      </c>
      <c r="C422" s="63">
        <v>0</v>
      </c>
      <c r="D422" s="13" t="s">
        <v>2434</v>
      </c>
      <c r="E422" s="5" t="s">
        <v>2435</v>
      </c>
      <c r="F422" s="4">
        <v>46247</v>
      </c>
      <c r="G422" s="7" t="s">
        <v>2436</v>
      </c>
      <c r="H422" s="15">
        <v>46250</v>
      </c>
      <c r="I422" s="113">
        <f t="shared" si="47"/>
        <v>9</v>
      </c>
      <c r="J422" s="7" t="s">
        <v>2437</v>
      </c>
      <c r="K422" s="4">
        <v>46259</v>
      </c>
      <c r="L422" s="7" t="s">
        <v>2438</v>
      </c>
      <c r="M422" s="66">
        <v>46259</v>
      </c>
      <c r="N422" s="74">
        <f t="shared" ca="1" si="51"/>
        <v>0</v>
      </c>
      <c r="O422" s="108" t="s">
        <v>2</v>
      </c>
      <c r="P422" s="14"/>
    </row>
    <row r="423" spans="1:16" ht="51.6" customHeight="1" x14ac:dyDescent="0.3">
      <c r="A423" s="3"/>
      <c r="B423" s="19" t="s">
        <v>2439</v>
      </c>
      <c r="C423" s="63">
        <v>0</v>
      </c>
      <c r="D423" s="13" t="s">
        <v>2440</v>
      </c>
      <c r="E423" s="5" t="s">
        <v>2441</v>
      </c>
      <c r="F423" s="4">
        <v>46247</v>
      </c>
      <c r="G423" s="7" t="s">
        <v>2442</v>
      </c>
      <c r="H423" s="15">
        <v>46250</v>
      </c>
      <c r="I423" s="113">
        <f t="shared" si="47"/>
        <v>11</v>
      </c>
      <c r="J423" s="7" t="s">
        <v>2443</v>
      </c>
      <c r="K423" s="4">
        <v>46261</v>
      </c>
      <c r="L423" s="7" t="s">
        <v>2444</v>
      </c>
      <c r="M423" s="66">
        <v>46264</v>
      </c>
      <c r="N423" s="74">
        <f t="shared" ca="1" si="51"/>
        <v>0</v>
      </c>
      <c r="O423" s="108" t="s">
        <v>2</v>
      </c>
      <c r="P423" s="14"/>
    </row>
    <row r="424" spans="1:16" ht="51.6" customHeight="1" x14ac:dyDescent="0.3">
      <c r="A424" s="3"/>
      <c r="B424" s="19" t="s">
        <v>2445</v>
      </c>
      <c r="C424" s="63">
        <v>0</v>
      </c>
      <c r="D424" s="13" t="s">
        <v>2446</v>
      </c>
      <c r="E424" s="5" t="s">
        <v>2447</v>
      </c>
      <c r="F424" s="4">
        <v>46285</v>
      </c>
      <c r="G424" s="7" t="s">
        <v>2448</v>
      </c>
      <c r="H424" s="15">
        <v>46285</v>
      </c>
      <c r="I424" s="113">
        <f t="shared" si="47"/>
        <v>-354</v>
      </c>
      <c r="J424" s="7" t="s">
        <v>3387</v>
      </c>
      <c r="K424" s="4">
        <v>45931</v>
      </c>
      <c r="L424" s="7" t="s">
        <v>3388</v>
      </c>
      <c r="M424" s="66">
        <v>46300</v>
      </c>
      <c r="N424" s="27">
        <f t="shared" ref="N424" ca="1" si="52">IF(AND(M424="",TODAY()-F424&gt;7),TODAY()-F424-7,0)</f>
        <v>0</v>
      </c>
      <c r="O424" s="108" t="s">
        <v>2</v>
      </c>
      <c r="P424" s="14"/>
    </row>
    <row r="425" spans="1:16" ht="51.6" customHeight="1" x14ac:dyDescent="0.3">
      <c r="A425" s="3"/>
      <c r="B425" s="19" t="s">
        <v>2449</v>
      </c>
      <c r="C425" s="63">
        <v>0</v>
      </c>
      <c r="D425" s="13" t="s">
        <v>2450</v>
      </c>
      <c r="E425" s="5" t="s">
        <v>2451</v>
      </c>
      <c r="F425" s="4">
        <v>46242</v>
      </c>
      <c r="G425" s="7" t="s">
        <v>2452</v>
      </c>
      <c r="H425" s="15">
        <v>46243</v>
      </c>
      <c r="I425" s="113">
        <f t="shared" si="47"/>
        <v>8</v>
      </c>
      <c r="J425" s="7" t="s">
        <v>2453</v>
      </c>
      <c r="K425" s="4">
        <v>46251</v>
      </c>
      <c r="L425" s="7" t="s">
        <v>2454</v>
      </c>
      <c r="M425" s="66">
        <v>46251</v>
      </c>
      <c r="N425" s="27">
        <f t="shared" ref="N425:N431" ca="1" si="53">IF(AND(M425="",TODAY()-F425&gt;7),TODAY()-F425-7,0)</f>
        <v>0</v>
      </c>
      <c r="O425" s="10" t="s">
        <v>2</v>
      </c>
      <c r="P425" s="14"/>
    </row>
    <row r="426" spans="1:16" ht="51.6" customHeight="1" x14ac:dyDescent="0.3">
      <c r="A426" s="3"/>
      <c r="B426" s="19" t="s">
        <v>2455</v>
      </c>
      <c r="C426" s="63">
        <v>0</v>
      </c>
      <c r="D426" s="13" t="s">
        <v>2456</v>
      </c>
      <c r="E426" s="5" t="s">
        <v>2457</v>
      </c>
      <c r="F426" s="4">
        <v>46250</v>
      </c>
      <c r="G426" s="7" t="s">
        <v>2458</v>
      </c>
      <c r="H426" s="15">
        <v>46250</v>
      </c>
      <c r="I426" s="113">
        <f t="shared" si="47"/>
        <v>11</v>
      </c>
      <c r="J426" s="7" t="s">
        <v>2459</v>
      </c>
      <c r="K426" s="4">
        <v>46261</v>
      </c>
      <c r="L426" s="7" t="s">
        <v>2460</v>
      </c>
      <c r="M426" s="66">
        <v>46264</v>
      </c>
      <c r="N426" s="74">
        <f t="shared" ca="1" si="53"/>
        <v>0</v>
      </c>
      <c r="O426" s="108" t="s">
        <v>2</v>
      </c>
      <c r="P426" s="14"/>
    </row>
    <row r="427" spans="1:16" ht="51.6" customHeight="1" x14ac:dyDescent="0.3">
      <c r="A427" s="3"/>
      <c r="B427" s="19" t="s">
        <v>2461</v>
      </c>
      <c r="C427" s="63">
        <v>0</v>
      </c>
      <c r="D427" s="13" t="s">
        <v>2462</v>
      </c>
      <c r="E427" s="5" t="s">
        <v>2463</v>
      </c>
      <c r="F427" s="4">
        <v>46250</v>
      </c>
      <c r="G427" s="7" t="s">
        <v>2464</v>
      </c>
      <c r="H427" s="15">
        <v>46250</v>
      </c>
      <c r="I427" s="113">
        <f t="shared" si="47"/>
        <v>11</v>
      </c>
      <c r="J427" s="7" t="s">
        <v>2465</v>
      </c>
      <c r="K427" s="4">
        <v>46261</v>
      </c>
      <c r="L427" s="7" t="s">
        <v>2466</v>
      </c>
      <c r="M427" s="66">
        <v>46264</v>
      </c>
      <c r="N427" s="74">
        <f t="shared" ca="1" si="53"/>
        <v>0</v>
      </c>
      <c r="O427" s="108" t="s">
        <v>2</v>
      </c>
      <c r="P427" s="14"/>
    </row>
    <row r="428" spans="1:16" ht="51.6" customHeight="1" x14ac:dyDescent="0.3">
      <c r="A428" s="3"/>
      <c r="B428" s="19" t="s">
        <v>2467</v>
      </c>
      <c r="C428" s="63">
        <v>0</v>
      </c>
      <c r="D428" s="13" t="s">
        <v>2468</v>
      </c>
      <c r="E428" s="5" t="s">
        <v>2469</v>
      </c>
      <c r="F428" s="4">
        <v>46247</v>
      </c>
      <c r="G428" s="7" t="s">
        <v>2470</v>
      </c>
      <c r="H428" s="15">
        <v>46251</v>
      </c>
      <c r="I428" s="113">
        <f t="shared" si="47"/>
        <v>10</v>
      </c>
      <c r="J428" s="7" t="s">
        <v>2471</v>
      </c>
      <c r="K428" s="4">
        <v>46261</v>
      </c>
      <c r="L428" s="7" t="s">
        <v>2472</v>
      </c>
      <c r="M428" s="66">
        <v>46264</v>
      </c>
      <c r="N428" s="74">
        <f t="shared" ca="1" si="53"/>
        <v>0</v>
      </c>
      <c r="O428" s="108" t="s">
        <v>2</v>
      </c>
      <c r="P428" s="49" t="s">
        <v>2473</v>
      </c>
    </row>
    <row r="429" spans="1:16" ht="51.6" customHeight="1" x14ac:dyDescent="0.3">
      <c r="A429" s="3"/>
      <c r="B429" s="19" t="s">
        <v>2474</v>
      </c>
      <c r="C429" s="63">
        <v>0</v>
      </c>
      <c r="D429" s="13" t="s">
        <v>2475</v>
      </c>
      <c r="E429" s="5" t="s">
        <v>2476</v>
      </c>
      <c r="F429" s="4">
        <v>46247</v>
      </c>
      <c r="G429" s="7" t="s">
        <v>2477</v>
      </c>
      <c r="H429" s="15">
        <v>46250</v>
      </c>
      <c r="I429" s="113">
        <f t="shared" si="47"/>
        <v>14</v>
      </c>
      <c r="J429" s="7" t="s">
        <v>2478</v>
      </c>
      <c r="K429" s="4">
        <v>46264</v>
      </c>
      <c r="L429" s="7" t="s">
        <v>2479</v>
      </c>
      <c r="M429" s="66">
        <v>46264</v>
      </c>
      <c r="N429" s="74">
        <f t="shared" ca="1" si="53"/>
        <v>0</v>
      </c>
      <c r="O429" s="108" t="s">
        <v>2</v>
      </c>
      <c r="P429" s="14"/>
    </row>
    <row r="430" spans="1:16" ht="51.6" customHeight="1" x14ac:dyDescent="0.3">
      <c r="A430" s="3"/>
      <c r="B430" s="19" t="s">
        <v>2480</v>
      </c>
      <c r="C430" s="63"/>
      <c r="D430" s="13"/>
      <c r="E430" s="5"/>
      <c r="F430" s="4"/>
      <c r="G430" s="7"/>
      <c r="H430" s="15"/>
      <c r="I430" s="113">
        <f t="shared" si="47"/>
        <v>0</v>
      </c>
      <c r="J430" s="7"/>
      <c r="K430" s="4"/>
      <c r="L430" s="7"/>
      <c r="M430" s="66"/>
      <c r="N430" s="74"/>
      <c r="O430" s="108"/>
      <c r="P430" s="14"/>
    </row>
    <row r="431" spans="1:16" ht="51.6" customHeight="1" x14ac:dyDescent="0.3">
      <c r="A431" s="3"/>
      <c r="B431" s="19" t="s">
        <v>2481</v>
      </c>
      <c r="C431" s="63">
        <v>0</v>
      </c>
      <c r="D431" s="13" t="s">
        <v>2482</v>
      </c>
      <c r="E431" s="5" t="s">
        <v>2483</v>
      </c>
      <c r="F431" s="4">
        <v>46254</v>
      </c>
      <c r="G431" s="7" t="s">
        <v>2484</v>
      </c>
      <c r="H431" s="15">
        <v>46257</v>
      </c>
      <c r="I431" s="113">
        <f t="shared" si="47"/>
        <v>9</v>
      </c>
      <c r="J431" s="7" t="s">
        <v>2485</v>
      </c>
      <c r="K431" s="4">
        <v>46266</v>
      </c>
      <c r="L431" s="7" t="s">
        <v>2486</v>
      </c>
      <c r="M431" s="66">
        <v>46267</v>
      </c>
      <c r="N431" s="74">
        <f t="shared" ca="1" si="53"/>
        <v>0</v>
      </c>
      <c r="O431" s="104" t="s">
        <v>2</v>
      </c>
      <c r="P431" s="14"/>
    </row>
    <row r="432" spans="1:16" ht="51.6" customHeight="1" x14ac:dyDescent="0.3">
      <c r="A432" s="3"/>
      <c r="B432" s="19" t="s">
        <v>2487</v>
      </c>
      <c r="C432" s="63">
        <v>0</v>
      </c>
      <c r="D432" s="13" t="s">
        <v>2488</v>
      </c>
      <c r="E432" s="5" t="s">
        <v>2489</v>
      </c>
      <c r="F432" s="4">
        <v>46245</v>
      </c>
      <c r="G432" s="7"/>
      <c r="H432" s="15"/>
      <c r="I432" s="113">
        <f t="shared" si="47"/>
        <v>0</v>
      </c>
      <c r="J432" s="7"/>
      <c r="K432" s="4"/>
      <c r="L432" s="7" t="s">
        <v>2490</v>
      </c>
      <c r="M432" s="4">
        <v>46245</v>
      </c>
      <c r="N432" s="27">
        <f t="shared" ref="N432:N476" ca="1" si="54">IF(AND(M432="",TODAY()-F432&gt;7),TODAY()-F432-7,0)</f>
        <v>0</v>
      </c>
      <c r="O432" s="108" t="s">
        <v>2491</v>
      </c>
      <c r="P432" s="14" t="s">
        <v>2492</v>
      </c>
    </row>
    <row r="433" spans="1:16" ht="51.6" customHeight="1" x14ac:dyDescent="0.3">
      <c r="A433" s="3"/>
      <c r="B433" s="19" t="s">
        <v>2493</v>
      </c>
      <c r="C433" s="63">
        <v>0</v>
      </c>
      <c r="D433" s="13" t="s">
        <v>2494</v>
      </c>
      <c r="E433" s="5" t="s">
        <v>2495</v>
      </c>
      <c r="F433" s="4">
        <v>46256</v>
      </c>
      <c r="G433" s="7" t="s">
        <v>2496</v>
      </c>
      <c r="H433" s="15">
        <v>46257</v>
      </c>
      <c r="I433" s="113">
        <f t="shared" si="47"/>
        <v>9</v>
      </c>
      <c r="J433" s="7" t="s">
        <v>2497</v>
      </c>
      <c r="K433" s="4">
        <v>46266</v>
      </c>
      <c r="L433" s="7" t="s">
        <v>2498</v>
      </c>
      <c r="M433" s="66">
        <v>46266</v>
      </c>
      <c r="N433" s="74">
        <f t="shared" ca="1" si="54"/>
        <v>0</v>
      </c>
      <c r="O433" s="108" t="s">
        <v>2</v>
      </c>
      <c r="P433" s="14"/>
    </row>
    <row r="434" spans="1:16" ht="51.6" customHeight="1" x14ac:dyDescent="0.3">
      <c r="A434" s="3"/>
      <c r="B434" s="19" t="s">
        <v>2499</v>
      </c>
      <c r="C434" s="63">
        <v>0</v>
      </c>
      <c r="D434" s="13" t="s">
        <v>2500</v>
      </c>
      <c r="E434" s="5" t="s">
        <v>2501</v>
      </c>
      <c r="F434" s="4">
        <v>46249</v>
      </c>
      <c r="G434" s="7" t="s">
        <v>2502</v>
      </c>
      <c r="H434" s="15">
        <v>46250</v>
      </c>
      <c r="I434" s="113">
        <f t="shared" si="47"/>
        <v>2</v>
      </c>
      <c r="J434" s="7" t="s">
        <v>2503</v>
      </c>
      <c r="K434" s="4">
        <v>46252</v>
      </c>
      <c r="L434" s="7" t="s">
        <v>2504</v>
      </c>
      <c r="M434" s="66">
        <v>46252</v>
      </c>
      <c r="N434" s="27">
        <f t="shared" ca="1" si="54"/>
        <v>0</v>
      </c>
      <c r="O434" s="10" t="s">
        <v>2</v>
      </c>
      <c r="P434" s="14"/>
    </row>
    <row r="435" spans="1:16" ht="51.6" customHeight="1" x14ac:dyDescent="0.3">
      <c r="A435" s="3"/>
      <c r="B435" s="19" t="s">
        <v>2505</v>
      </c>
      <c r="C435" s="63">
        <v>0</v>
      </c>
      <c r="D435" s="13" t="s">
        <v>2506</v>
      </c>
      <c r="E435" s="5" t="s">
        <v>2507</v>
      </c>
      <c r="F435" s="4">
        <v>46253</v>
      </c>
      <c r="G435" s="7" t="s">
        <v>2508</v>
      </c>
      <c r="H435" s="15">
        <v>46253</v>
      </c>
      <c r="I435" s="113">
        <f t="shared" si="47"/>
        <v>8</v>
      </c>
      <c r="J435" s="7" t="s">
        <v>2509</v>
      </c>
      <c r="K435" s="4">
        <v>46261</v>
      </c>
      <c r="L435" s="7" t="s">
        <v>2510</v>
      </c>
      <c r="M435" s="66">
        <v>46264</v>
      </c>
      <c r="N435" s="74">
        <f t="shared" ca="1" si="54"/>
        <v>0</v>
      </c>
      <c r="O435" s="104" t="s">
        <v>2</v>
      </c>
      <c r="P435" s="14"/>
    </row>
    <row r="436" spans="1:16" ht="51.6" customHeight="1" x14ac:dyDescent="0.3">
      <c r="A436" s="3"/>
      <c r="B436" s="19" t="s">
        <v>2511</v>
      </c>
      <c r="C436" s="63">
        <v>1</v>
      </c>
      <c r="D436" s="13" t="s">
        <v>2512</v>
      </c>
      <c r="E436" s="5" t="s">
        <v>2513</v>
      </c>
      <c r="F436" s="4">
        <v>46271</v>
      </c>
      <c r="G436" s="7" t="s">
        <v>2514</v>
      </c>
      <c r="H436" s="15">
        <v>46273</v>
      </c>
      <c r="I436" s="113">
        <f t="shared" si="47"/>
        <v>7</v>
      </c>
      <c r="J436" s="7" t="s">
        <v>2515</v>
      </c>
      <c r="K436" s="4">
        <v>46280</v>
      </c>
      <c r="L436" s="7" t="s">
        <v>2516</v>
      </c>
      <c r="M436" s="66">
        <v>46280</v>
      </c>
      <c r="N436" s="74">
        <f t="shared" ca="1" si="54"/>
        <v>0</v>
      </c>
      <c r="O436" s="69" t="s">
        <v>2</v>
      </c>
      <c r="P436" s="14"/>
    </row>
    <row r="437" spans="1:16" ht="51.6" customHeight="1" x14ac:dyDescent="0.3">
      <c r="A437" s="3"/>
      <c r="B437" s="19" t="s">
        <v>2517</v>
      </c>
      <c r="C437" s="63">
        <v>2</v>
      </c>
      <c r="D437" s="13" t="s">
        <v>2518</v>
      </c>
      <c r="E437" s="5" t="s">
        <v>2513</v>
      </c>
      <c r="F437" s="4">
        <v>46292</v>
      </c>
      <c r="G437" s="7" t="s">
        <v>2519</v>
      </c>
      <c r="H437" s="15">
        <v>46293</v>
      </c>
      <c r="I437" s="113">
        <f t="shared" si="47"/>
        <v>-46293</v>
      </c>
      <c r="J437" s="7"/>
      <c r="K437" s="4"/>
      <c r="L437" s="7"/>
      <c r="M437" s="66"/>
      <c r="N437" s="27">
        <f t="shared" ca="1" si="54"/>
        <v>7</v>
      </c>
      <c r="O437" s="69" t="s">
        <v>7</v>
      </c>
      <c r="P437" s="14"/>
    </row>
    <row r="438" spans="1:16" ht="51.6" customHeight="1" x14ac:dyDescent="0.3">
      <c r="A438" s="3"/>
      <c r="B438" s="19" t="s">
        <v>2520</v>
      </c>
      <c r="C438" s="63">
        <v>0</v>
      </c>
      <c r="D438" s="13" t="s">
        <v>2521</v>
      </c>
      <c r="E438" s="5" t="s">
        <v>2522</v>
      </c>
      <c r="F438" s="4">
        <v>46249</v>
      </c>
      <c r="G438" s="7" t="s">
        <v>2523</v>
      </c>
      <c r="H438" s="15">
        <v>46250</v>
      </c>
      <c r="I438" s="113">
        <f t="shared" si="47"/>
        <v>11</v>
      </c>
      <c r="J438" s="7" t="s">
        <v>2524</v>
      </c>
      <c r="K438" s="4">
        <v>46261</v>
      </c>
      <c r="L438" s="7" t="s">
        <v>2525</v>
      </c>
      <c r="M438" s="66">
        <v>46264</v>
      </c>
      <c r="N438" s="74">
        <f t="shared" ca="1" si="54"/>
        <v>0</v>
      </c>
      <c r="O438" s="108" t="s">
        <v>2</v>
      </c>
      <c r="P438" s="14"/>
    </row>
    <row r="439" spans="1:16" ht="51.6" customHeight="1" x14ac:dyDescent="0.3">
      <c r="A439" s="3"/>
      <c r="B439" s="19" t="s">
        <v>2526</v>
      </c>
      <c r="C439" s="63">
        <v>0</v>
      </c>
      <c r="D439" s="13" t="s">
        <v>2527</v>
      </c>
      <c r="E439" s="5" t="s">
        <v>2528</v>
      </c>
      <c r="F439" s="4">
        <v>46249</v>
      </c>
      <c r="G439" s="7" t="s">
        <v>2529</v>
      </c>
      <c r="H439" s="15">
        <v>46250</v>
      </c>
      <c r="I439" s="113">
        <f t="shared" si="47"/>
        <v>11</v>
      </c>
      <c r="J439" s="7" t="s">
        <v>2530</v>
      </c>
      <c r="K439" s="4">
        <v>46261</v>
      </c>
      <c r="L439" s="7" t="s">
        <v>2531</v>
      </c>
      <c r="M439" s="66">
        <v>46264</v>
      </c>
      <c r="N439" s="74">
        <f t="shared" ca="1" si="54"/>
        <v>0</v>
      </c>
      <c r="O439" s="108" t="s">
        <v>2</v>
      </c>
      <c r="P439" s="14"/>
    </row>
    <row r="440" spans="1:16" ht="51.6" customHeight="1" x14ac:dyDescent="0.3">
      <c r="A440" s="3"/>
      <c r="B440" s="19" t="s">
        <v>2532</v>
      </c>
      <c r="C440" s="63"/>
      <c r="D440" s="13"/>
      <c r="E440" s="5"/>
      <c r="F440" s="4"/>
      <c r="G440" s="7"/>
      <c r="H440" s="15"/>
      <c r="I440" s="113">
        <f t="shared" si="47"/>
        <v>0</v>
      </c>
      <c r="J440" s="7"/>
      <c r="K440" s="4"/>
      <c r="L440" s="7"/>
      <c r="M440" s="66"/>
      <c r="N440" s="74">
        <f t="shared" ca="1" si="54"/>
        <v>46299</v>
      </c>
      <c r="O440" s="108"/>
      <c r="P440" s="14"/>
    </row>
    <row r="441" spans="1:16" ht="51.6" customHeight="1" x14ac:dyDescent="0.3">
      <c r="A441" s="3"/>
      <c r="B441" s="19" t="s">
        <v>2533</v>
      </c>
      <c r="C441" s="63">
        <v>0</v>
      </c>
      <c r="D441" s="13" t="s">
        <v>2534</v>
      </c>
      <c r="E441" s="5" t="s">
        <v>2535</v>
      </c>
      <c r="F441" s="4">
        <v>46250</v>
      </c>
      <c r="G441" s="7" t="s">
        <v>2536</v>
      </c>
      <c r="H441" s="15">
        <v>46250</v>
      </c>
      <c r="I441" s="113">
        <f t="shared" si="47"/>
        <v>8</v>
      </c>
      <c r="J441" s="7" t="s">
        <v>2537</v>
      </c>
      <c r="K441" s="4">
        <v>46258</v>
      </c>
      <c r="L441" s="7" t="s">
        <v>2538</v>
      </c>
      <c r="M441" s="66">
        <v>46258</v>
      </c>
      <c r="N441" s="74">
        <f t="shared" ca="1" si="54"/>
        <v>0</v>
      </c>
      <c r="O441" s="108" t="s">
        <v>2</v>
      </c>
      <c r="P441" s="14"/>
    </row>
    <row r="442" spans="1:16" ht="51.6" customHeight="1" x14ac:dyDescent="0.3">
      <c r="A442" s="3"/>
      <c r="B442" s="19" t="s">
        <v>2539</v>
      </c>
      <c r="C442" s="63">
        <v>1</v>
      </c>
      <c r="D442" s="13" t="s">
        <v>2540</v>
      </c>
      <c r="E442" s="5" t="s">
        <v>2541</v>
      </c>
      <c r="F442" s="4">
        <v>46264</v>
      </c>
      <c r="G442" s="7" t="s">
        <v>2542</v>
      </c>
      <c r="H442" s="15">
        <v>46265</v>
      </c>
      <c r="I442" s="113">
        <f t="shared" si="47"/>
        <v>7</v>
      </c>
      <c r="J442" s="7" t="s">
        <v>2543</v>
      </c>
      <c r="K442" s="4">
        <v>46272</v>
      </c>
      <c r="L442" s="7" t="s">
        <v>2544</v>
      </c>
      <c r="M442" s="4">
        <v>46273</v>
      </c>
      <c r="N442" s="74">
        <f t="shared" ca="1" si="54"/>
        <v>0</v>
      </c>
      <c r="O442" s="104" t="s">
        <v>2</v>
      </c>
      <c r="P442" s="14"/>
    </row>
    <row r="443" spans="1:16" ht="51.6" customHeight="1" x14ac:dyDescent="0.3">
      <c r="A443" s="3"/>
      <c r="B443" s="19" t="s">
        <v>2545</v>
      </c>
      <c r="C443" s="63">
        <v>0</v>
      </c>
      <c r="D443" s="13" t="s">
        <v>2546</v>
      </c>
      <c r="E443" s="5" t="s">
        <v>2547</v>
      </c>
      <c r="F443" s="4">
        <v>46256</v>
      </c>
      <c r="G443" s="7" t="s">
        <v>2548</v>
      </c>
      <c r="H443" s="15">
        <v>46257</v>
      </c>
      <c r="I443" s="113">
        <f t="shared" si="47"/>
        <v>10</v>
      </c>
      <c r="J443" s="7" t="s">
        <v>2549</v>
      </c>
      <c r="K443" s="4">
        <v>46267</v>
      </c>
      <c r="L443" s="7" t="s">
        <v>2550</v>
      </c>
      <c r="M443" s="66">
        <v>46267</v>
      </c>
      <c r="N443" s="74">
        <f t="shared" ca="1" si="54"/>
        <v>0</v>
      </c>
      <c r="O443" s="108" t="s">
        <v>2</v>
      </c>
      <c r="P443" s="14"/>
    </row>
    <row r="444" spans="1:16" ht="51.6" customHeight="1" x14ac:dyDescent="0.3">
      <c r="A444" s="3"/>
      <c r="B444" s="19" t="s">
        <v>2551</v>
      </c>
      <c r="C444" s="63">
        <v>0</v>
      </c>
      <c r="D444" s="13" t="s">
        <v>2552</v>
      </c>
      <c r="E444" s="5" t="s">
        <v>2553</v>
      </c>
      <c r="F444" s="4">
        <v>46256</v>
      </c>
      <c r="G444" s="7" t="s">
        <v>2554</v>
      </c>
      <c r="H444" s="15">
        <v>46257</v>
      </c>
      <c r="I444" s="113">
        <f t="shared" si="47"/>
        <v>9</v>
      </c>
      <c r="J444" s="7" t="s">
        <v>2555</v>
      </c>
      <c r="K444" s="4">
        <v>46266</v>
      </c>
      <c r="L444" s="7" t="s">
        <v>2556</v>
      </c>
      <c r="M444" s="66">
        <v>46266</v>
      </c>
      <c r="N444" s="74">
        <f t="shared" ca="1" si="54"/>
        <v>0</v>
      </c>
      <c r="O444" s="108" t="s">
        <v>2</v>
      </c>
      <c r="P444" s="14"/>
    </row>
    <row r="445" spans="1:16" ht="51.6" customHeight="1" x14ac:dyDescent="0.3">
      <c r="A445" s="3"/>
      <c r="B445" s="19" t="s">
        <v>3334</v>
      </c>
      <c r="C445" s="63">
        <v>1</v>
      </c>
      <c r="D445" s="13" t="s">
        <v>3335</v>
      </c>
      <c r="E445" s="5" t="s">
        <v>3336</v>
      </c>
      <c r="F445" s="4">
        <v>46296</v>
      </c>
      <c r="G445" s="7" t="s">
        <v>3337</v>
      </c>
      <c r="H445" s="15">
        <v>46296</v>
      </c>
      <c r="I445" s="113">
        <f t="shared" si="47"/>
        <v>-46296</v>
      </c>
      <c r="J445" s="7"/>
      <c r="K445" s="4"/>
      <c r="L445" s="7"/>
      <c r="M445" s="66"/>
      <c r="N445" s="74"/>
      <c r="O445" s="122" t="s">
        <v>7</v>
      </c>
      <c r="P445" s="14"/>
    </row>
    <row r="446" spans="1:16" ht="51.6" customHeight="1" x14ac:dyDescent="0.3">
      <c r="A446" s="3"/>
      <c r="B446" s="19" t="s">
        <v>2557</v>
      </c>
      <c r="C446" s="63">
        <v>0</v>
      </c>
      <c r="D446" s="13" t="s">
        <v>2558</v>
      </c>
      <c r="E446" s="5" t="s">
        <v>2559</v>
      </c>
      <c r="F446" s="4">
        <v>46253</v>
      </c>
      <c r="G446" s="7" t="s">
        <v>2560</v>
      </c>
      <c r="H446" s="15">
        <v>46253</v>
      </c>
      <c r="I446" s="113">
        <f t="shared" si="47"/>
        <v>8</v>
      </c>
      <c r="J446" s="7" t="s">
        <v>2561</v>
      </c>
      <c r="K446" s="4">
        <v>46261</v>
      </c>
      <c r="L446" s="7" t="s">
        <v>2562</v>
      </c>
      <c r="M446" s="66">
        <v>46264</v>
      </c>
      <c r="N446" s="74">
        <f t="shared" ca="1" si="54"/>
        <v>0</v>
      </c>
      <c r="O446" s="10" t="s">
        <v>2</v>
      </c>
      <c r="P446" s="14"/>
    </row>
    <row r="447" spans="1:16" ht="51.6" customHeight="1" x14ac:dyDescent="0.3">
      <c r="A447" s="3"/>
      <c r="B447" s="19" t="s">
        <v>2563</v>
      </c>
      <c r="C447" s="63">
        <v>0</v>
      </c>
      <c r="D447" s="13" t="s">
        <v>2564</v>
      </c>
      <c r="E447" s="5" t="s">
        <v>2565</v>
      </c>
      <c r="F447" s="4">
        <v>46263</v>
      </c>
      <c r="G447" s="7" t="s">
        <v>2566</v>
      </c>
      <c r="H447" s="15">
        <v>46264</v>
      </c>
      <c r="I447" s="113">
        <f t="shared" si="47"/>
        <v>8</v>
      </c>
      <c r="J447" s="7" t="s">
        <v>2567</v>
      </c>
      <c r="K447" s="4">
        <v>46272</v>
      </c>
      <c r="L447" s="7" t="s">
        <v>2568</v>
      </c>
      <c r="M447" s="4">
        <v>46273</v>
      </c>
      <c r="N447" s="74">
        <f t="shared" ca="1" si="54"/>
        <v>0</v>
      </c>
      <c r="O447" s="104" t="s">
        <v>2</v>
      </c>
      <c r="P447" s="14"/>
    </row>
    <row r="448" spans="1:16" ht="51.6" customHeight="1" x14ac:dyDescent="0.3">
      <c r="A448" s="3"/>
      <c r="B448" s="19" t="s">
        <v>2569</v>
      </c>
      <c r="C448" s="63">
        <v>0</v>
      </c>
      <c r="D448" s="13" t="s">
        <v>2570</v>
      </c>
      <c r="E448" s="5" t="s">
        <v>2571</v>
      </c>
      <c r="F448" s="4">
        <v>46253</v>
      </c>
      <c r="G448" s="7" t="s">
        <v>2572</v>
      </c>
      <c r="H448" s="15">
        <v>46253</v>
      </c>
      <c r="I448" s="113">
        <f t="shared" si="47"/>
        <v>8</v>
      </c>
      <c r="J448" s="7" t="s">
        <v>2573</v>
      </c>
      <c r="K448" s="4">
        <v>46261</v>
      </c>
      <c r="L448" s="7" t="s">
        <v>2574</v>
      </c>
      <c r="M448" s="66">
        <v>46264</v>
      </c>
      <c r="N448" s="74">
        <f t="shared" ca="1" si="54"/>
        <v>0</v>
      </c>
      <c r="O448" s="108" t="s">
        <v>2</v>
      </c>
      <c r="P448" s="14"/>
    </row>
    <row r="449" spans="1:16" ht="51.6" customHeight="1" x14ac:dyDescent="0.3">
      <c r="A449" s="3"/>
      <c r="B449" s="19" t="s">
        <v>2575</v>
      </c>
      <c r="C449" s="63">
        <v>0</v>
      </c>
      <c r="D449" s="13" t="s">
        <v>2576</v>
      </c>
      <c r="E449" s="5" t="s">
        <v>2577</v>
      </c>
      <c r="F449" s="4">
        <v>46253</v>
      </c>
      <c r="G449" s="7" t="s">
        <v>2578</v>
      </c>
      <c r="H449" s="15">
        <v>46253</v>
      </c>
      <c r="I449" s="113">
        <f t="shared" si="47"/>
        <v>8</v>
      </c>
      <c r="J449" s="7" t="s">
        <v>2579</v>
      </c>
      <c r="K449" s="4">
        <v>46261</v>
      </c>
      <c r="L449" s="7" t="s">
        <v>2580</v>
      </c>
      <c r="M449" s="66">
        <v>46264</v>
      </c>
      <c r="N449" s="74">
        <f t="shared" ca="1" si="54"/>
        <v>0</v>
      </c>
      <c r="O449" s="108" t="s">
        <v>2</v>
      </c>
      <c r="P449" s="14"/>
    </row>
    <row r="450" spans="1:16" ht="51.6" customHeight="1" x14ac:dyDescent="0.3">
      <c r="A450" s="3"/>
      <c r="B450" s="19" t="s">
        <v>2581</v>
      </c>
      <c r="C450" s="63">
        <v>0</v>
      </c>
      <c r="D450" s="13" t="s">
        <v>2582</v>
      </c>
      <c r="E450" s="5" t="s">
        <v>2583</v>
      </c>
      <c r="F450" s="4">
        <v>46265</v>
      </c>
      <c r="G450" s="7" t="s">
        <v>2584</v>
      </c>
      <c r="H450" s="15">
        <v>46266</v>
      </c>
      <c r="I450" s="113">
        <f t="shared" si="47"/>
        <v>7</v>
      </c>
      <c r="J450" s="7" t="s">
        <v>2585</v>
      </c>
      <c r="K450" s="4">
        <v>46273</v>
      </c>
      <c r="L450" s="7" t="s">
        <v>2586</v>
      </c>
      <c r="M450" s="4">
        <v>46273</v>
      </c>
      <c r="N450" s="74">
        <f t="shared" ca="1" si="54"/>
        <v>0</v>
      </c>
      <c r="O450" s="108" t="s">
        <v>2</v>
      </c>
      <c r="P450" s="14"/>
    </row>
    <row r="451" spans="1:16" ht="51.6" customHeight="1" x14ac:dyDescent="0.3">
      <c r="A451" s="3"/>
      <c r="B451" s="19" t="s">
        <v>2587</v>
      </c>
      <c r="C451" s="63">
        <v>0</v>
      </c>
      <c r="D451" s="13" t="s">
        <v>2588</v>
      </c>
      <c r="E451" s="5" t="s">
        <v>2589</v>
      </c>
      <c r="F451" s="4">
        <v>46265</v>
      </c>
      <c r="G451" s="7" t="s">
        <v>2590</v>
      </c>
      <c r="H451" s="15">
        <v>46266</v>
      </c>
      <c r="I451" s="113">
        <f t="shared" ref="I451:I494" si="55">K451-H451</f>
        <v>14</v>
      </c>
      <c r="J451" s="7" t="s">
        <v>2591</v>
      </c>
      <c r="K451" s="4">
        <v>46280</v>
      </c>
      <c r="L451" s="7" t="s">
        <v>2592</v>
      </c>
      <c r="M451" s="66">
        <v>46280</v>
      </c>
      <c r="N451" s="74">
        <f t="shared" ca="1" si="54"/>
        <v>0</v>
      </c>
      <c r="O451" s="108" t="s">
        <v>2</v>
      </c>
      <c r="P451" s="14"/>
    </row>
    <row r="452" spans="1:16" ht="51.6" customHeight="1" x14ac:dyDescent="0.3">
      <c r="A452" s="3"/>
      <c r="B452" s="19" t="s">
        <v>2593</v>
      </c>
      <c r="C452" s="63">
        <v>0</v>
      </c>
      <c r="D452" s="13" t="s">
        <v>2594</v>
      </c>
      <c r="E452" s="5" t="s">
        <v>2595</v>
      </c>
      <c r="F452" s="4">
        <v>46253</v>
      </c>
      <c r="G452" s="7" t="s">
        <v>2596</v>
      </c>
      <c r="H452" s="15">
        <v>46253</v>
      </c>
      <c r="I452" s="113">
        <f t="shared" si="55"/>
        <v>8</v>
      </c>
      <c r="J452" s="7" t="s">
        <v>2597</v>
      </c>
      <c r="K452" s="4">
        <v>46261</v>
      </c>
      <c r="L452" s="7" t="s">
        <v>2598</v>
      </c>
      <c r="M452" s="66">
        <v>46264</v>
      </c>
      <c r="N452" s="74">
        <f t="shared" ca="1" si="54"/>
        <v>0</v>
      </c>
      <c r="O452" s="108" t="s">
        <v>2</v>
      </c>
      <c r="P452" s="14"/>
    </row>
    <row r="453" spans="1:16" ht="51.6" customHeight="1" x14ac:dyDescent="0.3">
      <c r="A453" s="3"/>
      <c r="B453" s="19" t="s">
        <v>2599</v>
      </c>
      <c r="C453" s="63">
        <v>0</v>
      </c>
      <c r="D453" s="13" t="s">
        <v>2600</v>
      </c>
      <c r="E453" s="5" t="s">
        <v>2601</v>
      </c>
      <c r="F453" s="4">
        <v>46253</v>
      </c>
      <c r="G453" s="7" t="s">
        <v>2602</v>
      </c>
      <c r="H453" s="15">
        <v>46253</v>
      </c>
      <c r="I453" s="113">
        <f t="shared" si="55"/>
        <v>8</v>
      </c>
      <c r="J453" s="7" t="s">
        <v>2603</v>
      </c>
      <c r="K453" s="4">
        <v>46261</v>
      </c>
      <c r="L453" s="7" t="s">
        <v>2604</v>
      </c>
      <c r="M453" s="66">
        <v>46264</v>
      </c>
      <c r="N453" s="74">
        <f t="shared" ca="1" si="54"/>
        <v>0</v>
      </c>
      <c r="O453" s="108" t="s">
        <v>2</v>
      </c>
      <c r="P453" s="14"/>
    </row>
    <row r="454" spans="1:16" ht="51.6" customHeight="1" x14ac:dyDescent="0.3">
      <c r="A454" s="3"/>
      <c r="B454" s="19" t="s">
        <v>2605</v>
      </c>
      <c r="C454" s="63">
        <v>0</v>
      </c>
      <c r="D454" s="13" t="s">
        <v>2606</v>
      </c>
      <c r="E454" s="5" t="s">
        <v>2607</v>
      </c>
      <c r="F454" s="4">
        <v>46253</v>
      </c>
      <c r="G454" s="7" t="s">
        <v>2608</v>
      </c>
      <c r="H454" s="15">
        <v>46253</v>
      </c>
      <c r="I454" s="113">
        <f t="shared" si="55"/>
        <v>8</v>
      </c>
      <c r="J454" s="7" t="s">
        <v>2609</v>
      </c>
      <c r="K454" s="4">
        <v>46261</v>
      </c>
      <c r="L454" s="7" t="s">
        <v>2610</v>
      </c>
      <c r="M454" s="66">
        <v>46264</v>
      </c>
      <c r="N454" s="74">
        <f t="shared" ca="1" si="54"/>
        <v>0</v>
      </c>
      <c r="O454" s="108" t="s">
        <v>2</v>
      </c>
      <c r="P454" s="14"/>
    </row>
    <row r="455" spans="1:16" ht="51.6" customHeight="1" x14ac:dyDescent="0.3">
      <c r="A455" s="3"/>
      <c r="B455" s="19" t="s">
        <v>2611</v>
      </c>
      <c r="C455" s="63">
        <v>0</v>
      </c>
      <c r="D455" s="13" t="s">
        <v>2612</v>
      </c>
      <c r="E455" s="5" t="s">
        <v>2613</v>
      </c>
      <c r="F455" s="4">
        <v>46263</v>
      </c>
      <c r="G455" s="7" t="s">
        <v>2614</v>
      </c>
      <c r="H455" s="15">
        <v>46263</v>
      </c>
      <c r="I455" s="113">
        <f t="shared" si="55"/>
        <v>10</v>
      </c>
      <c r="J455" s="7" t="s">
        <v>2615</v>
      </c>
      <c r="K455" s="4">
        <v>46273</v>
      </c>
      <c r="L455" s="7" t="s">
        <v>2616</v>
      </c>
      <c r="M455" s="4">
        <v>46273</v>
      </c>
      <c r="N455" s="74">
        <f t="shared" ca="1" si="54"/>
        <v>0</v>
      </c>
      <c r="O455" s="108" t="s">
        <v>2</v>
      </c>
      <c r="P455" s="14"/>
    </row>
    <row r="456" spans="1:16" ht="51.6" customHeight="1" x14ac:dyDescent="0.3">
      <c r="A456" s="3"/>
      <c r="B456" s="19" t="s">
        <v>2617</v>
      </c>
      <c r="C456" s="63">
        <v>0</v>
      </c>
      <c r="D456" s="13" t="s">
        <v>2618</v>
      </c>
      <c r="E456" s="5" t="s">
        <v>2619</v>
      </c>
      <c r="F456" s="4">
        <v>46257</v>
      </c>
      <c r="G456" s="7" t="s">
        <v>2620</v>
      </c>
      <c r="H456" s="15">
        <v>46257</v>
      </c>
      <c r="I456" s="113">
        <f t="shared" si="55"/>
        <v>5</v>
      </c>
      <c r="J456" s="7" t="s">
        <v>2621</v>
      </c>
      <c r="K456" s="4">
        <v>46262</v>
      </c>
      <c r="L456" s="7" t="s">
        <v>2622</v>
      </c>
      <c r="M456" s="66">
        <v>46264</v>
      </c>
      <c r="N456" s="74">
        <f t="shared" ca="1" si="54"/>
        <v>0</v>
      </c>
      <c r="O456" s="108" t="s">
        <v>2</v>
      </c>
      <c r="P456" s="14"/>
    </row>
    <row r="457" spans="1:16" ht="51.6" customHeight="1" x14ac:dyDescent="0.3">
      <c r="A457" s="3"/>
      <c r="B457" s="19" t="s">
        <v>2623</v>
      </c>
      <c r="C457" s="63">
        <v>0</v>
      </c>
      <c r="D457" s="13" t="s">
        <v>2624</v>
      </c>
      <c r="E457" s="5" t="s">
        <v>2625</v>
      </c>
      <c r="F457" s="4">
        <v>46256</v>
      </c>
      <c r="G457" s="7" t="s">
        <v>2626</v>
      </c>
      <c r="H457" s="15">
        <v>46257</v>
      </c>
      <c r="I457" s="113">
        <f t="shared" si="55"/>
        <v>9</v>
      </c>
      <c r="J457" s="7" t="s">
        <v>2627</v>
      </c>
      <c r="K457" s="4">
        <v>46266</v>
      </c>
      <c r="L457" s="7" t="s">
        <v>2628</v>
      </c>
      <c r="M457" s="66">
        <v>46266</v>
      </c>
      <c r="N457" s="74">
        <f t="shared" ca="1" si="54"/>
        <v>0</v>
      </c>
      <c r="O457" s="108" t="s">
        <v>2</v>
      </c>
      <c r="P457" s="14"/>
    </row>
    <row r="458" spans="1:16" ht="51.6" customHeight="1" x14ac:dyDescent="0.3">
      <c r="A458" s="3"/>
      <c r="B458" s="19" t="s">
        <v>2629</v>
      </c>
      <c r="C458" s="63">
        <v>0</v>
      </c>
      <c r="D458" s="13" t="s">
        <v>2630</v>
      </c>
      <c r="E458" s="5" t="s">
        <v>2631</v>
      </c>
      <c r="F458" s="4">
        <v>46253</v>
      </c>
      <c r="G458" s="7" t="s">
        <v>2632</v>
      </c>
      <c r="H458" s="15">
        <v>46253</v>
      </c>
      <c r="I458" s="113">
        <f t="shared" si="55"/>
        <v>8</v>
      </c>
      <c r="J458" s="7" t="s">
        <v>2633</v>
      </c>
      <c r="K458" s="4">
        <v>46261</v>
      </c>
      <c r="L458" s="7" t="s">
        <v>2634</v>
      </c>
      <c r="M458" s="66">
        <v>46264</v>
      </c>
      <c r="N458" s="74">
        <f t="shared" ca="1" si="54"/>
        <v>0</v>
      </c>
      <c r="O458" s="108" t="s">
        <v>2</v>
      </c>
      <c r="P458" s="14"/>
    </row>
    <row r="459" spans="1:16" ht="51.6" customHeight="1" x14ac:dyDescent="0.3">
      <c r="A459" s="3"/>
      <c r="B459" s="19" t="s">
        <v>2635</v>
      </c>
      <c r="C459" s="63">
        <v>0</v>
      </c>
      <c r="D459" s="13" t="s">
        <v>2636</v>
      </c>
      <c r="E459" s="5" t="s">
        <v>2637</v>
      </c>
      <c r="F459" s="4">
        <v>46253</v>
      </c>
      <c r="G459" s="7" t="s">
        <v>2638</v>
      </c>
      <c r="H459" s="15">
        <v>46253</v>
      </c>
      <c r="I459" s="113">
        <f t="shared" si="55"/>
        <v>8</v>
      </c>
      <c r="J459" s="7" t="s">
        <v>2639</v>
      </c>
      <c r="K459" s="4">
        <v>46261</v>
      </c>
      <c r="L459" s="7" t="s">
        <v>2640</v>
      </c>
      <c r="M459" s="66">
        <v>46264</v>
      </c>
      <c r="N459" s="74">
        <f t="shared" ca="1" si="54"/>
        <v>0</v>
      </c>
      <c r="O459" s="108" t="s">
        <v>2</v>
      </c>
      <c r="P459" s="14"/>
    </row>
    <row r="460" spans="1:16" ht="51.6" customHeight="1" x14ac:dyDescent="0.3">
      <c r="A460" s="3"/>
      <c r="B460" s="19" t="s">
        <v>2641</v>
      </c>
      <c r="C460" s="63">
        <v>0</v>
      </c>
      <c r="D460" s="13" t="s">
        <v>2642</v>
      </c>
      <c r="E460" s="5" t="s">
        <v>2643</v>
      </c>
      <c r="F460" s="4">
        <v>46253</v>
      </c>
      <c r="G460" s="7" t="s">
        <v>2644</v>
      </c>
      <c r="H460" s="15">
        <v>46253</v>
      </c>
      <c r="I460" s="113">
        <f t="shared" si="55"/>
        <v>11</v>
      </c>
      <c r="J460" s="7" t="s">
        <v>2645</v>
      </c>
      <c r="K460" s="4">
        <v>46264</v>
      </c>
      <c r="L460" s="7" t="s">
        <v>2646</v>
      </c>
      <c r="M460" s="66">
        <v>46264</v>
      </c>
      <c r="N460" s="74">
        <f t="shared" ca="1" si="54"/>
        <v>0</v>
      </c>
      <c r="O460" s="108" t="s">
        <v>2</v>
      </c>
      <c r="P460" s="14"/>
    </row>
    <row r="461" spans="1:16" ht="51.6" customHeight="1" x14ac:dyDescent="0.3">
      <c r="A461" s="3"/>
      <c r="B461" s="19" t="s">
        <v>2647</v>
      </c>
      <c r="C461" s="63">
        <v>0</v>
      </c>
      <c r="D461" s="13" t="s">
        <v>2648</v>
      </c>
      <c r="E461" s="5" t="s">
        <v>2649</v>
      </c>
      <c r="F461" s="4">
        <v>46253</v>
      </c>
      <c r="G461" s="7" t="s">
        <v>2650</v>
      </c>
      <c r="H461" s="15">
        <v>46253</v>
      </c>
      <c r="I461" s="113">
        <f t="shared" si="55"/>
        <v>11</v>
      </c>
      <c r="J461" s="7" t="s">
        <v>2651</v>
      </c>
      <c r="K461" s="4">
        <v>46264</v>
      </c>
      <c r="L461" s="7" t="s">
        <v>2652</v>
      </c>
      <c r="M461" s="66">
        <v>46264</v>
      </c>
      <c r="N461" s="74">
        <f t="shared" ca="1" si="54"/>
        <v>0</v>
      </c>
      <c r="O461" s="108" t="s">
        <v>2</v>
      </c>
      <c r="P461" s="14"/>
    </row>
    <row r="462" spans="1:16" ht="51.6" customHeight="1" x14ac:dyDescent="0.3">
      <c r="A462" s="3"/>
      <c r="B462" s="19" t="s">
        <v>2653</v>
      </c>
      <c r="C462" s="63">
        <v>0</v>
      </c>
      <c r="D462" s="13" t="s">
        <v>2654</v>
      </c>
      <c r="E462" s="5" t="s">
        <v>2655</v>
      </c>
      <c r="F462" s="4">
        <v>46253</v>
      </c>
      <c r="G462" s="7" t="s">
        <v>2656</v>
      </c>
      <c r="H462" s="15">
        <v>46253</v>
      </c>
      <c r="I462" s="113">
        <f t="shared" si="55"/>
        <v>8</v>
      </c>
      <c r="J462" s="7" t="s">
        <v>2657</v>
      </c>
      <c r="K462" s="4">
        <v>46261</v>
      </c>
      <c r="L462" s="7" t="s">
        <v>2658</v>
      </c>
      <c r="M462" s="66">
        <v>46264</v>
      </c>
      <c r="N462" s="74">
        <f t="shared" ca="1" si="54"/>
        <v>0</v>
      </c>
      <c r="O462" s="108" t="s">
        <v>2</v>
      </c>
      <c r="P462" s="14"/>
    </row>
    <row r="463" spans="1:16" ht="51.6" customHeight="1" x14ac:dyDescent="0.3">
      <c r="A463" s="3"/>
      <c r="B463" s="19" t="s">
        <v>2659</v>
      </c>
      <c r="C463" s="63">
        <v>1</v>
      </c>
      <c r="D463" s="13" t="s">
        <v>2660</v>
      </c>
      <c r="E463" s="5" t="s">
        <v>2661</v>
      </c>
      <c r="F463" s="4">
        <v>46269</v>
      </c>
      <c r="G463" s="7" t="s">
        <v>2662</v>
      </c>
      <c r="H463" s="15">
        <v>46273</v>
      </c>
      <c r="I463" s="113">
        <f t="shared" si="55"/>
        <v>2</v>
      </c>
      <c r="J463" s="7" t="s">
        <v>2663</v>
      </c>
      <c r="K463" s="4">
        <v>46275</v>
      </c>
      <c r="L463" s="7" t="s">
        <v>2664</v>
      </c>
      <c r="M463" s="4">
        <v>46279</v>
      </c>
      <c r="N463" s="74">
        <f t="shared" ca="1" si="54"/>
        <v>0</v>
      </c>
      <c r="O463" s="108" t="s">
        <v>2</v>
      </c>
      <c r="P463" s="14"/>
    </row>
    <row r="464" spans="1:16" ht="51.6" customHeight="1" x14ac:dyDescent="0.3">
      <c r="A464" s="3"/>
      <c r="B464" s="19" t="s">
        <v>2665</v>
      </c>
      <c r="C464" s="63">
        <v>0</v>
      </c>
      <c r="D464" s="13" t="s">
        <v>2666</v>
      </c>
      <c r="E464" s="5" t="s">
        <v>2667</v>
      </c>
      <c r="F464" s="4">
        <v>46253</v>
      </c>
      <c r="G464" s="7" t="s">
        <v>2668</v>
      </c>
      <c r="H464" s="15">
        <v>46253</v>
      </c>
      <c r="I464" s="113">
        <f t="shared" si="55"/>
        <v>8</v>
      </c>
      <c r="J464" s="7" t="s">
        <v>2669</v>
      </c>
      <c r="K464" s="4">
        <v>46261</v>
      </c>
      <c r="L464" s="7" t="s">
        <v>2670</v>
      </c>
      <c r="M464" s="66">
        <v>46264</v>
      </c>
      <c r="N464" s="74">
        <f t="shared" ca="1" si="54"/>
        <v>0</v>
      </c>
      <c r="O464" s="108" t="s">
        <v>2</v>
      </c>
      <c r="P464" s="14"/>
    </row>
    <row r="465" spans="1:16" ht="51.6" customHeight="1" x14ac:dyDescent="0.3">
      <c r="A465" s="3"/>
      <c r="B465" s="19" t="s">
        <v>2671</v>
      </c>
      <c r="C465" s="63">
        <v>0</v>
      </c>
      <c r="D465" s="13" t="s">
        <v>2672</v>
      </c>
      <c r="E465" s="5" t="s">
        <v>2673</v>
      </c>
      <c r="F465" s="4">
        <v>46253</v>
      </c>
      <c r="G465" s="7" t="s">
        <v>2674</v>
      </c>
      <c r="H465" s="15">
        <v>46253</v>
      </c>
      <c r="I465" s="113">
        <f t="shared" si="55"/>
        <v>11</v>
      </c>
      <c r="J465" s="7" t="s">
        <v>2675</v>
      </c>
      <c r="K465" s="4">
        <v>46264</v>
      </c>
      <c r="L465" s="7" t="s">
        <v>2676</v>
      </c>
      <c r="M465" s="66">
        <v>46261</v>
      </c>
      <c r="N465" s="74">
        <f t="shared" ca="1" si="54"/>
        <v>0</v>
      </c>
      <c r="O465" s="108" t="s">
        <v>2</v>
      </c>
      <c r="P465" s="14" t="s">
        <v>2677</v>
      </c>
    </row>
    <row r="466" spans="1:16" ht="51.6" customHeight="1" x14ac:dyDescent="0.3">
      <c r="A466" s="3"/>
      <c r="B466" s="19" t="s">
        <v>2678</v>
      </c>
      <c r="C466" s="63">
        <v>0</v>
      </c>
      <c r="D466" s="13" t="s">
        <v>2679</v>
      </c>
      <c r="E466" s="5" t="s">
        <v>2680</v>
      </c>
      <c r="F466" s="4">
        <v>46254</v>
      </c>
      <c r="G466" s="7" t="s">
        <v>2681</v>
      </c>
      <c r="H466" s="15">
        <v>46257</v>
      </c>
      <c r="I466" s="113">
        <f t="shared" si="55"/>
        <v>4</v>
      </c>
      <c r="J466" s="7" t="s">
        <v>2682</v>
      </c>
      <c r="K466" s="4">
        <v>46261</v>
      </c>
      <c r="L466" s="7" t="s">
        <v>2683</v>
      </c>
      <c r="M466" s="66">
        <v>46264</v>
      </c>
      <c r="N466" s="74">
        <f t="shared" ca="1" si="54"/>
        <v>0</v>
      </c>
      <c r="O466" s="108" t="s">
        <v>2</v>
      </c>
      <c r="P466" s="14"/>
    </row>
    <row r="467" spans="1:16" ht="51.6" customHeight="1" x14ac:dyDescent="0.3">
      <c r="A467" s="3"/>
      <c r="B467" s="19" t="s">
        <v>2684</v>
      </c>
      <c r="C467" s="63">
        <v>0</v>
      </c>
      <c r="D467" s="13" t="s">
        <v>2685</v>
      </c>
      <c r="E467" s="5" t="s">
        <v>2686</v>
      </c>
      <c r="F467" s="4">
        <v>46254</v>
      </c>
      <c r="G467" s="7" t="s">
        <v>2687</v>
      </c>
      <c r="H467" s="15">
        <v>46257</v>
      </c>
      <c r="I467" s="113">
        <f t="shared" si="55"/>
        <v>4</v>
      </c>
      <c r="J467" s="7" t="s">
        <v>2688</v>
      </c>
      <c r="K467" s="4">
        <v>46261</v>
      </c>
      <c r="L467" s="7" t="s">
        <v>2689</v>
      </c>
      <c r="M467" s="66">
        <v>46264</v>
      </c>
      <c r="N467" s="74">
        <f t="shared" ca="1" si="54"/>
        <v>0</v>
      </c>
      <c r="O467" s="108" t="s">
        <v>2</v>
      </c>
      <c r="P467" s="14"/>
    </row>
    <row r="468" spans="1:16" ht="51.6" customHeight="1" x14ac:dyDescent="0.3">
      <c r="A468" s="3"/>
      <c r="B468" s="19" t="s">
        <v>2690</v>
      </c>
      <c r="C468" s="63">
        <v>0</v>
      </c>
      <c r="D468" s="13" t="s">
        <v>2691</v>
      </c>
      <c r="E468" s="5" t="s">
        <v>2692</v>
      </c>
      <c r="F468" s="4">
        <v>46254</v>
      </c>
      <c r="G468" s="7" t="s">
        <v>2693</v>
      </c>
      <c r="H468" s="15">
        <v>46257</v>
      </c>
      <c r="I468" s="113">
        <f t="shared" si="55"/>
        <v>9</v>
      </c>
      <c r="J468" s="7" t="s">
        <v>2694</v>
      </c>
      <c r="K468" s="4">
        <v>46266</v>
      </c>
      <c r="L468" s="7" t="s">
        <v>2695</v>
      </c>
      <c r="M468" s="66">
        <v>46266</v>
      </c>
      <c r="N468" s="74">
        <f t="shared" ca="1" si="54"/>
        <v>0</v>
      </c>
      <c r="O468" s="108" t="s">
        <v>2</v>
      </c>
      <c r="P468" s="14"/>
    </row>
    <row r="469" spans="1:16" ht="51.6" customHeight="1" x14ac:dyDescent="0.3">
      <c r="A469" s="3"/>
      <c r="B469" s="19" t="s">
        <v>2696</v>
      </c>
      <c r="C469" s="63">
        <v>0</v>
      </c>
      <c r="D469" s="13" t="s">
        <v>2697</v>
      </c>
      <c r="E469" s="5" t="s">
        <v>2698</v>
      </c>
      <c r="F469" s="4">
        <v>46254</v>
      </c>
      <c r="G469" s="7" t="s">
        <v>2699</v>
      </c>
      <c r="H469" s="15">
        <v>46257</v>
      </c>
      <c r="I469" s="113">
        <f t="shared" si="55"/>
        <v>9</v>
      </c>
      <c r="J469" s="7" t="s">
        <v>2700</v>
      </c>
      <c r="K469" s="4">
        <v>46266</v>
      </c>
      <c r="L469" s="7" t="s">
        <v>2701</v>
      </c>
      <c r="M469" s="66">
        <v>46266</v>
      </c>
      <c r="N469" s="74">
        <f t="shared" ca="1" si="54"/>
        <v>0</v>
      </c>
      <c r="O469" s="108" t="s">
        <v>2</v>
      </c>
      <c r="P469" s="14"/>
    </row>
    <row r="470" spans="1:16" ht="51.6" customHeight="1" x14ac:dyDescent="0.3">
      <c r="A470" s="3"/>
      <c r="B470" s="19" t="s">
        <v>2702</v>
      </c>
      <c r="C470" s="63">
        <v>0</v>
      </c>
      <c r="D470" s="13" t="s">
        <v>2703</v>
      </c>
      <c r="E470" s="5" t="s">
        <v>2704</v>
      </c>
      <c r="F470" s="4">
        <v>46257</v>
      </c>
      <c r="G470" s="7" t="s">
        <v>2705</v>
      </c>
      <c r="H470" s="15">
        <v>46257</v>
      </c>
      <c r="I470" s="113">
        <f t="shared" si="55"/>
        <v>3</v>
      </c>
      <c r="J470" s="7" t="s">
        <v>2706</v>
      </c>
      <c r="K470" s="4">
        <v>46260</v>
      </c>
      <c r="L470" s="7" t="s">
        <v>2707</v>
      </c>
      <c r="M470" s="4">
        <v>46273</v>
      </c>
      <c r="N470" s="74">
        <f t="shared" ca="1" si="54"/>
        <v>0</v>
      </c>
      <c r="O470" s="108" t="s">
        <v>2</v>
      </c>
      <c r="P470" s="14"/>
    </row>
    <row r="471" spans="1:16" ht="51.6" customHeight="1" x14ac:dyDescent="0.3">
      <c r="A471" s="3"/>
      <c r="B471" s="19" t="s">
        <v>2708</v>
      </c>
      <c r="C471" s="63">
        <v>0</v>
      </c>
      <c r="D471" s="13" t="s">
        <v>2709</v>
      </c>
      <c r="E471" s="5" t="s">
        <v>2710</v>
      </c>
      <c r="F471" s="4">
        <v>46256</v>
      </c>
      <c r="G471" s="7" t="s">
        <v>2711</v>
      </c>
      <c r="H471" s="15">
        <v>46257</v>
      </c>
      <c r="I471" s="113">
        <f t="shared" si="55"/>
        <v>9</v>
      </c>
      <c r="J471" s="7" t="s">
        <v>2712</v>
      </c>
      <c r="K471" s="4">
        <v>46266</v>
      </c>
      <c r="L471" s="7" t="s">
        <v>2713</v>
      </c>
      <c r="M471" s="66">
        <v>46267</v>
      </c>
      <c r="N471" s="74">
        <f t="shared" ca="1" si="54"/>
        <v>0</v>
      </c>
      <c r="O471" s="108" t="s">
        <v>2</v>
      </c>
      <c r="P471" s="14"/>
    </row>
    <row r="472" spans="1:16" ht="51.6" customHeight="1" x14ac:dyDescent="0.3">
      <c r="A472" s="3"/>
      <c r="B472" s="19" t="s">
        <v>2714</v>
      </c>
      <c r="C472" s="63">
        <v>0</v>
      </c>
      <c r="D472" s="13" t="s">
        <v>2715</v>
      </c>
      <c r="E472" s="5" t="s">
        <v>2716</v>
      </c>
      <c r="F472" s="4">
        <v>46257</v>
      </c>
      <c r="G472" s="7" t="s">
        <v>2717</v>
      </c>
      <c r="H472" s="15">
        <v>46257</v>
      </c>
      <c r="I472" s="113">
        <f t="shared" si="55"/>
        <v>7</v>
      </c>
      <c r="J472" s="7" t="s">
        <v>2718</v>
      </c>
      <c r="K472" s="4">
        <v>46264</v>
      </c>
      <c r="L472" s="7" t="s">
        <v>2719</v>
      </c>
      <c r="M472" s="66">
        <v>46264</v>
      </c>
      <c r="N472" s="74">
        <f t="shared" ca="1" si="54"/>
        <v>0</v>
      </c>
      <c r="O472" s="108" t="s">
        <v>2</v>
      </c>
      <c r="P472" s="14"/>
    </row>
    <row r="473" spans="1:16" ht="51.6" customHeight="1" x14ac:dyDescent="0.3">
      <c r="A473" s="3"/>
      <c r="B473" s="19" t="s">
        <v>2720</v>
      </c>
      <c r="C473" s="63">
        <v>0</v>
      </c>
      <c r="D473" s="13" t="s">
        <v>2721</v>
      </c>
      <c r="E473" s="5" t="s">
        <v>2722</v>
      </c>
      <c r="F473" s="4">
        <v>46257</v>
      </c>
      <c r="G473" s="7" t="s">
        <v>2723</v>
      </c>
      <c r="H473" s="15">
        <v>46257</v>
      </c>
      <c r="I473" s="113">
        <f t="shared" si="55"/>
        <v>9</v>
      </c>
      <c r="J473" s="7" t="s">
        <v>2724</v>
      </c>
      <c r="K473" s="4">
        <v>46266</v>
      </c>
      <c r="L473" s="7" t="s">
        <v>2725</v>
      </c>
      <c r="M473" s="66">
        <v>46266</v>
      </c>
      <c r="N473" s="74">
        <f t="shared" ca="1" si="54"/>
        <v>0</v>
      </c>
      <c r="O473" s="108" t="s">
        <v>2</v>
      </c>
      <c r="P473" s="14"/>
    </row>
    <row r="474" spans="1:16" ht="51.6" customHeight="1" x14ac:dyDescent="0.3">
      <c r="A474" s="3"/>
      <c r="B474" s="120" t="s">
        <v>2726</v>
      </c>
      <c r="C474" s="63">
        <v>0</v>
      </c>
      <c r="D474" s="13" t="s">
        <v>2727</v>
      </c>
      <c r="E474" s="5" t="s">
        <v>2728</v>
      </c>
      <c r="F474" s="4">
        <v>46264</v>
      </c>
      <c r="G474" s="7" t="s">
        <v>2729</v>
      </c>
      <c r="H474" s="15">
        <v>46265</v>
      </c>
      <c r="I474" s="113">
        <f t="shared" si="55"/>
        <v>8</v>
      </c>
      <c r="J474" s="7" t="s">
        <v>2730</v>
      </c>
      <c r="K474" s="4">
        <v>46273</v>
      </c>
      <c r="L474" s="7" t="s">
        <v>2731</v>
      </c>
      <c r="M474" s="4">
        <v>46273</v>
      </c>
      <c r="N474" s="74">
        <f t="shared" ca="1" si="54"/>
        <v>0</v>
      </c>
      <c r="O474" s="108" t="s">
        <v>2</v>
      </c>
      <c r="P474" s="14"/>
    </row>
    <row r="475" spans="1:16" ht="51.6" customHeight="1" x14ac:dyDescent="0.3">
      <c r="A475" s="3"/>
      <c r="B475" s="19" t="s">
        <v>2732</v>
      </c>
      <c r="C475" s="63">
        <v>0</v>
      </c>
      <c r="D475" s="13" t="s">
        <v>2733</v>
      </c>
      <c r="E475" s="5" t="s">
        <v>2734</v>
      </c>
      <c r="F475" s="4">
        <v>46263</v>
      </c>
      <c r="G475" s="7" t="s">
        <v>2735</v>
      </c>
      <c r="H475" s="15">
        <v>46264</v>
      </c>
      <c r="I475" s="113">
        <f t="shared" si="55"/>
        <v>3</v>
      </c>
      <c r="J475" s="7" t="s">
        <v>2736</v>
      </c>
      <c r="K475" s="4">
        <v>46267</v>
      </c>
      <c r="L475" s="7" t="s">
        <v>2737</v>
      </c>
      <c r="M475" s="66">
        <v>46267</v>
      </c>
      <c r="N475" s="74">
        <f t="shared" ca="1" si="54"/>
        <v>0</v>
      </c>
      <c r="O475" s="108" t="s">
        <v>2</v>
      </c>
      <c r="P475" s="14"/>
    </row>
    <row r="476" spans="1:16" ht="51.6" customHeight="1" x14ac:dyDescent="0.3">
      <c r="A476" s="3"/>
      <c r="B476" s="19" t="s">
        <v>2738</v>
      </c>
      <c r="C476" s="63">
        <v>0</v>
      </c>
      <c r="D476" s="13" t="s">
        <v>2739</v>
      </c>
      <c r="E476" s="5" t="s">
        <v>2740</v>
      </c>
      <c r="F476" s="4">
        <v>46256</v>
      </c>
      <c r="G476" s="7" t="s">
        <v>2741</v>
      </c>
      <c r="H476" s="15">
        <v>46257</v>
      </c>
      <c r="I476" s="113">
        <f t="shared" si="55"/>
        <v>9</v>
      </c>
      <c r="J476" s="7" t="s">
        <v>2742</v>
      </c>
      <c r="K476" s="4">
        <v>46266</v>
      </c>
      <c r="L476" s="7" t="s">
        <v>2743</v>
      </c>
      <c r="M476" s="66">
        <v>46266</v>
      </c>
      <c r="N476" s="74">
        <f t="shared" ca="1" si="54"/>
        <v>0</v>
      </c>
      <c r="O476" s="108" t="s">
        <v>2</v>
      </c>
      <c r="P476" s="14"/>
    </row>
    <row r="477" spans="1:16" ht="51.6" customHeight="1" x14ac:dyDescent="0.3">
      <c r="A477" s="3"/>
      <c r="B477" s="19" t="s">
        <v>2744</v>
      </c>
      <c r="C477" s="63">
        <v>0</v>
      </c>
      <c r="D477" s="13" t="s">
        <v>2745</v>
      </c>
      <c r="E477" s="5" t="s">
        <v>2746</v>
      </c>
      <c r="F477" s="4">
        <v>46256</v>
      </c>
      <c r="G477" s="7" t="s">
        <v>2747</v>
      </c>
      <c r="H477" s="15">
        <v>46257</v>
      </c>
      <c r="I477" s="113">
        <f t="shared" si="55"/>
        <v>9</v>
      </c>
      <c r="J477" s="7" t="s">
        <v>2748</v>
      </c>
      <c r="K477" s="4">
        <v>46266</v>
      </c>
      <c r="L477" s="7" t="s">
        <v>2749</v>
      </c>
      <c r="M477" s="66">
        <v>46266</v>
      </c>
      <c r="N477" s="74">
        <f t="shared" ref="N477:N479" ca="1" si="56">IF(AND(M477="",TODAY()-F477&gt;7),TODAY()-F477-7,0)</f>
        <v>0</v>
      </c>
      <c r="O477" s="108" t="s">
        <v>2</v>
      </c>
      <c r="P477" s="14"/>
    </row>
    <row r="478" spans="1:16" ht="51.6" customHeight="1" x14ac:dyDescent="0.3">
      <c r="A478" s="3"/>
      <c r="B478" s="19" t="s">
        <v>2750</v>
      </c>
      <c r="C478" s="63">
        <v>0</v>
      </c>
      <c r="D478" s="13" t="s">
        <v>2751</v>
      </c>
      <c r="E478" s="5" t="s">
        <v>2752</v>
      </c>
      <c r="F478" s="4">
        <v>46263</v>
      </c>
      <c r="G478" s="7" t="s">
        <v>2753</v>
      </c>
      <c r="H478" s="15">
        <v>46264</v>
      </c>
      <c r="I478" s="113">
        <f t="shared" si="55"/>
        <v>12</v>
      </c>
      <c r="J478" s="7" t="s">
        <v>2754</v>
      </c>
      <c r="K478" s="4">
        <v>46276</v>
      </c>
      <c r="L478" s="7" t="s">
        <v>2755</v>
      </c>
      <c r="M478" s="66">
        <v>46266</v>
      </c>
      <c r="N478" s="27">
        <f t="shared" ca="1" si="56"/>
        <v>0</v>
      </c>
      <c r="O478" s="108" t="s">
        <v>2</v>
      </c>
      <c r="P478" s="14"/>
    </row>
    <row r="479" spans="1:16" ht="51.6" customHeight="1" x14ac:dyDescent="0.3">
      <c r="A479" s="3"/>
      <c r="B479" s="19" t="s">
        <v>2756</v>
      </c>
      <c r="C479" s="63">
        <v>0</v>
      </c>
      <c r="D479" s="13" t="s">
        <v>2751</v>
      </c>
      <c r="E479" s="5" t="s">
        <v>2757</v>
      </c>
      <c r="F479" s="4">
        <v>46264</v>
      </c>
      <c r="G479" s="7" t="s">
        <v>2758</v>
      </c>
      <c r="H479" s="15">
        <v>46265</v>
      </c>
      <c r="I479" s="113">
        <f t="shared" si="55"/>
        <v>8</v>
      </c>
      <c r="J479" s="7" t="s">
        <v>2759</v>
      </c>
      <c r="K479" s="4">
        <v>46273</v>
      </c>
      <c r="L479" s="7" t="s">
        <v>2760</v>
      </c>
      <c r="M479" s="4">
        <v>46273</v>
      </c>
      <c r="N479" s="27">
        <f t="shared" ca="1" si="56"/>
        <v>0</v>
      </c>
      <c r="O479" s="108" t="s">
        <v>2</v>
      </c>
      <c r="P479" s="14"/>
    </row>
    <row r="480" spans="1:16" ht="51.6" customHeight="1" x14ac:dyDescent="0.3">
      <c r="A480" s="3"/>
      <c r="B480" s="19" t="s">
        <v>2761</v>
      </c>
      <c r="C480" s="63">
        <v>0</v>
      </c>
      <c r="D480" s="13" t="s">
        <v>2762</v>
      </c>
      <c r="E480" s="5" t="s">
        <v>2763</v>
      </c>
      <c r="F480" s="4">
        <v>46264</v>
      </c>
      <c r="G480" s="7" t="s">
        <v>2764</v>
      </c>
      <c r="H480" s="15">
        <v>46265</v>
      </c>
      <c r="I480" s="113">
        <f t="shared" si="55"/>
        <v>7</v>
      </c>
      <c r="J480" s="7" t="s">
        <v>2765</v>
      </c>
      <c r="K480" s="4">
        <v>46272</v>
      </c>
      <c r="L480" s="7" t="s">
        <v>2766</v>
      </c>
      <c r="M480" s="8">
        <v>46273</v>
      </c>
      <c r="N480" s="27">
        <f t="shared" ref="N480" ca="1" si="57">IF(AND(M480="",TODAY()-F480&gt;7),TODAY()-F480-7,0)</f>
        <v>0</v>
      </c>
      <c r="O480" s="108" t="s">
        <v>2</v>
      </c>
      <c r="P480" s="14"/>
    </row>
    <row r="481" spans="1:16" ht="51.6" customHeight="1" x14ac:dyDescent="0.3">
      <c r="A481" s="3"/>
      <c r="B481" s="19" t="s">
        <v>2767</v>
      </c>
      <c r="C481" s="63">
        <v>0</v>
      </c>
      <c r="D481" s="13" t="s">
        <v>2768</v>
      </c>
      <c r="E481" s="5" t="s">
        <v>2769</v>
      </c>
      <c r="F481" s="4">
        <v>46264</v>
      </c>
      <c r="G481" s="7" t="s">
        <v>2770</v>
      </c>
      <c r="H481" s="15">
        <v>46265</v>
      </c>
      <c r="I481" s="113">
        <f t="shared" si="55"/>
        <v>15</v>
      </c>
      <c r="J481" s="7" t="s">
        <v>2771</v>
      </c>
      <c r="K481" s="4">
        <v>46280</v>
      </c>
      <c r="L481" s="7" t="s">
        <v>2772</v>
      </c>
      <c r="M481" s="66">
        <v>46280</v>
      </c>
      <c r="N481" s="27">
        <f t="shared" ref="N481:N493" ca="1" si="58">IF(AND(M481="",TODAY()-F481&gt;7),TODAY()-F481-7,0)</f>
        <v>0</v>
      </c>
      <c r="O481" s="108" t="s">
        <v>2</v>
      </c>
      <c r="P481" s="14"/>
    </row>
    <row r="482" spans="1:16" ht="51.6" customHeight="1" x14ac:dyDescent="0.3">
      <c r="A482" s="3"/>
      <c r="B482" s="19" t="s">
        <v>2773</v>
      </c>
      <c r="C482" s="63">
        <v>0</v>
      </c>
      <c r="D482" s="13" t="s">
        <v>2774</v>
      </c>
      <c r="E482" s="5" t="s">
        <v>2775</v>
      </c>
      <c r="F482" s="4">
        <v>46269</v>
      </c>
      <c r="G482" s="7" t="s">
        <v>2776</v>
      </c>
      <c r="H482" s="15">
        <v>46273</v>
      </c>
      <c r="I482" s="113">
        <f t="shared" ref="I482:I483" si="59">K482-H482</f>
        <v>7</v>
      </c>
      <c r="J482" s="7" t="s">
        <v>2777</v>
      </c>
      <c r="K482" s="4">
        <v>46280</v>
      </c>
      <c r="L482" s="7" t="s">
        <v>2778</v>
      </c>
      <c r="M482" s="66">
        <v>46280</v>
      </c>
      <c r="N482" s="27">
        <f t="shared" ca="1" si="58"/>
        <v>0</v>
      </c>
      <c r="O482" s="108" t="s">
        <v>2</v>
      </c>
      <c r="P482" s="14"/>
    </row>
    <row r="483" spans="1:16" ht="51.6" customHeight="1" x14ac:dyDescent="0.3">
      <c r="A483" s="3"/>
      <c r="B483" s="19" t="s">
        <v>2779</v>
      </c>
      <c r="C483" s="63">
        <v>0</v>
      </c>
      <c r="D483" s="13" t="s">
        <v>2780</v>
      </c>
      <c r="E483" s="5" t="s">
        <v>2781</v>
      </c>
      <c r="F483" s="4">
        <v>46269</v>
      </c>
      <c r="G483" s="7" t="s">
        <v>2782</v>
      </c>
      <c r="H483" s="15">
        <v>46273</v>
      </c>
      <c r="I483" s="113">
        <f t="shared" si="59"/>
        <v>7</v>
      </c>
      <c r="J483" s="7" t="s">
        <v>2783</v>
      </c>
      <c r="K483" s="4">
        <v>46280</v>
      </c>
      <c r="L483" s="7" t="s">
        <v>2784</v>
      </c>
      <c r="M483" s="66">
        <v>46280</v>
      </c>
      <c r="N483" s="27">
        <f t="shared" ca="1" si="58"/>
        <v>0</v>
      </c>
      <c r="O483" s="108" t="s">
        <v>2</v>
      </c>
      <c r="P483" s="14"/>
    </row>
    <row r="484" spans="1:16" ht="51.6" customHeight="1" x14ac:dyDescent="0.3">
      <c r="A484" s="3"/>
      <c r="B484" s="19" t="s">
        <v>2785</v>
      </c>
      <c r="C484" s="63">
        <v>0</v>
      </c>
      <c r="D484" s="13" t="s">
        <v>2786</v>
      </c>
      <c r="E484" s="5" t="s">
        <v>2787</v>
      </c>
      <c r="F484" s="4">
        <v>46270</v>
      </c>
      <c r="G484" s="7" t="s">
        <v>2788</v>
      </c>
      <c r="H484" s="15">
        <v>46273</v>
      </c>
      <c r="I484" s="113">
        <f t="shared" si="55"/>
        <v>7</v>
      </c>
      <c r="J484" s="7" t="s">
        <v>2789</v>
      </c>
      <c r="K484" s="4">
        <v>46280</v>
      </c>
      <c r="L484" s="7" t="s">
        <v>2790</v>
      </c>
      <c r="M484" s="66">
        <v>46280</v>
      </c>
      <c r="N484" s="27">
        <f t="shared" ca="1" si="58"/>
        <v>0</v>
      </c>
      <c r="O484" s="108" t="s">
        <v>2</v>
      </c>
      <c r="P484" s="14"/>
    </row>
    <row r="485" spans="1:16" ht="51.6" customHeight="1" x14ac:dyDescent="0.3">
      <c r="A485" s="3"/>
      <c r="B485" s="19" t="s">
        <v>2791</v>
      </c>
      <c r="C485" s="63">
        <v>0</v>
      </c>
      <c r="D485" s="13" t="s">
        <v>2792</v>
      </c>
      <c r="E485" s="5" t="s">
        <v>2793</v>
      </c>
      <c r="F485" s="4">
        <v>46270</v>
      </c>
      <c r="G485" s="7" t="s">
        <v>2794</v>
      </c>
      <c r="H485" s="15">
        <v>46273</v>
      </c>
      <c r="I485" s="113">
        <f t="shared" si="55"/>
        <v>7</v>
      </c>
      <c r="J485" s="7" t="s">
        <v>2795</v>
      </c>
      <c r="K485" s="4">
        <v>46280</v>
      </c>
      <c r="L485" s="7" t="s">
        <v>2796</v>
      </c>
      <c r="M485" s="66">
        <v>46280</v>
      </c>
      <c r="N485" s="27">
        <f t="shared" ca="1" si="58"/>
        <v>0</v>
      </c>
      <c r="O485" s="108" t="s">
        <v>2</v>
      </c>
      <c r="P485" s="14"/>
    </row>
    <row r="486" spans="1:16" ht="51.6" customHeight="1" x14ac:dyDescent="0.3">
      <c r="A486" s="3"/>
      <c r="B486" s="19" t="s">
        <v>2797</v>
      </c>
      <c r="C486" s="63">
        <v>0</v>
      </c>
      <c r="D486" s="13" t="s">
        <v>2798</v>
      </c>
      <c r="E486" s="5" t="s">
        <v>2799</v>
      </c>
      <c r="F486" s="4">
        <v>46270</v>
      </c>
      <c r="G486" s="7" t="s">
        <v>2800</v>
      </c>
      <c r="H486" s="15">
        <v>46273</v>
      </c>
      <c r="I486" s="113">
        <f t="shared" si="55"/>
        <v>7</v>
      </c>
      <c r="J486" s="7" t="s">
        <v>2801</v>
      </c>
      <c r="K486" s="4">
        <v>46280</v>
      </c>
      <c r="L486" s="7" t="s">
        <v>2802</v>
      </c>
      <c r="M486" s="66">
        <v>46280</v>
      </c>
      <c r="N486" s="27">
        <f t="shared" ca="1" si="58"/>
        <v>0</v>
      </c>
      <c r="O486" s="108" t="s">
        <v>2</v>
      </c>
      <c r="P486" s="14"/>
    </row>
    <row r="487" spans="1:16" ht="51.6" customHeight="1" x14ac:dyDescent="0.3">
      <c r="A487" s="3"/>
      <c r="B487" s="19" t="s">
        <v>2803</v>
      </c>
      <c r="C487" s="63">
        <v>0</v>
      </c>
      <c r="D487" s="13" t="s">
        <v>2804</v>
      </c>
      <c r="E487" s="5" t="s">
        <v>2805</v>
      </c>
      <c r="F487" s="4">
        <v>46266</v>
      </c>
      <c r="G487" s="7" t="s">
        <v>2806</v>
      </c>
      <c r="H487" s="15">
        <v>46267</v>
      </c>
      <c r="I487" s="113">
        <f t="shared" si="55"/>
        <v>5</v>
      </c>
      <c r="J487" s="7" t="s">
        <v>2807</v>
      </c>
      <c r="K487" s="4">
        <v>46272</v>
      </c>
      <c r="L487" s="7" t="s">
        <v>2808</v>
      </c>
      <c r="M487" s="8">
        <v>46273</v>
      </c>
      <c r="N487" s="27">
        <f t="shared" ca="1" si="58"/>
        <v>0</v>
      </c>
      <c r="O487" s="108" t="s">
        <v>2</v>
      </c>
      <c r="P487" s="14"/>
    </row>
    <row r="488" spans="1:16" ht="51.6" customHeight="1" x14ac:dyDescent="0.3">
      <c r="A488" s="3"/>
      <c r="B488" s="19" t="s">
        <v>2809</v>
      </c>
      <c r="C488" s="63">
        <v>0</v>
      </c>
      <c r="D488" s="13" t="s">
        <v>2810</v>
      </c>
      <c r="E488" s="5" t="s">
        <v>2811</v>
      </c>
      <c r="F488" s="4">
        <v>46266</v>
      </c>
      <c r="G488" s="7" t="s">
        <v>2812</v>
      </c>
      <c r="H488" s="15">
        <v>46267</v>
      </c>
      <c r="I488" s="113">
        <f t="shared" si="55"/>
        <v>5</v>
      </c>
      <c r="J488" s="7" t="s">
        <v>2813</v>
      </c>
      <c r="K488" s="4">
        <v>46272</v>
      </c>
      <c r="L488" s="7" t="s">
        <v>2814</v>
      </c>
      <c r="M488" s="8">
        <v>46273</v>
      </c>
      <c r="N488" s="27">
        <f t="shared" ca="1" si="58"/>
        <v>0</v>
      </c>
      <c r="O488" s="108" t="s">
        <v>2</v>
      </c>
      <c r="P488" s="14"/>
    </row>
    <row r="489" spans="1:16" ht="51.6" customHeight="1" x14ac:dyDescent="0.3">
      <c r="A489" s="3"/>
      <c r="B489" s="19" t="s">
        <v>2815</v>
      </c>
      <c r="C489" s="63">
        <v>0</v>
      </c>
      <c r="D489" s="13" t="s">
        <v>2816</v>
      </c>
      <c r="E489" s="5" t="s">
        <v>2817</v>
      </c>
      <c r="F489" s="4">
        <v>46272</v>
      </c>
      <c r="G489" s="7" t="s">
        <v>2818</v>
      </c>
      <c r="H489" s="15">
        <v>46273</v>
      </c>
      <c r="I489" s="113">
        <f t="shared" si="55"/>
        <v>7</v>
      </c>
      <c r="J489" s="7" t="s">
        <v>2819</v>
      </c>
      <c r="K489" s="4">
        <v>46280</v>
      </c>
      <c r="L489" s="7" t="s">
        <v>2820</v>
      </c>
      <c r="M489" s="66">
        <v>46280</v>
      </c>
      <c r="N489" s="27">
        <f t="shared" ca="1" si="58"/>
        <v>0</v>
      </c>
      <c r="O489" s="108" t="s">
        <v>2</v>
      </c>
      <c r="P489" s="14"/>
    </row>
    <row r="490" spans="1:16" ht="51.6" customHeight="1" x14ac:dyDescent="0.3">
      <c r="A490" s="3"/>
      <c r="B490" s="19" t="s">
        <v>2821</v>
      </c>
      <c r="C490" s="63">
        <v>0</v>
      </c>
      <c r="D490" s="13" t="s">
        <v>2822</v>
      </c>
      <c r="E490" s="5" t="s">
        <v>2823</v>
      </c>
      <c r="F490" s="4">
        <v>46273</v>
      </c>
      <c r="G490" s="7" t="s">
        <v>2824</v>
      </c>
      <c r="H490" s="15">
        <v>46273</v>
      </c>
      <c r="I490" s="113">
        <f t="shared" si="55"/>
        <v>7</v>
      </c>
      <c r="J490" s="7" t="s">
        <v>2825</v>
      </c>
      <c r="K490" s="4">
        <v>46280</v>
      </c>
      <c r="L490" s="7" t="s">
        <v>2826</v>
      </c>
      <c r="M490" s="66">
        <v>46280</v>
      </c>
      <c r="N490" s="27">
        <f t="shared" ca="1" si="58"/>
        <v>0</v>
      </c>
      <c r="O490" s="108" t="s">
        <v>2</v>
      </c>
      <c r="P490" s="14"/>
    </row>
    <row r="491" spans="1:16" ht="51.6" customHeight="1" x14ac:dyDescent="0.3">
      <c r="A491" s="3"/>
      <c r="B491" s="19" t="s">
        <v>2827</v>
      </c>
      <c r="C491" s="63">
        <v>0</v>
      </c>
      <c r="D491" s="13" t="s">
        <v>2828</v>
      </c>
      <c r="E491" s="5" t="s">
        <v>2829</v>
      </c>
      <c r="F491" s="4">
        <v>46273</v>
      </c>
      <c r="G491" s="7" t="s">
        <v>2830</v>
      </c>
      <c r="H491" s="15">
        <v>46273</v>
      </c>
      <c r="I491" s="113">
        <f t="shared" si="55"/>
        <v>2</v>
      </c>
      <c r="J491" s="7" t="s">
        <v>2831</v>
      </c>
      <c r="K491" s="4">
        <v>46275</v>
      </c>
      <c r="L491" s="7" t="s">
        <v>2832</v>
      </c>
      <c r="M491" s="4">
        <v>46275</v>
      </c>
      <c r="N491" s="27">
        <f t="shared" ca="1" si="58"/>
        <v>0</v>
      </c>
      <c r="O491" s="108" t="s">
        <v>2</v>
      </c>
      <c r="P491" s="14"/>
    </row>
    <row r="492" spans="1:16" ht="51.6" customHeight="1" x14ac:dyDescent="0.3">
      <c r="A492" s="3"/>
      <c r="B492" s="19" t="s">
        <v>2833</v>
      </c>
      <c r="C492" s="63">
        <v>0</v>
      </c>
      <c r="D492" s="13" t="s">
        <v>2834</v>
      </c>
      <c r="E492" s="5" t="s">
        <v>2835</v>
      </c>
      <c r="F492" s="4">
        <v>46267</v>
      </c>
      <c r="G492" s="7" t="s">
        <v>2836</v>
      </c>
      <c r="H492" s="15">
        <v>46267</v>
      </c>
      <c r="I492" s="113">
        <f t="shared" si="55"/>
        <v>13</v>
      </c>
      <c r="J492" s="7" t="s">
        <v>2837</v>
      </c>
      <c r="K492" s="4">
        <v>46280</v>
      </c>
      <c r="L492" s="7" t="s">
        <v>2838</v>
      </c>
      <c r="M492" s="66">
        <v>46280</v>
      </c>
      <c r="N492" s="27">
        <f t="shared" ca="1" si="58"/>
        <v>0</v>
      </c>
      <c r="O492" s="108" t="s">
        <v>2</v>
      </c>
      <c r="P492" s="14"/>
    </row>
    <row r="493" spans="1:16" ht="51.6" customHeight="1" x14ac:dyDescent="0.3">
      <c r="A493" s="3"/>
      <c r="B493" s="19" t="s">
        <v>2839</v>
      </c>
      <c r="C493" s="63">
        <v>0</v>
      </c>
      <c r="D493" s="13" t="s">
        <v>2840</v>
      </c>
      <c r="E493" s="5" t="s">
        <v>2841</v>
      </c>
      <c r="F493" s="4">
        <v>46267</v>
      </c>
      <c r="G493" s="7" t="s">
        <v>2842</v>
      </c>
      <c r="H493" s="15">
        <v>46267</v>
      </c>
      <c r="I493" s="113">
        <f t="shared" si="55"/>
        <v>6</v>
      </c>
      <c r="J493" s="7" t="s">
        <v>2843</v>
      </c>
      <c r="K493" s="4">
        <v>46273</v>
      </c>
      <c r="L493" s="7" t="s">
        <v>2844</v>
      </c>
      <c r="M493" s="8">
        <v>46273</v>
      </c>
      <c r="N493" s="27">
        <f t="shared" ca="1" si="58"/>
        <v>0</v>
      </c>
      <c r="O493" s="108" t="s">
        <v>2</v>
      </c>
      <c r="P493" s="14"/>
    </row>
    <row r="494" spans="1:16" ht="51.6" customHeight="1" x14ac:dyDescent="0.3">
      <c r="A494" s="3"/>
      <c r="B494" s="19" t="s">
        <v>2845</v>
      </c>
      <c r="C494" s="63">
        <v>0</v>
      </c>
      <c r="D494" s="13" t="s">
        <v>2846</v>
      </c>
      <c r="E494" s="5" t="s">
        <v>2847</v>
      </c>
      <c r="F494" s="4">
        <v>46267</v>
      </c>
      <c r="G494" s="7" t="s">
        <v>2848</v>
      </c>
      <c r="H494" s="15">
        <v>46267</v>
      </c>
      <c r="I494" s="113">
        <f t="shared" si="55"/>
        <v>6</v>
      </c>
      <c r="J494" s="7" t="s">
        <v>2849</v>
      </c>
      <c r="K494" s="4">
        <v>46273</v>
      </c>
      <c r="L494" s="7" t="s">
        <v>2850</v>
      </c>
      <c r="M494" s="8">
        <v>46273</v>
      </c>
      <c r="N494" s="27">
        <f t="shared" ref="N494" ca="1" si="60">IF(AND(M494="",TODAY()-F494&gt;7),TODAY()-F494-7,0)</f>
        <v>0</v>
      </c>
      <c r="O494" s="108" t="s">
        <v>2</v>
      </c>
      <c r="P494" s="14"/>
    </row>
    <row r="495" spans="1:16" ht="51.6" customHeight="1" x14ac:dyDescent="0.3">
      <c r="A495" s="3"/>
      <c r="B495" s="19" t="s">
        <v>2851</v>
      </c>
      <c r="C495" s="63">
        <v>0</v>
      </c>
      <c r="D495" s="13" t="s">
        <v>2852</v>
      </c>
      <c r="E495" s="5" t="s">
        <v>2853</v>
      </c>
      <c r="F495" s="4">
        <v>46267</v>
      </c>
      <c r="G495" s="7" t="s">
        <v>2854</v>
      </c>
      <c r="H495" s="15">
        <v>46267</v>
      </c>
      <c r="I495" s="113">
        <f t="shared" ref="I495:I497" si="61">K495-H495</f>
        <v>8</v>
      </c>
      <c r="J495" s="7" t="s">
        <v>2855</v>
      </c>
      <c r="K495" s="4">
        <v>46275</v>
      </c>
      <c r="L495" s="7" t="s">
        <v>2856</v>
      </c>
      <c r="M495" s="4">
        <v>46275</v>
      </c>
      <c r="N495" s="27">
        <f t="shared" ref="N495" ca="1" si="62">IF(AND(M495="",TODAY()-F495&gt;7),TODAY()-F495-7,0)</f>
        <v>0</v>
      </c>
      <c r="O495" s="108" t="s">
        <v>2</v>
      </c>
      <c r="P495" s="14"/>
    </row>
    <row r="496" spans="1:16" ht="51.6" customHeight="1" x14ac:dyDescent="0.3">
      <c r="A496" s="3"/>
      <c r="B496" s="19" t="s">
        <v>2857</v>
      </c>
      <c r="C496" s="63">
        <v>0</v>
      </c>
      <c r="D496" s="13" t="s">
        <v>2858</v>
      </c>
      <c r="E496" s="5" t="s">
        <v>2859</v>
      </c>
      <c r="F496" s="4">
        <v>46267</v>
      </c>
      <c r="G496" s="7" t="s">
        <v>2860</v>
      </c>
      <c r="H496" s="15">
        <v>46267</v>
      </c>
      <c r="I496" s="113">
        <f t="shared" si="61"/>
        <v>13</v>
      </c>
      <c r="J496" s="7" t="s">
        <v>2861</v>
      </c>
      <c r="K496" s="4">
        <v>46280</v>
      </c>
      <c r="L496" s="7" t="s">
        <v>2862</v>
      </c>
      <c r="M496" s="66">
        <v>46280</v>
      </c>
      <c r="N496" s="27">
        <f t="shared" ref="N496:N534" ca="1" si="63">IF(AND(M496="",TODAY()-F496&gt;7),TODAY()-F496-7,0)</f>
        <v>0</v>
      </c>
      <c r="O496" s="108" t="s">
        <v>2</v>
      </c>
      <c r="P496" s="14"/>
    </row>
    <row r="497" spans="1:16" ht="51.6" customHeight="1" x14ac:dyDescent="0.3">
      <c r="A497" s="3"/>
      <c r="B497" s="19" t="s">
        <v>2863</v>
      </c>
      <c r="C497" s="63">
        <v>0</v>
      </c>
      <c r="D497" s="13" t="s">
        <v>2864</v>
      </c>
      <c r="E497" s="5" t="s">
        <v>2865</v>
      </c>
      <c r="F497" s="4">
        <v>46269</v>
      </c>
      <c r="G497" s="7" t="s">
        <v>2866</v>
      </c>
      <c r="H497" s="15">
        <v>46273</v>
      </c>
      <c r="I497" s="113">
        <f t="shared" si="61"/>
        <v>2</v>
      </c>
      <c r="J497" s="7" t="s">
        <v>2867</v>
      </c>
      <c r="K497" s="4">
        <v>46275</v>
      </c>
      <c r="L497" s="7" t="s">
        <v>2868</v>
      </c>
      <c r="M497" s="66">
        <v>46275</v>
      </c>
      <c r="N497" s="27">
        <f t="shared" ca="1" si="63"/>
        <v>0</v>
      </c>
      <c r="O497" s="108" t="s">
        <v>2</v>
      </c>
      <c r="P497" s="14"/>
    </row>
    <row r="498" spans="1:16" ht="51.6" customHeight="1" x14ac:dyDescent="0.3">
      <c r="A498" s="3"/>
      <c r="B498" s="19" t="s">
        <v>2869</v>
      </c>
      <c r="C498" s="63">
        <v>0</v>
      </c>
      <c r="D498" s="13" t="s">
        <v>2870</v>
      </c>
      <c r="E498" s="5" t="s">
        <v>2871</v>
      </c>
      <c r="F498" s="4">
        <v>46269</v>
      </c>
      <c r="G498" s="7" t="s">
        <v>2872</v>
      </c>
      <c r="H498" s="15">
        <v>46273</v>
      </c>
      <c r="I498" s="113">
        <f t="shared" ref="I498:I529" si="64">K498-H498</f>
        <v>7</v>
      </c>
      <c r="J498" s="7" t="s">
        <v>2873</v>
      </c>
      <c r="K498" s="4">
        <v>46280</v>
      </c>
      <c r="L498" s="7" t="s">
        <v>2874</v>
      </c>
      <c r="M498" s="66">
        <v>46280</v>
      </c>
      <c r="N498" s="27">
        <f t="shared" ca="1" si="63"/>
        <v>0</v>
      </c>
      <c r="O498" s="108" t="s">
        <v>2</v>
      </c>
      <c r="P498" s="14"/>
    </row>
    <row r="499" spans="1:16" ht="51.6" customHeight="1" x14ac:dyDescent="0.3">
      <c r="A499" s="3"/>
      <c r="B499" s="19" t="s">
        <v>2875</v>
      </c>
      <c r="C499" s="63">
        <v>0</v>
      </c>
      <c r="D499" s="13" t="s">
        <v>2876</v>
      </c>
      <c r="E499" s="5" t="s">
        <v>2877</v>
      </c>
      <c r="F499" s="4">
        <v>46269</v>
      </c>
      <c r="G499" s="7" t="s">
        <v>2878</v>
      </c>
      <c r="H499" s="15">
        <v>46273</v>
      </c>
      <c r="I499" s="113">
        <f t="shared" si="64"/>
        <v>13</v>
      </c>
      <c r="J499" s="7" t="s">
        <v>2879</v>
      </c>
      <c r="K499" s="4">
        <v>46286</v>
      </c>
      <c r="L499" s="7" t="s">
        <v>2880</v>
      </c>
      <c r="M499" s="66">
        <v>46286</v>
      </c>
      <c r="N499" s="27">
        <f t="shared" ca="1" si="63"/>
        <v>0</v>
      </c>
      <c r="O499" s="108" t="s">
        <v>2</v>
      </c>
      <c r="P499" s="14"/>
    </row>
    <row r="500" spans="1:16" ht="51.6" customHeight="1" x14ac:dyDescent="0.3">
      <c r="A500" s="3"/>
      <c r="B500" s="19" t="s">
        <v>2881</v>
      </c>
      <c r="C500" s="63">
        <v>0</v>
      </c>
      <c r="D500" s="13" t="s">
        <v>2882</v>
      </c>
      <c r="E500" s="5" t="s">
        <v>2883</v>
      </c>
      <c r="F500" s="4">
        <v>46269</v>
      </c>
      <c r="G500" s="7" t="s">
        <v>2884</v>
      </c>
      <c r="H500" s="15">
        <v>46273</v>
      </c>
      <c r="I500" s="113">
        <f t="shared" si="64"/>
        <v>7</v>
      </c>
      <c r="J500" s="7" t="s">
        <v>2885</v>
      </c>
      <c r="K500" s="4">
        <v>46280</v>
      </c>
      <c r="L500" s="7" t="s">
        <v>2886</v>
      </c>
      <c r="M500" s="66">
        <v>46280</v>
      </c>
      <c r="N500" s="27">
        <f t="shared" ca="1" si="63"/>
        <v>0</v>
      </c>
      <c r="O500" s="108" t="s">
        <v>2</v>
      </c>
      <c r="P500" s="14"/>
    </row>
    <row r="501" spans="1:16" ht="51.6" customHeight="1" x14ac:dyDescent="0.3">
      <c r="A501" s="3"/>
      <c r="B501" s="19" t="s">
        <v>2887</v>
      </c>
      <c r="C501" s="63">
        <v>0</v>
      </c>
      <c r="D501" s="13" t="s">
        <v>2888</v>
      </c>
      <c r="E501" s="5" t="s">
        <v>2889</v>
      </c>
      <c r="F501" s="4">
        <v>46269</v>
      </c>
      <c r="G501" s="7" t="s">
        <v>2890</v>
      </c>
      <c r="H501" s="15">
        <v>46273</v>
      </c>
      <c r="I501" s="113">
        <f t="shared" si="64"/>
        <v>7</v>
      </c>
      <c r="J501" s="7" t="s">
        <v>2891</v>
      </c>
      <c r="K501" s="4">
        <v>46280</v>
      </c>
      <c r="L501" s="7" t="s">
        <v>2892</v>
      </c>
      <c r="M501" s="66">
        <v>46280</v>
      </c>
      <c r="N501" s="27">
        <f t="shared" ca="1" si="63"/>
        <v>0</v>
      </c>
      <c r="O501" s="108" t="s">
        <v>2</v>
      </c>
      <c r="P501" s="14"/>
    </row>
    <row r="502" spans="1:16" ht="51.6" customHeight="1" x14ac:dyDescent="0.3">
      <c r="A502" s="3"/>
      <c r="B502" s="19" t="s">
        <v>2893</v>
      </c>
      <c r="C502" s="63">
        <v>0</v>
      </c>
      <c r="D502" s="13" t="s">
        <v>2894</v>
      </c>
      <c r="E502" s="5" t="s">
        <v>2895</v>
      </c>
      <c r="F502" s="4">
        <v>46269</v>
      </c>
      <c r="G502" s="7" t="s">
        <v>2896</v>
      </c>
      <c r="H502" s="15">
        <v>46273</v>
      </c>
      <c r="I502" s="113">
        <f t="shared" ref="I502" si="65">K502-H502</f>
        <v>2</v>
      </c>
      <c r="J502" s="7" t="s">
        <v>2897</v>
      </c>
      <c r="K502" s="4">
        <v>46275</v>
      </c>
      <c r="L502" s="7" t="s">
        <v>2898</v>
      </c>
      <c r="M502" s="66">
        <v>46275</v>
      </c>
      <c r="N502" s="27">
        <f t="shared" ca="1" si="63"/>
        <v>0</v>
      </c>
      <c r="O502" s="108" t="s">
        <v>2</v>
      </c>
      <c r="P502" s="14"/>
    </row>
    <row r="503" spans="1:16" ht="51.6" customHeight="1" x14ac:dyDescent="0.3">
      <c r="A503" s="3"/>
      <c r="B503" s="19" t="s">
        <v>2899</v>
      </c>
      <c r="C503" s="63">
        <v>0</v>
      </c>
      <c r="D503" s="13" t="s">
        <v>2900</v>
      </c>
      <c r="E503" s="5" t="s">
        <v>2895</v>
      </c>
      <c r="F503" s="4">
        <v>46269</v>
      </c>
      <c r="G503" s="7" t="s">
        <v>2901</v>
      </c>
      <c r="H503" s="15">
        <v>46273</v>
      </c>
      <c r="I503" s="113">
        <f t="shared" si="64"/>
        <v>2</v>
      </c>
      <c r="J503" s="7" t="s">
        <v>2902</v>
      </c>
      <c r="K503" s="4">
        <v>46275</v>
      </c>
      <c r="L503" s="7" t="s">
        <v>2903</v>
      </c>
      <c r="M503" s="66">
        <v>46275</v>
      </c>
      <c r="N503" s="27">
        <f t="shared" ca="1" si="63"/>
        <v>0</v>
      </c>
      <c r="O503" s="108" t="s">
        <v>2</v>
      </c>
      <c r="P503" s="14"/>
    </row>
    <row r="504" spans="1:16" ht="51.6" customHeight="1" x14ac:dyDescent="0.3">
      <c r="A504" s="3"/>
      <c r="B504" s="19" t="s">
        <v>2904</v>
      </c>
      <c r="C504" s="63">
        <v>0</v>
      </c>
      <c r="D504" s="13" t="s">
        <v>2905</v>
      </c>
      <c r="E504" s="5" t="s">
        <v>2906</v>
      </c>
      <c r="F504" s="4">
        <v>46269</v>
      </c>
      <c r="G504" s="7" t="s">
        <v>2907</v>
      </c>
      <c r="H504" s="15">
        <v>46273</v>
      </c>
      <c r="I504" s="113">
        <f t="shared" si="64"/>
        <v>7</v>
      </c>
      <c r="J504" s="7" t="s">
        <v>2908</v>
      </c>
      <c r="K504" s="4">
        <v>46280</v>
      </c>
      <c r="L504" s="7" t="s">
        <v>2909</v>
      </c>
      <c r="M504" s="66" t="s">
        <v>2910</v>
      </c>
      <c r="N504" s="27">
        <f t="shared" ca="1" si="63"/>
        <v>0</v>
      </c>
      <c r="O504" s="108" t="s">
        <v>2</v>
      </c>
      <c r="P504" s="14"/>
    </row>
    <row r="505" spans="1:16" ht="51.6" customHeight="1" x14ac:dyDescent="0.3">
      <c r="A505" s="3"/>
      <c r="B505" s="19" t="s">
        <v>2911</v>
      </c>
      <c r="C505" s="63">
        <v>0</v>
      </c>
      <c r="D505" s="13" t="s">
        <v>2912</v>
      </c>
      <c r="E505" s="5" t="s">
        <v>2913</v>
      </c>
      <c r="F505" s="4">
        <v>46270</v>
      </c>
      <c r="G505" s="7" t="s">
        <v>2914</v>
      </c>
      <c r="H505" s="15">
        <v>46273</v>
      </c>
      <c r="I505" s="113">
        <f t="shared" si="64"/>
        <v>7</v>
      </c>
      <c r="J505" s="7" t="s">
        <v>2915</v>
      </c>
      <c r="K505" s="4">
        <v>46280</v>
      </c>
      <c r="L505" s="7" t="s">
        <v>2916</v>
      </c>
      <c r="M505" s="66">
        <v>46280</v>
      </c>
      <c r="N505" s="27">
        <f t="shared" ca="1" si="63"/>
        <v>0</v>
      </c>
      <c r="O505" s="108" t="s">
        <v>2</v>
      </c>
      <c r="P505" s="14"/>
    </row>
    <row r="506" spans="1:16" ht="51.6" customHeight="1" x14ac:dyDescent="0.3">
      <c r="A506" s="3"/>
      <c r="B506" s="19" t="s">
        <v>2917</v>
      </c>
      <c r="C506" s="63">
        <v>0</v>
      </c>
      <c r="D506" s="13" t="s">
        <v>2918</v>
      </c>
      <c r="E506" s="5" t="s">
        <v>2919</v>
      </c>
      <c r="F506" s="4">
        <v>46271</v>
      </c>
      <c r="G506" s="7" t="s">
        <v>2920</v>
      </c>
      <c r="H506" s="15">
        <v>46273</v>
      </c>
      <c r="I506" s="113">
        <f t="shared" si="64"/>
        <v>7</v>
      </c>
      <c r="J506" s="7" t="s">
        <v>2921</v>
      </c>
      <c r="K506" s="4">
        <v>46280</v>
      </c>
      <c r="L506" s="7" t="s">
        <v>2922</v>
      </c>
      <c r="M506" s="66">
        <v>46280</v>
      </c>
      <c r="N506" s="27">
        <f t="shared" ca="1" si="63"/>
        <v>0</v>
      </c>
      <c r="O506" s="108" t="s">
        <v>2</v>
      </c>
      <c r="P506" s="14"/>
    </row>
    <row r="507" spans="1:16" ht="51.6" customHeight="1" x14ac:dyDescent="0.3">
      <c r="A507" s="3"/>
      <c r="B507" s="19" t="s">
        <v>2923</v>
      </c>
      <c r="C507" s="63">
        <v>0</v>
      </c>
      <c r="D507" s="13" t="s">
        <v>2924</v>
      </c>
      <c r="E507" s="5" t="s">
        <v>2925</v>
      </c>
      <c r="F507" s="4">
        <v>46271</v>
      </c>
      <c r="G507" s="7" t="s">
        <v>2926</v>
      </c>
      <c r="H507" s="15">
        <v>46273</v>
      </c>
      <c r="I507" s="113">
        <f t="shared" si="64"/>
        <v>7</v>
      </c>
      <c r="J507" s="7" t="s">
        <v>2927</v>
      </c>
      <c r="K507" s="4">
        <v>46280</v>
      </c>
      <c r="L507" s="7" t="s">
        <v>2928</v>
      </c>
      <c r="M507" s="66">
        <v>46280</v>
      </c>
      <c r="N507" s="27">
        <f t="shared" ca="1" si="63"/>
        <v>0</v>
      </c>
      <c r="O507" s="108" t="s">
        <v>2</v>
      </c>
      <c r="P507" s="14"/>
    </row>
    <row r="508" spans="1:16" ht="51.6" customHeight="1" x14ac:dyDescent="0.3">
      <c r="A508" s="3"/>
      <c r="B508" s="19" t="s">
        <v>2929</v>
      </c>
      <c r="C508" s="63">
        <v>0</v>
      </c>
      <c r="D508" s="13" t="s">
        <v>2930</v>
      </c>
      <c r="E508" s="5" t="s">
        <v>2931</v>
      </c>
      <c r="F508" s="4">
        <v>46272</v>
      </c>
      <c r="G508" s="7" t="s">
        <v>2932</v>
      </c>
      <c r="H508" s="15">
        <v>46273</v>
      </c>
      <c r="I508" s="113">
        <f t="shared" si="64"/>
        <v>7</v>
      </c>
      <c r="J508" s="7" t="s">
        <v>2933</v>
      </c>
      <c r="K508" s="4">
        <v>46280</v>
      </c>
      <c r="L508" s="7" t="s">
        <v>2934</v>
      </c>
      <c r="M508" s="66">
        <v>46280</v>
      </c>
      <c r="N508" s="27">
        <f t="shared" ca="1" si="63"/>
        <v>0</v>
      </c>
      <c r="O508" s="108" t="s">
        <v>2</v>
      </c>
      <c r="P508" s="14"/>
    </row>
    <row r="509" spans="1:16" ht="51.6" customHeight="1" x14ac:dyDescent="0.3">
      <c r="A509" s="3"/>
      <c r="B509" s="19" t="s">
        <v>2935</v>
      </c>
      <c r="C509" s="63">
        <v>1</v>
      </c>
      <c r="D509" s="13" t="s">
        <v>2936</v>
      </c>
      <c r="E509" s="5" t="s">
        <v>2931</v>
      </c>
      <c r="F509" s="4">
        <v>46282</v>
      </c>
      <c r="G509" s="7" t="s">
        <v>2937</v>
      </c>
      <c r="H509" s="15">
        <v>46282</v>
      </c>
      <c r="I509" s="113">
        <f t="shared" si="64"/>
        <v>13</v>
      </c>
      <c r="J509" s="7" t="s">
        <v>3213</v>
      </c>
      <c r="K509" s="4">
        <v>46295</v>
      </c>
      <c r="L509" s="7" t="s">
        <v>3214</v>
      </c>
      <c r="M509" s="66">
        <v>46295</v>
      </c>
      <c r="N509" s="27">
        <f t="shared" ca="1" si="63"/>
        <v>0</v>
      </c>
      <c r="O509" s="108" t="s">
        <v>2</v>
      </c>
      <c r="P509" s="14"/>
    </row>
    <row r="510" spans="1:16" ht="51.6" customHeight="1" x14ac:dyDescent="0.3">
      <c r="A510" s="3"/>
      <c r="B510" s="19" t="s">
        <v>2938</v>
      </c>
      <c r="C510" s="63">
        <v>0</v>
      </c>
      <c r="D510" s="13" t="s">
        <v>2939</v>
      </c>
      <c r="E510" s="5" t="s">
        <v>2940</v>
      </c>
      <c r="F510" s="4">
        <v>46271</v>
      </c>
      <c r="G510" s="7" t="s">
        <v>2941</v>
      </c>
      <c r="H510" s="15">
        <v>46273</v>
      </c>
      <c r="I510" s="113">
        <f t="shared" si="64"/>
        <v>22</v>
      </c>
      <c r="J510" s="7" t="s">
        <v>3203</v>
      </c>
      <c r="K510" s="4">
        <v>46295</v>
      </c>
      <c r="L510" s="7" t="s">
        <v>3204</v>
      </c>
      <c r="M510" s="66">
        <v>46295</v>
      </c>
      <c r="N510" s="27">
        <f t="shared" ca="1" si="63"/>
        <v>0</v>
      </c>
      <c r="O510" s="108" t="s">
        <v>2</v>
      </c>
      <c r="P510" s="14"/>
    </row>
    <row r="511" spans="1:16" ht="51.6" customHeight="1" x14ac:dyDescent="0.3">
      <c r="A511" s="3"/>
      <c r="B511" s="19" t="s">
        <v>2942</v>
      </c>
      <c r="C511" s="63">
        <v>0</v>
      </c>
      <c r="D511" s="13" t="s">
        <v>2943</v>
      </c>
      <c r="E511" s="5" t="s">
        <v>2944</v>
      </c>
      <c r="F511" s="4">
        <v>46272</v>
      </c>
      <c r="G511" s="7" t="s">
        <v>2945</v>
      </c>
      <c r="H511" s="15">
        <v>46273</v>
      </c>
      <c r="I511" s="113">
        <f t="shared" si="64"/>
        <v>7</v>
      </c>
      <c r="J511" s="7" t="s">
        <v>2946</v>
      </c>
      <c r="K511" s="4">
        <v>46280</v>
      </c>
      <c r="L511" s="7" t="s">
        <v>2947</v>
      </c>
      <c r="M511" s="66">
        <v>46280</v>
      </c>
      <c r="N511" s="27">
        <f t="shared" ca="1" si="63"/>
        <v>0</v>
      </c>
      <c r="O511" s="108" t="s">
        <v>2</v>
      </c>
      <c r="P511" s="14"/>
    </row>
    <row r="512" spans="1:16" ht="51.6" customHeight="1" x14ac:dyDescent="0.3">
      <c r="A512" s="3"/>
      <c r="B512" s="19" t="s">
        <v>2948</v>
      </c>
      <c r="C512" s="63">
        <v>0</v>
      </c>
      <c r="D512" s="13" t="s">
        <v>2949</v>
      </c>
      <c r="E512" s="5" t="s">
        <v>2950</v>
      </c>
      <c r="F512" s="4">
        <v>46272</v>
      </c>
      <c r="G512" s="7" t="s">
        <v>2951</v>
      </c>
      <c r="H512" s="15">
        <v>46273</v>
      </c>
      <c r="I512" s="113">
        <f t="shared" si="64"/>
        <v>7</v>
      </c>
      <c r="J512" s="7" t="s">
        <v>2952</v>
      </c>
      <c r="K512" s="4">
        <v>46280</v>
      </c>
      <c r="L512" s="7" t="s">
        <v>2953</v>
      </c>
      <c r="M512" s="66">
        <v>46280</v>
      </c>
      <c r="N512" s="27">
        <f t="shared" ca="1" si="63"/>
        <v>0</v>
      </c>
      <c r="O512" s="108" t="s">
        <v>2</v>
      </c>
      <c r="P512" s="14"/>
    </row>
    <row r="513" spans="1:16" ht="51.6" customHeight="1" x14ac:dyDescent="0.3">
      <c r="A513" s="3"/>
      <c r="B513" s="19" t="s">
        <v>2954</v>
      </c>
      <c r="C513" s="63">
        <v>0</v>
      </c>
      <c r="D513" s="13" t="s">
        <v>2955</v>
      </c>
      <c r="E513" s="5" t="s">
        <v>2956</v>
      </c>
      <c r="F513" s="4">
        <v>46272</v>
      </c>
      <c r="G513" s="7" t="s">
        <v>2957</v>
      </c>
      <c r="H513" s="15">
        <v>46273</v>
      </c>
      <c r="I513" s="113">
        <f t="shared" si="64"/>
        <v>2</v>
      </c>
      <c r="J513" s="7" t="s">
        <v>2958</v>
      </c>
      <c r="K513" s="4">
        <v>46275</v>
      </c>
      <c r="L513" s="7" t="s">
        <v>2959</v>
      </c>
      <c r="M513" s="66">
        <v>46275</v>
      </c>
      <c r="N513" s="27">
        <f t="shared" ca="1" si="63"/>
        <v>0</v>
      </c>
      <c r="O513" s="108" t="s">
        <v>2</v>
      </c>
      <c r="P513" s="14"/>
    </row>
    <row r="514" spans="1:16" ht="51.6" customHeight="1" x14ac:dyDescent="0.3">
      <c r="A514" s="3"/>
      <c r="B514" s="19" t="s">
        <v>2960</v>
      </c>
      <c r="C514" s="63">
        <v>0</v>
      </c>
      <c r="D514" s="13" t="s">
        <v>2961</v>
      </c>
      <c r="E514" s="5" t="s">
        <v>2962</v>
      </c>
      <c r="F514" s="4">
        <v>46273</v>
      </c>
      <c r="G514" s="7" t="s">
        <v>2963</v>
      </c>
      <c r="H514" s="15">
        <v>46273</v>
      </c>
      <c r="I514" s="113">
        <f t="shared" si="64"/>
        <v>2</v>
      </c>
      <c r="J514" s="7" t="s">
        <v>2964</v>
      </c>
      <c r="K514" s="4">
        <v>46275</v>
      </c>
      <c r="L514" s="7" t="s">
        <v>2965</v>
      </c>
      <c r="M514" s="66">
        <v>46275</v>
      </c>
      <c r="N514" s="27">
        <f t="shared" ca="1" si="63"/>
        <v>0</v>
      </c>
      <c r="O514" s="108" t="s">
        <v>2</v>
      </c>
      <c r="P514" s="14"/>
    </row>
    <row r="515" spans="1:16" ht="51.6" customHeight="1" x14ac:dyDescent="0.3">
      <c r="A515" s="3"/>
      <c r="B515" s="19" t="s">
        <v>2966</v>
      </c>
      <c r="C515" s="63">
        <v>0</v>
      </c>
      <c r="D515" s="13" t="s">
        <v>2967</v>
      </c>
      <c r="E515" s="5" t="s">
        <v>2968</v>
      </c>
      <c r="F515" s="4">
        <v>46273</v>
      </c>
      <c r="G515" s="7" t="s">
        <v>2969</v>
      </c>
      <c r="H515" s="15">
        <v>46273</v>
      </c>
      <c r="I515" s="113">
        <f t="shared" si="64"/>
        <v>7</v>
      </c>
      <c r="J515" s="7" t="s">
        <v>2970</v>
      </c>
      <c r="K515" s="4">
        <v>46280</v>
      </c>
      <c r="L515" s="7" t="s">
        <v>2971</v>
      </c>
      <c r="M515" s="66">
        <v>46280</v>
      </c>
      <c r="N515" s="27">
        <f t="shared" ca="1" si="63"/>
        <v>0</v>
      </c>
      <c r="O515" s="108" t="s">
        <v>2</v>
      </c>
      <c r="P515" s="14"/>
    </row>
    <row r="516" spans="1:16" ht="51.6" customHeight="1" x14ac:dyDescent="0.3">
      <c r="A516" s="3"/>
      <c r="B516" s="19" t="s">
        <v>2972</v>
      </c>
      <c r="C516" s="63">
        <v>0</v>
      </c>
      <c r="D516" s="13" t="s">
        <v>2973</v>
      </c>
      <c r="E516" s="5" t="s">
        <v>2974</v>
      </c>
      <c r="F516" s="4">
        <v>46273</v>
      </c>
      <c r="G516" s="7" t="s">
        <v>2975</v>
      </c>
      <c r="H516" s="15">
        <v>46273</v>
      </c>
      <c r="I516" s="113">
        <f t="shared" si="64"/>
        <v>7</v>
      </c>
      <c r="J516" s="7" t="s">
        <v>2976</v>
      </c>
      <c r="K516" s="4">
        <v>46280</v>
      </c>
      <c r="L516" s="7" t="s">
        <v>2977</v>
      </c>
      <c r="M516" s="66">
        <v>46280</v>
      </c>
      <c r="N516" s="27">
        <f t="shared" ca="1" si="63"/>
        <v>0</v>
      </c>
      <c r="O516" s="108" t="s">
        <v>2</v>
      </c>
      <c r="P516" s="14"/>
    </row>
    <row r="517" spans="1:16" ht="51.6" customHeight="1" x14ac:dyDescent="0.3">
      <c r="A517" s="3"/>
      <c r="B517" s="19" t="s">
        <v>2978</v>
      </c>
      <c r="C517" s="63">
        <v>0</v>
      </c>
      <c r="D517" s="13" t="s">
        <v>2979</v>
      </c>
      <c r="E517" s="5" t="s">
        <v>2980</v>
      </c>
      <c r="F517" s="4">
        <v>46273</v>
      </c>
      <c r="G517" s="7" t="s">
        <v>2981</v>
      </c>
      <c r="H517" s="15">
        <v>46273</v>
      </c>
      <c r="I517" s="113">
        <f t="shared" si="64"/>
        <v>7</v>
      </c>
      <c r="J517" s="7" t="s">
        <v>2982</v>
      </c>
      <c r="K517" s="4">
        <v>46280</v>
      </c>
      <c r="L517" s="7" t="s">
        <v>2983</v>
      </c>
      <c r="M517" s="66">
        <v>46280</v>
      </c>
      <c r="N517" s="27">
        <f t="shared" ca="1" si="63"/>
        <v>0</v>
      </c>
      <c r="O517" s="108" t="s">
        <v>2</v>
      </c>
      <c r="P517" s="14"/>
    </row>
    <row r="518" spans="1:16" ht="51.6" customHeight="1" x14ac:dyDescent="0.3">
      <c r="A518" s="3"/>
      <c r="B518" s="19" t="s">
        <v>2984</v>
      </c>
      <c r="C518" s="63">
        <v>0</v>
      </c>
      <c r="D518" s="13" t="s">
        <v>2985</v>
      </c>
      <c r="E518" s="5" t="s">
        <v>2986</v>
      </c>
      <c r="F518" s="4">
        <v>46273</v>
      </c>
      <c r="G518" s="7" t="s">
        <v>2987</v>
      </c>
      <c r="H518" s="15">
        <v>46273</v>
      </c>
      <c r="I518" s="113">
        <f t="shared" si="64"/>
        <v>7</v>
      </c>
      <c r="J518" s="7" t="s">
        <v>2988</v>
      </c>
      <c r="K518" s="4">
        <v>46280</v>
      </c>
      <c r="L518" s="7" t="s">
        <v>2989</v>
      </c>
      <c r="M518" s="66">
        <v>46280</v>
      </c>
      <c r="N518" s="27">
        <f t="shared" ca="1" si="63"/>
        <v>0</v>
      </c>
      <c r="O518" s="108" t="s">
        <v>2</v>
      </c>
      <c r="P518" s="14"/>
    </row>
    <row r="519" spans="1:16" ht="51.6" customHeight="1" x14ac:dyDescent="0.3">
      <c r="A519" s="3"/>
      <c r="B519" s="19" t="s">
        <v>2990</v>
      </c>
      <c r="C519" s="63">
        <v>0</v>
      </c>
      <c r="D519" s="13" t="s">
        <v>2991</v>
      </c>
      <c r="E519" s="5" t="s">
        <v>2992</v>
      </c>
      <c r="F519" s="4">
        <v>46274</v>
      </c>
      <c r="G519" s="7" t="s">
        <v>2993</v>
      </c>
      <c r="H519" s="15">
        <v>46274</v>
      </c>
      <c r="I519" s="113">
        <f t="shared" si="64"/>
        <v>13</v>
      </c>
      <c r="J519" s="7" t="s">
        <v>2994</v>
      </c>
      <c r="K519" s="4">
        <v>46287</v>
      </c>
      <c r="L519" s="7" t="s">
        <v>2995</v>
      </c>
      <c r="M519" s="66">
        <v>46287</v>
      </c>
      <c r="N519" s="27">
        <f t="shared" ca="1" si="63"/>
        <v>0</v>
      </c>
      <c r="O519" s="108" t="s">
        <v>2</v>
      </c>
      <c r="P519" s="14"/>
    </row>
    <row r="520" spans="1:16" ht="51.6" customHeight="1" x14ac:dyDescent="0.3">
      <c r="A520" s="3"/>
      <c r="B520" s="19" t="s">
        <v>2996</v>
      </c>
      <c r="C520" s="63">
        <v>0</v>
      </c>
      <c r="D520" s="13" t="s">
        <v>2997</v>
      </c>
      <c r="E520" s="5" t="s">
        <v>2998</v>
      </c>
      <c r="F520" s="4">
        <v>46274</v>
      </c>
      <c r="G520" s="7" t="s">
        <v>2999</v>
      </c>
      <c r="H520" s="15">
        <v>46274</v>
      </c>
      <c r="I520" s="113">
        <f t="shared" si="64"/>
        <v>13</v>
      </c>
      <c r="J520" s="7" t="s">
        <v>3000</v>
      </c>
      <c r="K520" s="4">
        <v>46287</v>
      </c>
      <c r="L520" s="7" t="s">
        <v>3001</v>
      </c>
      <c r="M520" s="66">
        <v>46287</v>
      </c>
      <c r="N520" s="27">
        <f ca="1">IF(AND(M520="",TODAY()-F520&gt;7),TODAY()-F520-7,0)</f>
        <v>0</v>
      </c>
      <c r="O520" s="108" t="s">
        <v>2</v>
      </c>
      <c r="P520" s="14"/>
    </row>
    <row r="521" spans="1:16" ht="51.6" customHeight="1" x14ac:dyDescent="0.3">
      <c r="A521" s="3"/>
      <c r="B521" s="19" t="s">
        <v>3002</v>
      </c>
      <c r="C521" s="63">
        <v>0</v>
      </c>
      <c r="D521" s="13" t="s">
        <v>3003</v>
      </c>
      <c r="E521" s="5" t="s">
        <v>3004</v>
      </c>
      <c r="F521" s="4">
        <v>46274</v>
      </c>
      <c r="G521" s="7" t="s">
        <v>3005</v>
      </c>
      <c r="H521" s="15">
        <v>46274</v>
      </c>
      <c r="I521" s="113">
        <f t="shared" si="64"/>
        <v>12</v>
      </c>
      <c r="J521" s="7" t="s">
        <v>3006</v>
      </c>
      <c r="K521" s="4">
        <v>46286</v>
      </c>
      <c r="L521" s="118" t="s">
        <v>3007</v>
      </c>
      <c r="M521" s="66">
        <v>46286</v>
      </c>
      <c r="N521" s="27">
        <f t="shared" ca="1" si="63"/>
        <v>0</v>
      </c>
      <c r="O521" s="108" t="s">
        <v>2</v>
      </c>
      <c r="P521" s="14"/>
    </row>
    <row r="522" spans="1:16" ht="51.6" customHeight="1" x14ac:dyDescent="0.3">
      <c r="A522" s="3"/>
      <c r="B522" s="19" t="s">
        <v>3008</v>
      </c>
      <c r="C522" s="63">
        <v>0</v>
      </c>
      <c r="D522" s="13" t="s">
        <v>3009</v>
      </c>
      <c r="E522" s="5" t="s">
        <v>3010</v>
      </c>
      <c r="F522" s="4">
        <v>46275</v>
      </c>
      <c r="G522" s="7" t="s">
        <v>3011</v>
      </c>
      <c r="H522" s="15">
        <v>46275</v>
      </c>
      <c r="I522" s="113">
        <f t="shared" si="64"/>
        <v>26</v>
      </c>
      <c r="J522" s="7" t="s">
        <v>3393</v>
      </c>
      <c r="K522" s="4">
        <v>46301</v>
      </c>
      <c r="L522" s="7" t="s">
        <v>3394</v>
      </c>
      <c r="M522" s="66">
        <v>46301</v>
      </c>
      <c r="N522" s="27">
        <f t="shared" ca="1" si="63"/>
        <v>0</v>
      </c>
      <c r="O522" s="108" t="s">
        <v>2</v>
      </c>
      <c r="P522" s="14"/>
    </row>
    <row r="523" spans="1:16" ht="51.6" customHeight="1" x14ac:dyDescent="0.3">
      <c r="A523" s="3"/>
      <c r="B523" s="19" t="s">
        <v>3012</v>
      </c>
      <c r="C523" s="63">
        <v>0</v>
      </c>
      <c r="D523" s="13" t="s">
        <v>3013</v>
      </c>
      <c r="E523" s="5" t="s">
        <v>3014</v>
      </c>
      <c r="F523" s="4">
        <v>46275</v>
      </c>
      <c r="G523" s="7" t="s">
        <v>3015</v>
      </c>
      <c r="H523" s="15">
        <v>46275</v>
      </c>
      <c r="I523" s="113">
        <f t="shared" si="64"/>
        <v>11</v>
      </c>
      <c r="J523" s="7" t="s">
        <v>3016</v>
      </c>
      <c r="K523" s="4">
        <v>46286</v>
      </c>
      <c r="L523" s="7" t="s">
        <v>3017</v>
      </c>
      <c r="M523" s="66">
        <v>46286</v>
      </c>
      <c r="N523" s="27">
        <f t="shared" ca="1" si="63"/>
        <v>0</v>
      </c>
      <c r="O523" s="108" t="s">
        <v>2</v>
      </c>
      <c r="P523" s="14"/>
    </row>
    <row r="524" spans="1:16" ht="51.6" customHeight="1" x14ac:dyDescent="0.3">
      <c r="A524" s="3"/>
      <c r="B524" s="19" t="s">
        <v>3018</v>
      </c>
      <c r="C524" s="63">
        <v>0</v>
      </c>
      <c r="D524" s="13" t="s">
        <v>3019</v>
      </c>
      <c r="E524" s="5" t="s">
        <v>3020</v>
      </c>
      <c r="F524" s="4">
        <v>46275</v>
      </c>
      <c r="G524" s="7" t="s">
        <v>3021</v>
      </c>
      <c r="H524" s="15">
        <v>46275</v>
      </c>
      <c r="I524" s="113">
        <f t="shared" si="64"/>
        <v>12</v>
      </c>
      <c r="J524" s="7" t="s">
        <v>3022</v>
      </c>
      <c r="K524" s="4">
        <v>46287</v>
      </c>
      <c r="L524" s="7" t="s">
        <v>3023</v>
      </c>
      <c r="M524" s="66">
        <v>46287</v>
      </c>
      <c r="N524" s="27">
        <f t="shared" ca="1" si="63"/>
        <v>0</v>
      </c>
      <c r="O524" s="108" t="s">
        <v>2</v>
      </c>
      <c r="P524" s="14"/>
    </row>
    <row r="525" spans="1:16" ht="51.6" customHeight="1" x14ac:dyDescent="0.3">
      <c r="A525" s="3"/>
      <c r="B525" s="19" t="s">
        <v>3024</v>
      </c>
      <c r="C525" s="63">
        <v>0</v>
      </c>
      <c r="D525" s="13" t="s">
        <v>3025</v>
      </c>
      <c r="E525" s="5" t="s">
        <v>3026</v>
      </c>
      <c r="F525" s="4">
        <v>46275</v>
      </c>
      <c r="G525" s="7" t="s">
        <v>3027</v>
      </c>
      <c r="H525" s="15">
        <v>46275</v>
      </c>
      <c r="I525" s="113">
        <f t="shared" si="64"/>
        <v>5</v>
      </c>
      <c r="J525" s="7" t="s">
        <v>3028</v>
      </c>
      <c r="K525" s="4">
        <v>46280</v>
      </c>
      <c r="L525" s="7" t="s">
        <v>3029</v>
      </c>
      <c r="M525" s="66">
        <v>46280</v>
      </c>
      <c r="N525" s="27">
        <f t="shared" ca="1" si="63"/>
        <v>0</v>
      </c>
      <c r="O525" s="108" t="s">
        <v>2</v>
      </c>
      <c r="P525" s="14"/>
    </row>
    <row r="526" spans="1:16" ht="51.6" customHeight="1" x14ac:dyDescent="0.3">
      <c r="A526" s="3"/>
      <c r="B526" s="19" t="s">
        <v>3030</v>
      </c>
      <c r="C526" s="63">
        <v>0</v>
      </c>
      <c r="D526" s="13" t="s">
        <v>3031</v>
      </c>
      <c r="E526" s="5" t="s">
        <v>3032</v>
      </c>
      <c r="F526" s="4">
        <v>46276</v>
      </c>
      <c r="G526" s="7" t="s">
        <v>3033</v>
      </c>
      <c r="H526" s="15">
        <v>46276</v>
      </c>
      <c r="I526" s="113">
        <f t="shared" si="64"/>
        <v>11</v>
      </c>
      <c r="J526" s="7" t="s">
        <v>3034</v>
      </c>
      <c r="K526" s="4">
        <v>46287</v>
      </c>
      <c r="L526" s="7" t="s">
        <v>3035</v>
      </c>
      <c r="M526" s="66">
        <v>46287</v>
      </c>
      <c r="N526" s="27">
        <f t="shared" ca="1" si="63"/>
        <v>0</v>
      </c>
      <c r="O526" s="108" t="s">
        <v>2</v>
      </c>
      <c r="P526" s="14"/>
    </row>
    <row r="527" spans="1:16" ht="51.6" customHeight="1" x14ac:dyDescent="0.3">
      <c r="A527" s="3"/>
      <c r="B527" s="19" t="s">
        <v>3036</v>
      </c>
      <c r="C527" s="63">
        <v>0</v>
      </c>
      <c r="D527" s="13" t="s">
        <v>3037</v>
      </c>
      <c r="E527" s="5" t="s">
        <v>3038</v>
      </c>
      <c r="F527" s="4">
        <v>46278</v>
      </c>
      <c r="G527" s="7" t="s">
        <v>3039</v>
      </c>
      <c r="H527" s="15">
        <v>46278</v>
      </c>
      <c r="I527" s="113">
        <f t="shared" si="64"/>
        <v>9</v>
      </c>
      <c r="J527" s="7" t="s">
        <v>3040</v>
      </c>
      <c r="K527" s="4">
        <v>46287</v>
      </c>
      <c r="L527" s="7" t="s">
        <v>3041</v>
      </c>
      <c r="M527" s="66">
        <v>46287</v>
      </c>
      <c r="N527" s="27">
        <f t="shared" ca="1" si="63"/>
        <v>0</v>
      </c>
      <c r="O527" s="108" t="s">
        <v>2</v>
      </c>
      <c r="P527" s="14"/>
    </row>
    <row r="528" spans="1:16" ht="51.6" customHeight="1" x14ac:dyDescent="0.3">
      <c r="A528" s="3"/>
      <c r="B528" s="19" t="s">
        <v>3042</v>
      </c>
      <c r="C528" s="63">
        <v>0</v>
      </c>
      <c r="D528" s="13" t="s">
        <v>3043</v>
      </c>
      <c r="E528" s="5" t="s">
        <v>3044</v>
      </c>
      <c r="F528" s="4">
        <v>46277</v>
      </c>
      <c r="G528" s="7" t="s">
        <v>3045</v>
      </c>
      <c r="H528" s="4">
        <v>46278</v>
      </c>
      <c r="I528" s="113">
        <f t="shared" si="64"/>
        <v>9</v>
      </c>
      <c r="J528" s="7" t="s">
        <v>3046</v>
      </c>
      <c r="K528" s="4">
        <v>46287</v>
      </c>
      <c r="L528" s="7" t="s">
        <v>3047</v>
      </c>
      <c r="M528" s="66">
        <v>46287</v>
      </c>
      <c r="N528" s="27">
        <f t="shared" ca="1" si="63"/>
        <v>0</v>
      </c>
      <c r="O528" s="108" t="s">
        <v>2</v>
      </c>
      <c r="P528" s="14"/>
    </row>
    <row r="529" spans="1:16" ht="51.6" customHeight="1" x14ac:dyDescent="0.3">
      <c r="A529" s="3"/>
      <c r="B529" s="19" t="s">
        <v>3048</v>
      </c>
      <c r="C529" s="63">
        <v>0</v>
      </c>
      <c r="D529" s="13" t="s">
        <v>3049</v>
      </c>
      <c r="E529" s="5" t="s">
        <v>3050</v>
      </c>
      <c r="F529" s="4">
        <v>46277</v>
      </c>
      <c r="G529" s="7" t="s">
        <v>3051</v>
      </c>
      <c r="H529" s="15">
        <v>46278</v>
      </c>
      <c r="I529" s="113">
        <f t="shared" si="64"/>
        <v>9</v>
      </c>
      <c r="J529" s="7" t="s">
        <v>3052</v>
      </c>
      <c r="K529" s="4">
        <v>46287</v>
      </c>
      <c r="L529" s="7" t="s">
        <v>3053</v>
      </c>
      <c r="M529" s="66">
        <v>46287</v>
      </c>
      <c r="N529" s="27">
        <f t="shared" ca="1" si="63"/>
        <v>0</v>
      </c>
      <c r="O529" s="108" t="s">
        <v>2</v>
      </c>
      <c r="P529" s="14"/>
    </row>
    <row r="530" spans="1:16" ht="51.6" customHeight="1" x14ac:dyDescent="0.3">
      <c r="A530" s="3"/>
      <c r="B530" s="19" t="s">
        <v>3054</v>
      </c>
      <c r="C530" s="63">
        <v>0</v>
      </c>
      <c r="D530" s="13" t="s">
        <v>3055</v>
      </c>
      <c r="E530" s="5" t="s">
        <v>3056</v>
      </c>
      <c r="F530" s="4">
        <v>46278</v>
      </c>
      <c r="G530" s="7" t="s">
        <v>3057</v>
      </c>
      <c r="H530" s="15">
        <v>46278</v>
      </c>
      <c r="I530" s="113">
        <f t="shared" ref="I530:I615" si="66">K530-H530</f>
        <v>-46278</v>
      </c>
      <c r="J530" s="7"/>
      <c r="K530" s="4"/>
      <c r="L530" s="7"/>
      <c r="M530" s="66"/>
      <c r="N530" s="27">
        <f t="shared" ca="1" si="63"/>
        <v>21</v>
      </c>
      <c r="O530" s="108" t="s">
        <v>7</v>
      </c>
      <c r="P530" s="14"/>
    </row>
    <row r="531" spans="1:16" ht="51.6" customHeight="1" x14ac:dyDescent="0.3">
      <c r="A531" s="3"/>
      <c r="B531" s="19" t="s">
        <v>3058</v>
      </c>
      <c r="C531" s="63">
        <v>0</v>
      </c>
      <c r="D531" s="13" t="s">
        <v>3059</v>
      </c>
      <c r="E531" s="5" t="s">
        <v>3060</v>
      </c>
      <c r="F531" s="4">
        <v>46280</v>
      </c>
      <c r="G531" s="7" t="s">
        <v>3061</v>
      </c>
      <c r="H531" s="15">
        <v>46280</v>
      </c>
      <c r="I531" s="113">
        <f t="shared" si="66"/>
        <v>9</v>
      </c>
      <c r="J531" s="7" t="s">
        <v>3062</v>
      </c>
      <c r="K531" s="4">
        <v>46289</v>
      </c>
      <c r="L531" s="7" t="s">
        <v>3063</v>
      </c>
      <c r="M531" s="66">
        <v>46293</v>
      </c>
      <c r="N531" s="27">
        <f t="shared" ca="1" si="63"/>
        <v>0</v>
      </c>
      <c r="O531" s="108" t="s">
        <v>2</v>
      </c>
      <c r="P531" s="14"/>
    </row>
    <row r="532" spans="1:16" ht="51.6" customHeight="1" x14ac:dyDescent="0.3">
      <c r="A532" s="3"/>
      <c r="B532" s="19" t="s">
        <v>3064</v>
      </c>
      <c r="C532" s="63">
        <v>0</v>
      </c>
      <c r="D532" s="13" t="s">
        <v>3065</v>
      </c>
      <c r="E532" s="5" t="s">
        <v>3066</v>
      </c>
      <c r="F532" s="4">
        <v>46280</v>
      </c>
      <c r="G532" s="7" t="s">
        <v>3067</v>
      </c>
      <c r="H532" s="15">
        <v>46280</v>
      </c>
      <c r="I532" s="113">
        <f t="shared" si="66"/>
        <v>7</v>
      </c>
      <c r="J532" s="7" t="s">
        <v>3068</v>
      </c>
      <c r="K532" s="4">
        <v>46287</v>
      </c>
      <c r="L532" s="7" t="s">
        <v>3069</v>
      </c>
      <c r="M532" s="66">
        <v>46287</v>
      </c>
      <c r="N532" s="27">
        <f t="shared" ca="1" si="63"/>
        <v>0</v>
      </c>
      <c r="O532" s="108" t="s">
        <v>2</v>
      </c>
      <c r="P532" s="14"/>
    </row>
    <row r="533" spans="1:16" ht="51.6" customHeight="1" x14ac:dyDescent="0.3">
      <c r="A533" s="3"/>
      <c r="B533" s="19" t="s">
        <v>3070</v>
      </c>
      <c r="C533" s="63">
        <v>0</v>
      </c>
      <c r="D533" s="13" t="s">
        <v>3071</v>
      </c>
      <c r="E533" s="5" t="s">
        <v>3072</v>
      </c>
      <c r="F533" s="4">
        <v>46280</v>
      </c>
      <c r="G533" s="7" t="s">
        <v>3073</v>
      </c>
      <c r="H533" s="15">
        <v>46280</v>
      </c>
      <c r="I533" s="113">
        <f t="shared" si="66"/>
        <v>9</v>
      </c>
      <c r="J533" s="7" t="s">
        <v>3074</v>
      </c>
      <c r="K533" s="4">
        <v>46289</v>
      </c>
      <c r="L533" s="7" t="s">
        <v>3075</v>
      </c>
      <c r="M533" s="66">
        <v>46293</v>
      </c>
      <c r="N533" s="27">
        <f t="shared" ca="1" si="63"/>
        <v>0</v>
      </c>
      <c r="O533" s="108" t="s">
        <v>2</v>
      </c>
      <c r="P533" s="14"/>
    </row>
    <row r="534" spans="1:16" ht="51.6" customHeight="1" x14ac:dyDescent="0.3">
      <c r="A534" s="3"/>
      <c r="B534" s="19" t="s">
        <v>3076</v>
      </c>
      <c r="C534" s="63">
        <v>0</v>
      </c>
      <c r="D534" s="13" t="s">
        <v>3077</v>
      </c>
      <c r="E534" s="5" t="s">
        <v>3078</v>
      </c>
      <c r="F534" s="4">
        <v>46280</v>
      </c>
      <c r="G534" s="7" t="s">
        <v>3079</v>
      </c>
      <c r="H534" s="15">
        <v>46280</v>
      </c>
      <c r="I534" s="113">
        <f t="shared" si="66"/>
        <v>7</v>
      </c>
      <c r="J534" s="7" t="s">
        <v>3080</v>
      </c>
      <c r="K534" s="4">
        <v>46287</v>
      </c>
      <c r="L534" s="7" t="s">
        <v>3081</v>
      </c>
      <c r="M534" s="66">
        <v>46287</v>
      </c>
      <c r="N534" s="27">
        <f t="shared" ca="1" si="63"/>
        <v>0</v>
      </c>
      <c r="O534" s="108" t="s">
        <v>2</v>
      </c>
      <c r="P534" s="14"/>
    </row>
    <row r="535" spans="1:16" ht="51.6" customHeight="1" x14ac:dyDescent="0.3">
      <c r="A535" s="3"/>
      <c r="B535" s="19" t="s">
        <v>3082</v>
      </c>
      <c r="C535" s="63">
        <v>0</v>
      </c>
      <c r="D535" s="13" t="s">
        <v>3083</v>
      </c>
      <c r="E535" s="5" t="s">
        <v>3084</v>
      </c>
      <c r="F535" s="4">
        <v>46280</v>
      </c>
      <c r="G535" s="7" t="s">
        <v>3085</v>
      </c>
      <c r="H535" s="15">
        <v>46280</v>
      </c>
      <c r="I535" s="113">
        <f t="shared" si="66"/>
        <v>7</v>
      </c>
      <c r="J535" s="7" t="s">
        <v>3086</v>
      </c>
      <c r="K535" s="4">
        <v>46287</v>
      </c>
      <c r="L535" s="7" t="s">
        <v>3087</v>
      </c>
      <c r="M535" s="66">
        <v>46287</v>
      </c>
      <c r="N535" s="27">
        <f t="shared" ref="N535:N553" ca="1" si="67">IF(AND(M535="",TODAY()-F535&gt;7),TODAY()-F535-7,0)</f>
        <v>0</v>
      </c>
      <c r="O535" s="108" t="s">
        <v>2</v>
      </c>
      <c r="P535" s="14"/>
    </row>
    <row r="536" spans="1:16" ht="51.6" customHeight="1" x14ac:dyDescent="0.3">
      <c r="A536" s="3"/>
      <c r="B536" s="19" t="s">
        <v>3088</v>
      </c>
      <c r="C536" s="63">
        <v>0</v>
      </c>
      <c r="D536" s="13" t="s">
        <v>3089</v>
      </c>
      <c r="E536" s="5" t="s">
        <v>3090</v>
      </c>
      <c r="F536" s="4">
        <v>46280</v>
      </c>
      <c r="G536" s="7" t="s">
        <v>3091</v>
      </c>
      <c r="H536" s="15">
        <v>46280</v>
      </c>
      <c r="I536" s="113">
        <f t="shared" si="66"/>
        <v>7</v>
      </c>
      <c r="J536" s="7" t="s">
        <v>3092</v>
      </c>
      <c r="K536" s="4">
        <v>46287</v>
      </c>
      <c r="L536" s="7" t="s">
        <v>3093</v>
      </c>
      <c r="M536" s="66">
        <v>46287</v>
      </c>
      <c r="N536" s="27">
        <f t="shared" ca="1" si="67"/>
        <v>0</v>
      </c>
      <c r="O536" s="108" t="s">
        <v>2</v>
      </c>
      <c r="P536" s="14"/>
    </row>
    <row r="537" spans="1:16" ht="51.6" customHeight="1" x14ac:dyDescent="0.3">
      <c r="A537" s="3"/>
      <c r="B537" s="19" t="s">
        <v>3094</v>
      </c>
      <c r="C537" s="63">
        <v>0</v>
      </c>
      <c r="D537" s="13" t="s">
        <v>3095</v>
      </c>
      <c r="E537" s="5" t="s">
        <v>3096</v>
      </c>
      <c r="F537" s="4">
        <v>46280</v>
      </c>
      <c r="G537" s="7" t="s">
        <v>3097</v>
      </c>
      <c r="H537" s="15">
        <v>46280</v>
      </c>
      <c r="I537" s="113">
        <f t="shared" si="66"/>
        <v>7</v>
      </c>
      <c r="J537" s="7" t="s">
        <v>3098</v>
      </c>
      <c r="K537" s="4">
        <v>46287</v>
      </c>
      <c r="L537" s="7" t="s">
        <v>3099</v>
      </c>
      <c r="M537" s="66">
        <v>46287</v>
      </c>
      <c r="N537" s="27">
        <f t="shared" ca="1" si="67"/>
        <v>0</v>
      </c>
      <c r="O537" s="108" t="s">
        <v>2</v>
      </c>
      <c r="P537" s="14"/>
    </row>
    <row r="538" spans="1:16" ht="51.6" customHeight="1" x14ac:dyDescent="0.3">
      <c r="A538" s="3"/>
      <c r="B538" s="19" t="s">
        <v>3100</v>
      </c>
      <c r="C538" s="63">
        <v>0</v>
      </c>
      <c r="D538" s="13" t="s">
        <v>3101</v>
      </c>
      <c r="E538" s="5" t="s">
        <v>3102</v>
      </c>
      <c r="F538" s="4">
        <v>46280</v>
      </c>
      <c r="G538" s="7" t="s">
        <v>3103</v>
      </c>
      <c r="H538" s="15">
        <v>46280</v>
      </c>
      <c r="I538" s="113">
        <f t="shared" si="66"/>
        <v>-46280</v>
      </c>
      <c r="J538" s="7"/>
      <c r="K538" s="4"/>
      <c r="L538" s="7"/>
      <c r="M538" s="66"/>
      <c r="N538" s="27">
        <f ca="1">IF(AND(M538="",TODAY()-F538&gt;7),TODAY()-F538-7,0)</f>
        <v>19</v>
      </c>
      <c r="O538" s="108" t="s">
        <v>7</v>
      </c>
      <c r="P538" s="14"/>
    </row>
    <row r="539" spans="1:16" ht="51.6" customHeight="1" x14ac:dyDescent="0.3">
      <c r="A539" s="3"/>
      <c r="B539" s="19" t="s">
        <v>3104</v>
      </c>
      <c r="C539" s="63">
        <v>0</v>
      </c>
      <c r="D539" s="13" t="s">
        <v>3105</v>
      </c>
      <c r="E539" s="5" t="s">
        <v>3106</v>
      </c>
      <c r="F539" s="4">
        <v>46280</v>
      </c>
      <c r="G539" s="7" t="s">
        <v>3107</v>
      </c>
      <c r="H539" s="15">
        <v>46280</v>
      </c>
      <c r="I539" s="113">
        <f t="shared" si="66"/>
        <v>9</v>
      </c>
      <c r="J539" s="7" t="s">
        <v>3108</v>
      </c>
      <c r="K539" s="4">
        <v>46289</v>
      </c>
      <c r="L539" s="7" t="s">
        <v>3109</v>
      </c>
      <c r="M539" s="66">
        <v>46293</v>
      </c>
      <c r="N539" s="27">
        <f ca="1">IF(AND(M539="",TODAY()-F539&gt;7),TODAY()-F539-7,0)</f>
        <v>0</v>
      </c>
      <c r="O539" s="108" t="s">
        <v>2</v>
      </c>
      <c r="P539" s="14"/>
    </row>
    <row r="540" spans="1:16" ht="51.6" customHeight="1" x14ac:dyDescent="0.3">
      <c r="A540" s="3"/>
      <c r="B540" s="19" t="s">
        <v>3110</v>
      </c>
      <c r="C540" s="63">
        <v>0</v>
      </c>
      <c r="D540" s="13" t="s">
        <v>3111</v>
      </c>
      <c r="E540" s="5" t="s">
        <v>3112</v>
      </c>
      <c r="F540" s="4">
        <v>46282</v>
      </c>
      <c r="G540" s="7" t="s">
        <v>3113</v>
      </c>
      <c r="H540" s="15">
        <v>46282</v>
      </c>
      <c r="I540" s="113">
        <f t="shared" si="66"/>
        <v>13</v>
      </c>
      <c r="J540" s="7" t="s">
        <v>3221</v>
      </c>
      <c r="K540" s="4">
        <v>46295</v>
      </c>
      <c r="L540" s="7" t="s">
        <v>3222</v>
      </c>
      <c r="M540" s="66">
        <v>46295</v>
      </c>
      <c r="N540" s="27">
        <f t="shared" ca="1" si="67"/>
        <v>0</v>
      </c>
      <c r="O540" s="108" t="s">
        <v>2</v>
      </c>
      <c r="P540" s="14"/>
    </row>
    <row r="541" spans="1:16" ht="51.6" customHeight="1" x14ac:dyDescent="0.3">
      <c r="A541" s="3"/>
      <c r="B541" s="19" t="s">
        <v>3114</v>
      </c>
      <c r="C541" s="63">
        <v>0</v>
      </c>
      <c r="D541" s="13" t="s">
        <v>3115</v>
      </c>
      <c r="E541" s="5" t="s">
        <v>3116</v>
      </c>
      <c r="F541" s="4">
        <v>46282</v>
      </c>
      <c r="G541" s="7" t="s">
        <v>3117</v>
      </c>
      <c r="H541" s="15">
        <v>46282</v>
      </c>
      <c r="I541" s="113">
        <f t="shared" si="66"/>
        <v>13</v>
      </c>
      <c r="J541" s="7" t="s">
        <v>3217</v>
      </c>
      <c r="K541" s="4">
        <v>46295</v>
      </c>
      <c r="L541" s="7" t="s">
        <v>3218</v>
      </c>
      <c r="M541" s="66">
        <v>46295</v>
      </c>
      <c r="N541" s="27">
        <f t="shared" ca="1" si="67"/>
        <v>0</v>
      </c>
      <c r="O541" s="108" t="s">
        <v>2</v>
      </c>
      <c r="P541" s="14"/>
    </row>
    <row r="542" spans="1:16" ht="51.6" customHeight="1" x14ac:dyDescent="0.3">
      <c r="A542" s="3"/>
      <c r="B542" s="19" t="s">
        <v>3118</v>
      </c>
      <c r="C542" s="63">
        <v>0</v>
      </c>
      <c r="D542" s="13" t="s">
        <v>3119</v>
      </c>
      <c r="E542" s="5" t="s">
        <v>3120</v>
      </c>
      <c r="F542" s="4">
        <v>46282</v>
      </c>
      <c r="G542" s="7" t="s">
        <v>3121</v>
      </c>
      <c r="H542" s="15">
        <v>46282</v>
      </c>
      <c r="I542" s="113">
        <f t="shared" si="66"/>
        <v>13</v>
      </c>
      <c r="J542" s="7" t="s">
        <v>3205</v>
      </c>
      <c r="K542" s="4">
        <v>46295</v>
      </c>
      <c r="L542" s="7" t="s">
        <v>3206</v>
      </c>
      <c r="M542" s="66">
        <v>46295</v>
      </c>
      <c r="N542" s="27">
        <f t="shared" ca="1" si="67"/>
        <v>0</v>
      </c>
      <c r="O542" s="108" t="s">
        <v>2</v>
      </c>
      <c r="P542" s="14"/>
    </row>
    <row r="543" spans="1:16" ht="51.6" customHeight="1" x14ac:dyDescent="0.3">
      <c r="A543" s="3"/>
      <c r="B543" s="19" t="s">
        <v>3122</v>
      </c>
      <c r="C543" s="63">
        <v>0</v>
      </c>
      <c r="D543" s="13" t="s">
        <v>3123</v>
      </c>
      <c r="E543" s="5" t="s">
        <v>3124</v>
      </c>
      <c r="F543" s="4">
        <v>46282</v>
      </c>
      <c r="G543" s="7" t="s">
        <v>3125</v>
      </c>
      <c r="H543" s="15">
        <v>46282</v>
      </c>
      <c r="I543" s="113">
        <f t="shared" si="66"/>
        <v>-46282</v>
      </c>
      <c r="J543" s="7"/>
      <c r="K543" s="4"/>
      <c r="L543" s="7"/>
      <c r="M543" s="66"/>
      <c r="N543" s="27">
        <f t="shared" ca="1" si="67"/>
        <v>17</v>
      </c>
      <c r="O543" s="108" t="s">
        <v>7</v>
      </c>
      <c r="P543" s="14"/>
    </row>
    <row r="544" spans="1:16" ht="51.6" customHeight="1" x14ac:dyDescent="0.3">
      <c r="A544" s="3"/>
      <c r="B544" s="19" t="s">
        <v>3126</v>
      </c>
      <c r="C544" s="63">
        <v>0</v>
      </c>
      <c r="D544" s="13" t="s">
        <v>3127</v>
      </c>
      <c r="E544" s="5" t="s">
        <v>3128</v>
      </c>
      <c r="F544" s="4">
        <v>46285</v>
      </c>
      <c r="G544" s="7" t="s">
        <v>3129</v>
      </c>
      <c r="H544" s="15">
        <v>46285</v>
      </c>
      <c r="I544" s="113">
        <f t="shared" si="66"/>
        <v>15</v>
      </c>
      <c r="J544" s="7" t="s">
        <v>3389</v>
      </c>
      <c r="K544" s="4">
        <v>46300</v>
      </c>
      <c r="L544" s="7" t="s">
        <v>3390</v>
      </c>
      <c r="M544" s="66">
        <v>46300</v>
      </c>
      <c r="N544" s="27">
        <f t="shared" ca="1" si="67"/>
        <v>0</v>
      </c>
      <c r="O544" s="108" t="s">
        <v>2</v>
      </c>
      <c r="P544" s="14"/>
    </row>
    <row r="545" spans="1:16" ht="51.6" customHeight="1" x14ac:dyDescent="0.3">
      <c r="A545" s="3"/>
      <c r="B545" s="19" t="s">
        <v>3130</v>
      </c>
      <c r="C545" s="63">
        <v>0</v>
      </c>
      <c r="D545" s="13" t="s">
        <v>3131</v>
      </c>
      <c r="E545" s="5" t="s">
        <v>3132</v>
      </c>
      <c r="F545" s="4">
        <v>46285</v>
      </c>
      <c r="G545" s="7" t="s">
        <v>3133</v>
      </c>
      <c r="H545" s="15">
        <v>46285</v>
      </c>
      <c r="I545" s="113">
        <f t="shared" si="66"/>
        <v>-46285</v>
      </c>
      <c r="J545" s="7"/>
      <c r="K545" s="4"/>
      <c r="L545" s="7"/>
      <c r="M545" s="66"/>
      <c r="N545" s="27">
        <f t="shared" ca="1" si="67"/>
        <v>14</v>
      </c>
      <c r="O545" s="108" t="s">
        <v>7</v>
      </c>
      <c r="P545" s="14"/>
    </row>
    <row r="546" spans="1:16" ht="51.6" customHeight="1" x14ac:dyDescent="0.3">
      <c r="A546" s="3"/>
      <c r="B546" s="19" t="s">
        <v>3134</v>
      </c>
      <c r="C546" s="63">
        <v>0</v>
      </c>
      <c r="D546" s="13" t="s">
        <v>3135</v>
      </c>
      <c r="E546" s="5" t="s">
        <v>3136</v>
      </c>
      <c r="F546" s="4">
        <v>46285</v>
      </c>
      <c r="G546" s="7" t="s">
        <v>3137</v>
      </c>
      <c r="H546" s="15">
        <v>46285</v>
      </c>
      <c r="I546" s="113">
        <f t="shared" si="66"/>
        <v>15</v>
      </c>
      <c r="J546" s="7" t="s">
        <v>3391</v>
      </c>
      <c r="K546" s="4">
        <v>46300</v>
      </c>
      <c r="L546" s="7" t="s">
        <v>3392</v>
      </c>
      <c r="M546" s="66">
        <v>46300</v>
      </c>
      <c r="N546" s="27">
        <f t="shared" ca="1" si="67"/>
        <v>0</v>
      </c>
      <c r="O546" s="108" t="s">
        <v>2</v>
      </c>
      <c r="P546" s="14"/>
    </row>
    <row r="547" spans="1:16" ht="51.6" customHeight="1" x14ac:dyDescent="0.3">
      <c r="A547" s="3"/>
      <c r="B547" s="19" t="s">
        <v>3138</v>
      </c>
      <c r="C547" s="63">
        <v>0</v>
      </c>
      <c r="D547" s="13" t="s">
        <v>3139</v>
      </c>
      <c r="E547" s="5" t="s">
        <v>3140</v>
      </c>
      <c r="F547" s="4">
        <v>46285</v>
      </c>
      <c r="G547" s="7" t="s">
        <v>3141</v>
      </c>
      <c r="H547" s="15">
        <v>46285</v>
      </c>
      <c r="I547" s="113">
        <f t="shared" si="66"/>
        <v>-46285</v>
      </c>
      <c r="J547" s="7"/>
      <c r="K547" s="4"/>
      <c r="L547" s="7"/>
      <c r="M547" s="66"/>
      <c r="N547" s="27">
        <f t="shared" ca="1" si="67"/>
        <v>14</v>
      </c>
      <c r="O547" s="108" t="s">
        <v>7</v>
      </c>
      <c r="P547" s="14"/>
    </row>
    <row r="548" spans="1:16" ht="51.6" customHeight="1" x14ac:dyDescent="0.3">
      <c r="A548" s="3"/>
      <c r="B548" s="19" t="s">
        <v>3142</v>
      </c>
      <c r="C548" s="63">
        <v>0</v>
      </c>
      <c r="D548" s="13" t="s">
        <v>3143</v>
      </c>
      <c r="E548" s="5" t="s">
        <v>3144</v>
      </c>
      <c r="F548" s="4">
        <v>46285</v>
      </c>
      <c r="G548" s="7" t="s">
        <v>3145</v>
      </c>
      <c r="H548" s="15">
        <v>46285</v>
      </c>
      <c r="I548" s="113">
        <f t="shared" si="66"/>
        <v>-46285</v>
      </c>
      <c r="J548" s="7"/>
      <c r="K548" s="4"/>
      <c r="L548" s="40"/>
      <c r="M548" s="66"/>
      <c r="N548" s="27">
        <f t="shared" ca="1" si="67"/>
        <v>14</v>
      </c>
      <c r="O548" s="108" t="s">
        <v>7</v>
      </c>
      <c r="P548" s="14"/>
    </row>
    <row r="549" spans="1:16" ht="51.6" customHeight="1" x14ac:dyDescent="0.3">
      <c r="A549" s="3"/>
      <c r="B549" s="19" t="s">
        <v>3146</v>
      </c>
      <c r="C549" s="63">
        <v>0</v>
      </c>
      <c r="D549" s="13" t="s">
        <v>3147</v>
      </c>
      <c r="E549" s="5" t="s">
        <v>3148</v>
      </c>
      <c r="F549" s="4">
        <v>46285</v>
      </c>
      <c r="G549" s="7" t="s">
        <v>3149</v>
      </c>
      <c r="H549" s="15">
        <v>46285</v>
      </c>
      <c r="I549" s="113">
        <f t="shared" si="66"/>
        <v>-46285</v>
      </c>
      <c r="J549" s="7"/>
      <c r="K549" s="4"/>
      <c r="L549" s="7"/>
      <c r="M549" s="66"/>
      <c r="N549" s="27">
        <f t="shared" ca="1" si="67"/>
        <v>14</v>
      </c>
      <c r="O549" s="108" t="s">
        <v>7</v>
      </c>
      <c r="P549" s="14"/>
    </row>
    <row r="550" spans="1:16" ht="51.6" customHeight="1" x14ac:dyDescent="0.3">
      <c r="A550" s="3"/>
      <c r="B550" s="19" t="s">
        <v>3150</v>
      </c>
      <c r="C550" s="63">
        <v>0</v>
      </c>
      <c r="D550" s="13" t="s">
        <v>3151</v>
      </c>
      <c r="E550" s="5" t="s">
        <v>3152</v>
      </c>
      <c r="F550" s="4">
        <v>46285</v>
      </c>
      <c r="G550" s="7" t="s">
        <v>3153</v>
      </c>
      <c r="H550" s="15">
        <v>46285</v>
      </c>
      <c r="I550" s="113">
        <f t="shared" si="66"/>
        <v>-46285</v>
      </c>
      <c r="J550" s="7"/>
      <c r="K550" s="4"/>
      <c r="L550" s="7"/>
      <c r="M550" s="66"/>
      <c r="N550" s="27">
        <f t="shared" ca="1" si="67"/>
        <v>14</v>
      </c>
      <c r="O550" s="108" t="s">
        <v>7</v>
      </c>
      <c r="P550" s="14"/>
    </row>
    <row r="551" spans="1:16" ht="51.6" customHeight="1" x14ac:dyDescent="0.3">
      <c r="A551" s="3"/>
      <c r="B551" s="19" t="s">
        <v>3154</v>
      </c>
      <c r="C551" s="63">
        <v>0</v>
      </c>
      <c r="D551" s="13" t="s">
        <v>3155</v>
      </c>
      <c r="E551" s="5" t="s">
        <v>3156</v>
      </c>
      <c r="F551" s="4">
        <v>46285</v>
      </c>
      <c r="G551" s="7" t="s">
        <v>3157</v>
      </c>
      <c r="H551" s="15">
        <v>46285</v>
      </c>
      <c r="I551" s="113">
        <f t="shared" si="66"/>
        <v>10</v>
      </c>
      <c r="J551" s="7" t="s">
        <v>3207</v>
      </c>
      <c r="K551" s="4">
        <v>46295</v>
      </c>
      <c r="L551" s="7" t="s">
        <v>3208</v>
      </c>
      <c r="M551" s="66">
        <v>46295</v>
      </c>
      <c r="N551" s="27">
        <f t="shared" ca="1" si="67"/>
        <v>0</v>
      </c>
      <c r="O551" s="108" t="s">
        <v>2</v>
      </c>
      <c r="P551" s="14"/>
    </row>
    <row r="552" spans="1:16" ht="51.6" customHeight="1" x14ac:dyDescent="0.3">
      <c r="A552" s="3"/>
      <c r="B552" s="19" t="s">
        <v>3158</v>
      </c>
      <c r="C552" s="63">
        <v>0</v>
      </c>
      <c r="D552" s="13" t="s">
        <v>3159</v>
      </c>
      <c r="E552" s="5" t="s">
        <v>3160</v>
      </c>
      <c r="F552" s="4">
        <v>46285</v>
      </c>
      <c r="G552" s="7" t="s">
        <v>3161</v>
      </c>
      <c r="H552" s="15">
        <v>46285</v>
      </c>
      <c r="I552" s="113">
        <f t="shared" si="66"/>
        <v>10</v>
      </c>
      <c r="J552" s="7" t="s">
        <v>3219</v>
      </c>
      <c r="K552" s="4">
        <v>46295</v>
      </c>
      <c r="L552" s="7" t="s">
        <v>3220</v>
      </c>
      <c r="M552" s="66">
        <v>46295</v>
      </c>
      <c r="N552" s="27">
        <f t="shared" ca="1" si="67"/>
        <v>0</v>
      </c>
      <c r="O552" s="108" t="s">
        <v>2</v>
      </c>
      <c r="P552" s="14"/>
    </row>
    <row r="553" spans="1:16" ht="51.6" customHeight="1" x14ac:dyDescent="0.3">
      <c r="A553" s="3"/>
      <c r="B553" s="19" t="s">
        <v>3162</v>
      </c>
      <c r="C553" s="63">
        <v>0</v>
      </c>
      <c r="D553" s="13" t="s">
        <v>3163</v>
      </c>
      <c r="E553" s="5" t="s">
        <v>3164</v>
      </c>
      <c r="F553" s="4">
        <v>46285</v>
      </c>
      <c r="G553" s="7" t="s">
        <v>3165</v>
      </c>
      <c r="H553" s="15">
        <v>46285</v>
      </c>
      <c r="I553" s="113">
        <f t="shared" si="66"/>
        <v>10</v>
      </c>
      <c r="J553" s="7" t="s">
        <v>3201</v>
      </c>
      <c r="K553" s="4">
        <v>46295</v>
      </c>
      <c r="L553" s="7" t="s">
        <v>3202</v>
      </c>
      <c r="M553" s="66">
        <v>46295</v>
      </c>
      <c r="N553" s="27">
        <f t="shared" ca="1" si="67"/>
        <v>0</v>
      </c>
      <c r="O553" s="108" t="s">
        <v>2</v>
      </c>
      <c r="P553" s="14"/>
    </row>
    <row r="554" spans="1:16" ht="51.6" customHeight="1" x14ac:dyDescent="0.3">
      <c r="A554" s="3"/>
      <c r="B554" s="19" t="s">
        <v>3166</v>
      </c>
      <c r="C554" s="63">
        <v>0</v>
      </c>
      <c r="D554" s="13" t="s">
        <v>3167</v>
      </c>
      <c r="E554" s="5" t="s">
        <v>3168</v>
      </c>
      <c r="F554" s="4">
        <v>46286</v>
      </c>
      <c r="G554" s="7" t="s">
        <v>3169</v>
      </c>
      <c r="H554" s="15">
        <v>46287</v>
      </c>
      <c r="I554" s="113">
        <f t="shared" si="66"/>
        <v>-46287</v>
      </c>
      <c r="J554" s="7"/>
      <c r="K554" s="4"/>
      <c r="L554" s="7"/>
      <c r="M554" s="66"/>
      <c r="N554" s="27">
        <f t="shared" ref="N554:N615" ca="1" si="68">IF(AND(M554="",TODAY()-F554&gt;7),TODAY()-F554-7,0)</f>
        <v>13</v>
      </c>
      <c r="O554" s="108" t="s">
        <v>7</v>
      </c>
      <c r="P554" s="14"/>
    </row>
    <row r="555" spans="1:16" ht="51.6" customHeight="1" x14ac:dyDescent="0.3">
      <c r="A555" s="3"/>
      <c r="B555" s="19" t="s">
        <v>3170</v>
      </c>
      <c r="C555" s="63">
        <v>0</v>
      </c>
      <c r="D555" s="13" t="s">
        <v>3171</v>
      </c>
      <c r="E555" s="5" t="s">
        <v>3172</v>
      </c>
      <c r="F555" s="4">
        <v>46286</v>
      </c>
      <c r="G555" s="7" t="s">
        <v>3173</v>
      </c>
      <c r="H555" s="15">
        <v>46287</v>
      </c>
      <c r="I555" s="113">
        <f t="shared" si="66"/>
        <v>8</v>
      </c>
      <c r="J555" s="7" t="s">
        <v>3215</v>
      </c>
      <c r="K555" s="4">
        <v>46295</v>
      </c>
      <c r="L555" s="7" t="s">
        <v>3216</v>
      </c>
      <c r="M555" s="66">
        <v>46295</v>
      </c>
      <c r="N555" s="27">
        <f t="shared" ca="1" si="68"/>
        <v>0</v>
      </c>
      <c r="O555" s="108" t="s">
        <v>2</v>
      </c>
      <c r="P555" s="14"/>
    </row>
    <row r="556" spans="1:16" ht="51.6" customHeight="1" x14ac:dyDescent="0.3">
      <c r="A556" s="3"/>
      <c r="B556" s="19" t="s">
        <v>3174</v>
      </c>
      <c r="C556" s="63">
        <v>0</v>
      </c>
      <c r="D556" s="13" t="s">
        <v>3175</v>
      </c>
      <c r="E556" s="5" t="s">
        <v>3176</v>
      </c>
      <c r="F556" s="4">
        <v>46286</v>
      </c>
      <c r="G556" s="7" t="s">
        <v>3177</v>
      </c>
      <c r="H556" s="15">
        <v>46287</v>
      </c>
      <c r="I556" s="113">
        <f t="shared" si="66"/>
        <v>2</v>
      </c>
      <c r="J556" s="7" t="s">
        <v>3178</v>
      </c>
      <c r="K556" s="4">
        <v>46289</v>
      </c>
      <c r="L556" s="7" t="s">
        <v>3179</v>
      </c>
      <c r="M556" s="66">
        <v>46293</v>
      </c>
      <c r="N556" s="27">
        <f t="shared" ca="1" si="68"/>
        <v>0</v>
      </c>
      <c r="O556" s="108" t="s">
        <v>2</v>
      </c>
      <c r="P556" s="14"/>
    </row>
    <row r="557" spans="1:16" ht="51.6" customHeight="1" x14ac:dyDescent="0.3">
      <c r="A557" s="3"/>
      <c r="B557" s="19" t="s">
        <v>3180</v>
      </c>
      <c r="C557" s="63">
        <v>0</v>
      </c>
      <c r="D557" s="13" t="s">
        <v>3223</v>
      </c>
      <c r="E557" s="5" t="s">
        <v>3224</v>
      </c>
      <c r="F557" s="4">
        <v>46295</v>
      </c>
      <c r="G557" s="7" t="s">
        <v>3225</v>
      </c>
      <c r="H557" s="15">
        <v>46295</v>
      </c>
      <c r="I557" s="113">
        <f t="shared" si="66"/>
        <v>7</v>
      </c>
      <c r="J557" s="7" t="s">
        <v>3414</v>
      </c>
      <c r="K557" s="4">
        <v>46302</v>
      </c>
      <c r="L557" s="7" t="s">
        <v>3415</v>
      </c>
      <c r="M557" s="66">
        <v>46302</v>
      </c>
      <c r="N557" s="27">
        <f t="shared" ca="1" si="68"/>
        <v>0</v>
      </c>
      <c r="O557" s="108" t="s">
        <v>2</v>
      </c>
      <c r="P557" s="14"/>
    </row>
    <row r="558" spans="1:16" ht="51.6" customHeight="1" x14ac:dyDescent="0.3">
      <c r="A558" s="3"/>
      <c r="B558" s="19" t="s">
        <v>3181</v>
      </c>
      <c r="C558" s="63">
        <v>0</v>
      </c>
      <c r="D558" s="13" t="s">
        <v>3182</v>
      </c>
      <c r="E558" s="5" t="s">
        <v>3183</v>
      </c>
      <c r="F558" s="4">
        <v>46288</v>
      </c>
      <c r="G558" s="7" t="s">
        <v>3184</v>
      </c>
      <c r="H558" s="15">
        <v>46288</v>
      </c>
      <c r="I558" s="113">
        <f t="shared" si="66"/>
        <v>12</v>
      </c>
      <c r="J558" s="7" t="s">
        <v>3399</v>
      </c>
      <c r="K558" s="4">
        <v>46300</v>
      </c>
      <c r="L558" s="7" t="s">
        <v>3400</v>
      </c>
      <c r="M558" s="66">
        <v>46301</v>
      </c>
      <c r="N558" s="27">
        <f t="shared" ca="1" si="68"/>
        <v>0</v>
      </c>
      <c r="O558" s="108" t="s">
        <v>2</v>
      </c>
      <c r="P558" s="14"/>
    </row>
    <row r="559" spans="1:16" ht="51.6" customHeight="1" x14ac:dyDescent="0.3">
      <c r="A559" s="3"/>
      <c r="B559" s="19" t="s">
        <v>3185</v>
      </c>
      <c r="C559" s="63">
        <v>0</v>
      </c>
      <c r="D559" s="13" t="s">
        <v>3186</v>
      </c>
      <c r="E559" s="5" t="s">
        <v>3187</v>
      </c>
      <c r="F559" s="4">
        <v>46288</v>
      </c>
      <c r="G559" s="7" t="s">
        <v>3188</v>
      </c>
      <c r="H559" s="15">
        <v>46288</v>
      </c>
      <c r="I559" s="113">
        <f t="shared" si="66"/>
        <v>14</v>
      </c>
      <c r="J559" s="7" t="s">
        <v>3420</v>
      </c>
      <c r="K559" s="4">
        <v>46302</v>
      </c>
      <c r="L559" s="7" t="s">
        <v>3421</v>
      </c>
      <c r="M559" s="66">
        <v>46302</v>
      </c>
      <c r="N559" s="27">
        <f t="shared" ca="1" si="68"/>
        <v>0</v>
      </c>
      <c r="O559" s="108" t="s">
        <v>2</v>
      </c>
      <c r="P559" s="14"/>
    </row>
    <row r="560" spans="1:16" ht="51.6" customHeight="1" x14ac:dyDescent="0.3">
      <c r="A560" s="3"/>
      <c r="B560" s="19" t="s">
        <v>3189</v>
      </c>
      <c r="C560" s="63">
        <v>0</v>
      </c>
      <c r="D560" s="13" t="s">
        <v>3190</v>
      </c>
      <c r="E560" s="5" t="s">
        <v>3191</v>
      </c>
      <c r="F560" s="4">
        <v>46288</v>
      </c>
      <c r="G560" s="7" t="s">
        <v>3192</v>
      </c>
      <c r="H560" s="15">
        <v>46288</v>
      </c>
      <c r="I560" s="113">
        <f t="shared" si="66"/>
        <v>-46288</v>
      </c>
      <c r="J560" s="7"/>
      <c r="K560" s="4"/>
      <c r="L560" s="7"/>
      <c r="M560" s="66"/>
      <c r="N560" s="27">
        <f t="shared" ca="1" si="68"/>
        <v>11</v>
      </c>
      <c r="O560" s="108" t="s">
        <v>7</v>
      </c>
      <c r="P560" s="14"/>
    </row>
    <row r="561" spans="1:16" ht="51.6" customHeight="1" x14ac:dyDescent="0.3">
      <c r="A561" s="3"/>
      <c r="B561" s="19" t="s">
        <v>3193</v>
      </c>
      <c r="C561" s="63">
        <v>0</v>
      </c>
      <c r="D561" s="13" t="s">
        <v>3194</v>
      </c>
      <c r="E561" s="5" t="s">
        <v>3195</v>
      </c>
      <c r="F561" s="4">
        <v>46288</v>
      </c>
      <c r="G561" s="7" t="s">
        <v>3196</v>
      </c>
      <c r="H561" s="15">
        <v>46288</v>
      </c>
      <c r="I561" s="113">
        <f t="shared" si="66"/>
        <v>-46288</v>
      </c>
      <c r="J561" s="7"/>
      <c r="K561" s="4"/>
      <c r="L561" s="7"/>
      <c r="M561" s="66"/>
      <c r="N561" s="27">
        <f t="shared" ca="1" si="68"/>
        <v>11</v>
      </c>
      <c r="O561" s="108" t="s">
        <v>7</v>
      </c>
      <c r="P561" s="14"/>
    </row>
    <row r="562" spans="1:16" ht="51.6" customHeight="1" x14ac:dyDescent="0.3">
      <c r="A562" s="3"/>
      <c r="B562" s="19" t="s">
        <v>3197</v>
      </c>
      <c r="C562" s="63">
        <v>0</v>
      </c>
      <c r="D562" s="13" t="s">
        <v>3198</v>
      </c>
      <c r="E562" s="5" t="s">
        <v>3199</v>
      </c>
      <c r="F562" s="4">
        <v>46288</v>
      </c>
      <c r="G562" s="7" t="s">
        <v>3200</v>
      </c>
      <c r="H562" s="15">
        <v>46288</v>
      </c>
      <c r="I562" s="113">
        <f t="shared" si="66"/>
        <v>-46288</v>
      </c>
      <c r="J562" s="7"/>
      <c r="K562" s="4"/>
      <c r="L562" s="7"/>
      <c r="M562" s="66"/>
      <c r="N562" s="27">
        <f t="shared" ca="1" si="68"/>
        <v>11</v>
      </c>
      <c r="O562" s="108" t="s">
        <v>7</v>
      </c>
      <c r="P562" s="14"/>
    </row>
    <row r="563" spans="1:16" ht="51.6" customHeight="1" x14ac:dyDescent="0.3">
      <c r="A563" s="3"/>
      <c r="B563" s="19" t="s">
        <v>3227</v>
      </c>
      <c r="C563" s="63">
        <v>0</v>
      </c>
      <c r="D563" s="13" t="s">
        <v>3226</v>
      </c>
      <c r="E563" s="5" t="s">
        <v>3228</v>
      </c>
      <c r="F563" s="4">
        <v>46295</v>
      </c>
      <c r="G563" s="7" t="s">
        <v>3229</v>
      </c>
      <c r="H563" s="15">
        <v>46295</v>
      </c>
      <c r="I563" s="113">
        <f t="shared" si="66"/>
        <v>-46295</v>
      </c>
      <c r="J563" s="7"/>
      <c r="K563" s="4"/>
      <c r="L563" s="7"/>
      <c r="M563" s="66"/>
      <c r="N563" s="27">
        <f t="shared" ca="1" si="68"/>
        <v>4</v>
      </c>
      <c r="O563" s="108" t="s">
        <v>7</v>
      </c>
      <c r="P563" s="14"/>
    </row>
    <row r="564" spans="1:16" ht="51.6" customHeight="1" x14ac:dyDescent="0.3">
      <c r="A564" s="3"/>
      <c r="B564" s="19" t="s">
        <v>3231</v>
      </c>
      <c r="C564" s="63">
        <v>0</v>
      </c>
      <c r="D564" s="13" t="s">
        <v>3230</v>
      </c>
      <c r="E564" s="5" t="s">
        <v>3232</v>
      </c>
      <c r="F564" s="4">
        <v>46295</v>
      </c>
      <c r="G564" s="7" t="s">
        <v>3233</v>
      </c>
      <c r="H564" s="15">
        <v>46295</v>
      </c>
      <c r="I564" s="113">
        <f t="shared" si="66"/>
        <v>7</v>
      </c>
      <c r="J564" s="7" t="s">
        <v>3418</v>
      </c>
      <c r="K564" s="4">
        <v>46302</v>
      </c>
      <c r="L564" s="7" t="s">
        <v>3419</v>
      </c>
      <c r="M564" s="66">
        <v>46302</v>
      </c>
      <c r="N564" s="27">
        <f t="shared" ca="1" si="68"/>
        <v>0</v>
      </c>
      <c r="O564" s="108" t="s">
        <v>2</v>
      </c>
      <c r="P564" s="14"/>
    </row>
    <row r="565" spans="1:16" ht="51.6" customHeight="1" x14ac:dyDescent="0.3">
      <c r="A565" s="3"/>
      <c r="B565" s="19" t="s">
        <v>3234</v>
      </c>
      <c r="C565" s="63">
        <v>0</v>
      </c>
      <c r="D565" s="13" t="s">
        <v>3235</v>
      </c>
      <c r="E565" s="5" t="s">
        <v>3236</v>
      </c>
      <c r="F565" s="4">
        <v>46295</v>
      </c>
      <c r="G565" s="7" t="s">
        <v>3237</v>
      </c>
      <c r="H565" s="15">
        <v>46295</v>
      </c>
      <c r="I565" s="113">
        <f t="shared" si="66"/>
        <v>-46295</v>
      </c>
      <c r="J565" s="7"/>
      <c r="K565" s="4"/>
      <c r="L565" s="7"/>
      <c r="M565" s="66"/>
      <c r="N565" s="27">
        <f t="shared" ca="1" si="68"/>
        <v>4</v>
      </c>
      <c r="O565" s="108" t="s">
        <v>7</v>
      </c>
      <c r="P565" s="14"/>
    </row>
    <row r="566" spans="1:16" ht="51.6" customHeight="1" x14ac:dyDescent="0.3">
      <c r="A566" s="3"/>
      <c r="B566" s="19" t="s">
        <v>3239</v>
      </c>
      <c r="C566" s="63">
        <v>0</v>
      </c>
      <c r="D566" s="13" t="s">
        <v>3238</v>
      </c>
      <c r="E566" s="5" t="s">
        <v>3240</v>
      </c>
      <c r="F566" s="4">
        <v>46295</v>
      </c>
      <c r="G566" s="7" t="s">
        <v>3241</v>
      </c>
      <c r="H566" s="15">
        <v>46295</v>
      </c>
      <c r="I566" s="113">
        <f t="shared" si="66"/>
        <v>7</v>
      </c>
      <c r="J566" s="7" t="s">
        <v>3412</v>
      </c>
      <c r="K566" s="4">
        <v>46302</v>
      </c>
      <c r="L566" s="7" t="s">
        <v>3413</v>
      </c>
      <c r="M566" s="66">
        <v>46302</v>
      </c>
      <c r="N566" s="27">
        <f t="shared" ca="1" si="68"/>
        <v>0</v>
      </c>
      <c r="O566" s="108" t="s">
        <v>2</v>
      </c>
      <c r="P566" s="14"/>
    </row>
    <row r="567" spans="1:16" ht="51.6" customHeight="1" x14ac:dyDescent="0.3">
      <c r="A567" s="3"/>
      <c r="B567" s="19" t="s">
        <v>3242</v>
      </c>
      <c r="C567" s="63">
        <v>0</v>
      </c>
      <c r="D567" s="13" t="s">
        <v>3243</v>
      </c>
      <c r="E567" s="5" t="s">
        <v>3244</v>
      </c>
      <c r="F567" s="4">
        <v>46295</v>
      </c>
      <c r="G567" s="7" t="s">
        <v>3245</v>
      </c>
      <c r="H567" s="15">
        <v>46295</v>
      </c>
      <c r="I567" s="113">
        <f t="shared" si="66"/>
        <v>-46295</v>
      </c>
      <c r="J567" s="7"/>
      <c r="K567" s="4"/>
      <c r="L567" s="7"/>
      <c r="M567" s="66"/>
      <c r="N567" s="27">
        <f t="shared" ca="1" si="68"/>
        <v>4</v>
      </c>
      <c r="O567" s="108" t="s">
        <v>7</v>
      </c>
      <c r="P567" s="14"/>
    </row>
    <row r="568" spans="1:16" ht="51.6" customHeight="1" x14ac:dyDescent="0.3">
      <c r="A568" s="3"/>
      <c r="B568" s="19" t="s">
        <v>3246</v>
      </c>
      <c r="C568" s="63">
        <v>0</v>
      </c>
      <c r="D568" s="13" t="s">
        <v>3247</v>
      </c>
      <c r="E568" s="5" t="s">
        <v>3248</v>
      </c>
      <c r="F568" s="4">
        <v>46295</v>
      </c>
      <c r="G568" s="7" t="s">
        <v>3249</v>
      </c>
      <c r="H568" s="15">
        <v>46295</v>
      </c>
      <c r="I568" s="113">
        <f t="shared" si="66"/>
        <v>7</v>
      </c>
      <c r="J568" s="7" t="s">
        <v>3407</v>
      </c>
      <c r="K568" s="4">
        <v>46302</v>
      </c>
      <c r="L568" s="7" t="s">
        <v>3408</v>
      </c>
      <c r="M568" s="66">
        <v>46302</v>
      </c>
      <c r="N568" s="27">
        <f t="shared" ca="1" si="68"/>
        <v>0</v>
      </c>
      <c r="O568" s="108" t="s">
        <v>2</v>
      </c>
      <c r="P568" s="14"/>
    </row>
    <row r="569" spans="1:16" ht="51.6" customHeight="1" x14ac:dyDescent="0.3">
      <c r="A569" s="3"/>
      <c r="B569" s="19" t="s">
        <v>3250</v>
      </c>
      <c r="C569" s="63">
        <v>0</v>
      </c>
      <c r="D569" s="13" t="s">
        <v>3251</v>
      </c>
      <c r="E569" s="5" t="s">
        <v>3252</v>
      </c>
      <c r="F569" s="4">
        <v>46295</v>
      </c>
      <c r="G569" s="7" t="s">
        <v>3253</v>
      </c>
      <c r="H569" s="15">
        <v>46295</v>
      </c>
      <c r="I569" s="113">
        <f t="shared" si="66"/>
        <v>7</v>
      </c>
      <c r="J569" s="7" t="s">
        <v>3422</v>
      </c>
      <c r="K569" s="4">
        <v>46302</v>
      </c>
      <c r="L569" s="7" t="s">
        <v>3423</v>
      </c>
      <c r="M569" s="66">
        <v>46302</v>
      </c>
      <c r="N569" s="27">
        <f t="shared" ca="1" si="68"/>
        <v>0</v>
      </c>
      <c r="O569" s="108" t="s">
        <v>2</v>
      </c>
      <c r="P569" s="14"/>
    </row>
    <row r="570" spans="1:16" ht="51.6" customHeight="1" x14ac:dyDescent="0.3">
      <c r="A570" s="3"/>
      <c r="B570" s="19" t="s">
        <v>3256</v>
      </c>
      <c r="C570" s="63">
        <v>0</v>
      </c>
      <c r="D570" s="13" t="s">
        <v>3254</v>
      </c>
      <c r="E570" s="5" t="s">
        <v>3255</v>
      </c>
      <c r="F570" s="4">
        <v>46295</v>
      </c>
      <c r="G570" s="7" t="s">
        <v>3257</v>
      </c>
      <c r="H570" s="15">
        <v>46295</v>
      </c>
      <c r="I570" s="113">
        <f t="shared" si="66"/>
        <v>7</v>
      </c>
      <c r="J570" s="7" t="s">
        <v>3424</v>
      </c>
      <c r="K570" s="4">
        <v>46302</v>
      </c>
      <c r="L570" s="7" t="s">
        <v>3425</v>
      </c>
      <c r="M570" s="66">
        <v>46302</v>
      </c>
      <c r="N570" s="27">
        <f t="shared" ca="1" si="68"/>
        <v>0</v>
      </c>
      <c r="O570" s="108" t="s">
        <v>2</v>
      </c>
      <c r="P570" s="14"/>
    </row>
    <row r="571" spans="1:16" ht="51.6" customHeight="1" x14ac:dyDescent="0.3">
      <c r="A571" s="3"/>
      <c r="B571" s="19" t="s">
        <v>3260</v>
      </c>
      <c r="C571" s="63">
        <v>0</v>
      </c>
      <c r="D571" s="13" t="s">
        <v>3258</v>
      </c>
      <c r="E571" s="5" t="s">
        <v>3259</v>
      </c>
      <c r="F571" s="4">
        <v>46295</v>
      </c>
      <c r="G571" s="7" t="s">
        <v>3261</v>
      </c>
      <c r="H571" s="15">
        <v>46295</v>
      </c>
      <c r="I571" s="113">
        <f t="shared" si="66"/>
        <v>7</v>
      </c>
      <c r="J571" s="7" t="s">
        <v>3428</v>
      </c>
      <c r="K571" s="4">
        <v>46302</v>
      </c>
      <c r="L571" s="7" t="s">
        <v>3429</v>
      </c>
      <c r="M571" s="66">
        <v>46302</v>
      </c>
      <c r="N571" s="27">
        <f t="shared" ca="1" si="68"/>
        <v>0</v>
      </c>
      <c r="O571" s="108" t="s">
        <v>2</v>
      </c>
      <c r="P571" s="14"/>
    </row>
    <row r="572" spans="1:16" ht="51.6" customHeight="1" x14ac:dyDescent="0.3">
      <c r="A572" s="3"/>
      <c r="B572" s="19" t="s">
        <v>3262</v>
      </c>
      <c r="C572" s="63">
        <v>0</v>
      </c>
      <c r="D572" s="13" t="s">
        <v>3263</v>
      </c>
      <c r="E572" s="5" t="s">
        <v>3264</v>
      </c>
      <c r="F572" s="4">
        <v>46295</v>
      </c>
      <c r="G572" s="7" t="s">
        <v>3265</v>
      </c>
      <c r="H572" s="15">
        <v>46295</v>
      </c>
      <c r="I572" s="113">
        <f t="shared" si="66"/>
        <v>-46295</v>
      </c>
      <c r="J572" s="7"/>
      <c r="K572" s="4"/>
      <c r="L572" s="7"/>
      <c r="M572" s="66"/>
      <c r="N572" s="27">
        <f t="shared" ca="1" si="68"/>
        <v>4</v>
      </c>
      <c r="O572" s="108" t="s">
        <v>7</v>
      </c>
      <c r="P572" s="14"/>
    </row>
    <row r="573" spans="1:16" ht="51.6" customHeight="1" x14ac:dyDescent="0.3">
      <c r="A573" s="3"/>
      <c r="B573" s="19" t="s">
        <v>3267</v>
      </c>
      <c r="C573" s="63">
        <v>0</v>
      </c>
      <c r="D573" s="13" t="s">
        <v>3266</v>
      </c>
      <c r="E573" s="5" t="s">
        <v>3268</v>
      </c>
      <c r="F573" s="4">
        <v>46295</v>
      </c>
      <c r="G573" s="7" t="s">
        <v>3269</v>
      </c>
      <c r="H573" s="15">
        <v>46295</v>
      </c>
      <c r="I573" s="113">
        <f t="shared" si="66"/>
        <v>7</v>
      </c>
      <c r="J573" s="7" t="s">
        <v>3405</v>
      </c>
      <c r="K573" s="4">
        <v>46302</v>
      </c>
      <c r="L573" s="7" t="s">
        <v>3406</v>
      </c>
      <c r="M573" s="66">
        <v>46302</v>
      </c>
      <c r="N573" s="27">
        <f t="shared" ca="1" si="68"/>
        <v>0</v>
      </c>
      <c r="O573" s="108" t="s">
        <v>2</v>
      </c>
      <c r="P573" s="14"/>
    </row>
    <row r="574" spans="1:16" ht="51.6" customHeight="1" x14ac:dyDescent="0.3">
      <c r="A574" s="3"/>
      <c r="B574" s="19" t="s">
        <v>3272</v>
      </c>
      <c r="C574" s="63">
        <v>0</v>
      </c>
      <c r="D574" s="13" t="s">
        <v>3270</v>
      </c>
      <c r="E574" s="5" t="s">
        <v>3271</v>
      </c>
      <c r="F574" s="4">
        <v>46295</v>
      </c>
      <c r="G574" s="7" t="s">
        <v>3273</v>
      </c>
      <c r="H574" s="15">
        <v>46295</v>
      </c>
      <c r="I574" s="113">
        <f t="shared" si="66"/>
        <v>7</v>
      </c>
      <c r="J574" s="7" t="s">
        <v>3416</v>
      </c>
      <c r="K574" s="4">
        <v>46302</v>
      </c>
      <c r="L574" s="7" t="s">
        <v>3417</v>
      </c>
      <c r="M574" s="66">
        <v>46302</v>
      </c>
      <c r="N574" s="27">
        <f t="shared" ca="1" si="68"/>
        <v>0</v>
      </c>
      <c r="O574" s="108" t="s">
        <v>2</v>
      </c>
      <c r="P574" s="14"/>
    </row>
    <row r="575" spans="1:16" ht="51.6" customHeight="1" x14ac:dyDescent="0.3">
      <c r="A575" s="3"/>
      <c r="B575" s="19" t="s">
        <v>3276</v>
      </c>
      <c r="C575" s="63">
        <v>0</v>
      </c>
      <c r="D575" s="13" t="s">
        <v>3274</v>
      </c>
      <c r="E575" s="5" t="s">
        <v>3275</v>
      </c>
      <c r="F575" s="4">
        <v>46295</v>
      </c>
      <c r="G575" s="7" t="s">
        <v>3277</v>
      </c>
      <c r="H575" s="15">
        <v>46295</v>
      </c>
      <c r="I575" s="113">
        <f t="shared" si="66"/>
        <v>7</v>
      </c>
      <c r="J575" s="7" t="s">
        <v>3403</v>
      </c>
      <c r="K575" s="4">
        <v>46302</v>
      </c>
      <c r="L575" s="7" t="s">
        <v>3404</v>
      </c>
      <c r="M575" s="66">
        <v>46302</v>
      </c>
      <c r="N575" s="27">
        <f t="shared" ca="1" si="68"/>
        <v>0</v>
      </c>
      <c r="O575" s="108" t="s">
        <v>2</v>
      </c>
      <c r="P575" s="14"/>
    </row>
    <row r="576" spans="1:16" ht="51.6" customHeight="1" x14ac:dyDescent="0.3">
      <c r="A576" s="3"/>
      <c r="B576" s="19" t="s">
        <v>3279</v>
      </c>
      <c r="C576" s="63">
        <v>0</v>
      </c>
      <c r="D576" s="13" t="s">
        <v>3278</v>
      </c>
      <c r="E576" s="5" t="s">
        <v>3280</v>
      </c>
      <c r="F576" s="4">
        <v>46295</v>
      </c>
      <c r="G576" s="7" t="s">
        <v>3281</v>
      </c>
      <c r="H576" s="15">
        <v>46295</v>
      </c>
      <c r="I576" s="113">
        <f t="shared" si="66"/>
        <v>7</v>
      </c>
      <c r="J576" s="7" t="s">
        <v>3426</v>
      </c>
      <c r="K576" s="4">
        <v>46302</v>
      </c>
      <c r="L576" s="7" t="s">
        <v>3427</v>
      </c>
      <c r="M576" s="66">
        <v>46302</v>
      </c>
      <c r="N576" s="27">
        <f t="shared" ca="1" si="68"/>
        <v>0</v>
      </c>
      <c r="O576" s="108" t="s">
        <v>2</v>
      </c>
      <c r="P576" s="14"/>
    </row>
    <row r="577" spans="1:16" ht="51.6" customHeight="1" x14ac:dyDescent="0.3">
      <c r="A577" s="3"/>
      <c r="B577" s="19" t="s">
        <v>3284</v>
      </c>
      <c r="C577" s="63">
        <v>0</v>
      </c>
      <c r="D577" s="13" t="s">
        <v>3282</v>
      </c>
      <c r="E577" s="5" t="s">
        <v>3283</v>
      </c>
      <c r="F577" s="4">
        <v>46295</v>
      </c>
      <c r="G577" s="7" t="s">
        <v>3285</v>
      </c>
      <c r="H577" s="15">
        <v>46295</v>
      </c>
      <c r="I577" s="113">
        <f t="shared" si="66"/>
        <v>-46295</v>
      </c>
      <c r="J577" s="7"/>
      <c r="K577" s="4"/>
      <c r="L577" s="7"/>
      <c r="M577" s="66"/>
      <c r="N577" s="27">
        <f t="shared" ca="1" si="68"/>
        <v>4</v>
      </c>
      <c r="O577" s="108" t="s">
        <v>7</v>
      </c>
      <c r="P577" s="14"/>
    </row>
    <row r="578" spans="1:16" ht="51.6" customHeight="1" x14ac:dyDescent="0.3">
      <c r="A578" s="3"/>
      <c r="B578" s="19" t="s">
        <v>3288</v>
      </c>
      <c r="C578" s="63">
        <v>0</v>
      </c>
      <c r="D578" s="13" t="s">
        <v>3286</v>
      </c>
      <c r="E578" s="5" t="s">
        <v>3287</v>
      </c>
      <c r="F578" s="4">
        <v>46295</v>
      </c>
      <c r="G578" s="7" t="s">
        <v>3289</v>
      </c>
      <c r="H578" s="15">
        <v>46295</v>
      </c>
      <c r="I578" s="113">
        <f t="shared" si="66"/>
        <v>-46295</v>
      </c>
      <c r="J578" s="7"/>
      <c r="K578" s="4"/>
      <c r="L578" s="7"/>
      <c r="M578" s="66"/>
      <c r="N578" s="27">
        <f t="shared" ca="1" si="68"/>
        <v>4</v>
      </c>
      <c r="O578" s="108" t="s">
        <v>7</v>
      </c>
      <c r="P578" s="14"/>
    </row>
    <row r="579" spans="1:16" ht="51.6" customHeight="1" x14ac:dyDescent="0.3">
      <c r="A579" s="3"/>
      <c r="B579" s="19" t="s">
        <v>3293</v>
      </c>
      <c r="C579" s="63">
        <v>0</v>
      </c>
      <c r="D579" s="13" t="s">
        <v>3290</v>
      </c>
      <c r="E579" s="5" t="s">
        <v>3292</v>
      </c>
      <c r="F579" s="4">
        <v>46295</v>
      </c>
      <c r="G579" s="7" t="s">
        <v>3291</v>
      </c>
      <c r="H579" s="15">
        <v>46295</v>
      </c>
      <c r="I579" s="113">
        <f t="shared" si="66"/>
        <v>-46295</v>
      </c>
      <c r="J579" s="7"/>
      <c r="K579" s="4"/>
      <c r="L579" s="7"/>
      <c r="M579" s="66"/>
      <c r="N579" s="27">
        <f t="shared" ca="1" si="68"/>
        <v>4</v>
      </c>
      <c r="O579" s="108" t="s">
        <v>7</v>
      </c>
      <c r="P579" s="14"/>
    </row>
    <row r="580" spans="1:16" ht="51.6" customHeight="1" x14ac:dyDescent="0.3">
      <c r="A580" s="3"/>
      <c r="B580" s="19" t="s">
        <v>3294</v>
      </c>
      <c r="C580" s="63">
        <v>0</v>
      </c>
      <c r="D580" s="13" t="s">
        <v>3295</v>
      </c>
      <c r="E580" s="5" t="s">
        <v>3296</v>
      </c>
      <c r="F580" s="4">
        <v>46295</v>
      </c>
      <c r="G580" s="7" t="s">
        <v>3297</v>
      </c>
      <c r="H580" s="15">
        <v>46295</v>
      </c>
      <c r="I580" s="113">
        <f t="shared" si="66"/>
        <v>7</v>
      </c>
      <c r="J580" s="7" t="s">
        <v>3401</v>
      </c>
      <c r="K580" s="4">
        <v>46302</v>
      </c>
      <c r="L580" s="7" t="s">
        <v>3402</v>
      </c>
      <c r="M580" s="66">
        <v>46302</v>
      </c>
      <c r="N580" s="27">
        <f t="shared" ca="1" si="68"/>
        <v>0</v>
      </c>
      <c r="O580" s="108" t="s">
        <v>2</v>
      </c>
      <c r="P580" s="14"/>
    </row>
    <row r="581" spans="1:16" ht="51.6" customHeight="1" x14ac:dyDescent="0.3">
      <c r="A581" s="3"/>
      <c r="B581" s="19" t="s">
        <v>3300</v>
      </c>
      <c r="C581" s="63">
        <v>0</v>
      </c>
      <c r="D581" s="13" t="s">
        <v>3299</v>
      </c>
      <c r="E581" s="5" t="s">
        <v>3298</v>
      </c>
      <c r="F581" s="4">
        <v>46295</v>
      </c>
      <c r="G581" s="7" t="s">
        <v>3301</v>
      </c>
      <c r="H581" s="15">
        <v>46295</v>
      </c>
      <c r="I581" s="113">
        <f t="shared" si="66"/>
        <v>-46295</v>
      </c>
      <c r="J581" s="7"/>
      <c r="K581" s="4"/>
      <c r="L581" s="7"/>
      <c r="M581" s="66"/>
      <c r="N581" s="27">
        <f t="shared" ca="1" si="68"/>
        <v>4</v>
      </c>
      <c r="O581" s="108" t="s">
        <v>7</v>
      </c>
      <c r="P581" s="14"/>
    </row>
    <row r="582" spans="1:16" ht="51.6" customHeight="1" x14ac:dyDescent="0.3">
      <c r="A582" s="3"/>
      <c r="B582" s="19" t="s">
        <v>3302</v>
      </c>
      <c r="C582" s="63">
        <v>0</v>
      </c>
      <c r="D582" s="13" t="s">
        <v>3303</v>
      </c>
      <c r="E582" s="5" t="s">
        <v>3304</v>
      </c>
      <c r="F582" s="4">
        <v>46295</v>
      </c>
      <c r="G582" s="7" t="s">
        <v>3305</v>
      </c>
      <c r="H582" s="15">
        <v>46295</v>
      </c>
      <c r="I582" s="113">
        <f t="shared" si="66"/>
        <v>7</v>
      </c>
      <c r="J582" s="7" t="s">
        <v>3410</v>
      </c>
      <c r="K582" s="4">
        <v>46302</v>
      </c>
      <c r="L582" s="7" t="s">
        <v>3411</v>
      </c>
      <c r="M582" s="66">
        <v>46302</v>
      </c>
      <c r="N582" s="27">
        <f t="shared" ca="1" si="68"/>
        <v>0</v>
      </c>
      <c r="O582" s="108" t="s">
        <v>2</v>
      </c>
      <c r="P582" s="14"/>
    </row>
    <row r="583" spans="1:16" ht="51.6" customHeight="1" x14ac:dyDescent="0.3">
      <c r="A583" s="3"/>
      <c r="B583" s="19" t="s">
        <v>3306</v>
      </c>
      <c r="C583" s="63">
        <v>0</v>
      </c>
      <c r="D583" s="13" t="s">
        <v>3307</v>
      </c>
      <c r="E583" s="5" t="s">
        <v>3308</v>
      </c>
      <c r="F583" s="4">
        <v>46295</v>
      </c>
      <c r="G583" s="7" t="s">
        <v>3309</v>
      </c>
      <c r="H583" s="15">
        <v>46295</v>
      </c>
      <c r="I583" s="113">
        <f t="shared" si="66"/>
        <v>7</v>
      </c>
      <c r="J583" s="7" t="s">
        <v>3409</v>
      </c>
      <c r="K583" s="4">
        <v>46302</v>
      </c>
      <c r="L583" s="7"/>
      <c r="M583" s="66"/>
      <c r="N583" s="27">
        <f t="shared" ca="1" si="68"/>
        <v>4</v>
      </c>
      <c r="O583" s="108" t="s">
        <v>2</v>
      </c>
      <c r="P583" s="14"/>
    </row>
    <row r="584" spans="1:16" ht="51.6" customHeight="1" x14ac:dyDescent="0.3">
      <c r="A584" s="3"/>
      <c r="B584" s="19" t="s">
        <v>3310</v>
      </c>
      <c r="C584" s="63">
        <v>0</v>
      </c>
      <c r="D584" s="13" t="s">
        <v>3311</v>
      </c>
      <c r="E584" s="5" t="s">
        <v>3312</v>
      </c>
      <c r="F584" s="4">
        <v>46295</v>
      </c>
      <c r="G584" s="7" t="s">
        <v>3313</v>
      </c>
      <c r="H584" s="15">
        <v>46299</v>
      </c>
      <c r="I584" s="113">
        <f t="shared" si="66"/>
        <v>-46299</v>
      </c>
      <c r="J584" s="7"/>
      <c r="K584" s="4"/>
      <c r="L584" s="7"/>
      <c r="M584" s="66"/>
      <c r="N584" s="27">
        <f t="shared" ca="1" si="68"/>
        <v>4</v>
      </c>
      <c r="O584" s="108" t="s">
        <v>7</v>
      </c>
      <c r="P584" s="14"/>
    </row>
    <row r="585" spans="1:16" ht="51.6" customHeight="1" x14ac:dyDescent="0.3">
      <c r="A585" s="3"/>
      <c r="B585" s="19" t="s">
        <v>3314</v>
      </c>
      <c r="C585" s="63">
        <v>0</v>
      </c>
      <c r="D585" s="13" t="s">
        <v>3315</v>
      </c>
      <c r="E585" s="5" t="s">
        <v>3316</v>
      </c>
      <c r="F585" s="4">
        <v>46295</v>
      </c>
      <c r="G585" s="7" t="s">
        <v>3317</v>
      </c>
      <c r="H585" s="15">
        <v>46299</v>
      </c>
      <c r="I585" s="113">
        <f t="shared" si="66"/>
        <v>-46299</v>
      </c>
      <c r="J585" s="7"/>
      <c r="K585" s="4"/>
      <c r="L585" s="7"/>
      <c r="M585" s="66"/>
      <c r="N585" s="27">
        <f t="shared" ca="1" si="68"/>
        <v>4</v>
      </c>
      <c r="O585" s="108" t="s">
        <v>7</v>
      </c>
      <c r="P585" s="14"/>
    </row>
    <row r="586" spans="1:16" ht="51.6" customHeight="1" x14ac:dyDescent="0.3">
      <c r="A586" s="3"/>
      <c r="B586" s="19" t="s">
        <v>3318</v>
      </c>
      <c r="C586" s="63">
        <v>0</v>
      </c>
      <c r="D586" s="13" t="s">
        <v>3320</v>
      </c>
      <c r="E586" s="5" t="s">
        <v>3319</v>
      </c>
      <c r="F586" s="4">
        <v>46296</v>
      </c>
      <c r="G586" s="7" t="s">
        <v>3321</v>
      </c>
      <c r="H586" s="15">
        <v>46299</v>
      </c>
      <c r="I586" s="113">
        <f t="shared" si="66"/>
        <v>-46299</v>
      </c>
      <c r="J586" s="7"/>
      <c r="K586" s="4"/>
      <c r="L586" s="7"/>
      <c r="M586" s="66"/>
      <c r="N586" s="27">
        <f t="shared" ca="1" si="68"/>
        <v>3</v>
      </c>
      <c r="O586" s="108" t="s">
        <v>7</v>
      </c>
      <c r="P586" s="14"/>
    </row>
    <row r="587" spans="1:16" ht="51.6" customHeight="1" x14ac:dyDescent="0.3">
      <c r="A587" s="3"/>
      <c r="B587" s="19" t="s">
        <v>3323</v>
      </c>
      <c r="C587" s="63">
        <v>0</v>
      </c>
      <c r="D587" s="13" t="s">
        <v>3322</v>
      </c>
      <c r="E587" s="5" t="s">
        <v>3324</v>
      </c>
      <c r="F587" s="4">
        <v>46296</v>
      </c>
      <c r="G587" s="7" t="s">
        <v>3325</v>
      </c>
      <c r="H587" s="15">
        <v>46299</v>
      </c>
      <c r="I587" s="113">
        <f t="shared" si="66"/>
        <v>-46299</v>
      </c>
      <c r="J587" s="7"/>
      <c r="K587" s="4"/>
      <c r="L587" s="7"/>
      <c r="M587" s="66"/>
      <c r="N587" s="27">
        <f t="shared" ca="1" si="68"/>
        <v>3</v>
      </c>
      <c r="O587" s="108" t="s">
        <v>7</v>
      </c>
      <c r="P587" s="14"/>
    </row>
    <row r="588" spans="1:16" ht="51.6" customHeight="1" x14ac:dyDescent="0.3">
      <c r="A588" s="3"/>
      <c r="B588" s="19" t="s">
        <v>3328</v>
      </c>
      <c r="C588" s="63">
        <v>0</v>
      </c>
      <c r="D588" s="13" t="s">
        <v>3326</v>
      </c>
      <c r="E588" s="5" t="s">
        <v>3327</v>
      </c>
      <c r="F588" s="4">
        <v>46296</v>
      </c>
      <c r="G588" s="7" t="s">
        <v>3329</v>
      </c>
      <c r="H588" s="15">
        <v>46299</v>
      </c>
      <c r="I588" s="113">
        <f t="shared" si="66"/>
        <v>-46299</v>
      </c>
      <c r="J588" s="7"/>
      <c r="K588" s="4"/>
      <c r="L588" s="7"/>
      <c r="M588" s="66"/>
      <c r="N588" s="27">
        <f t="shared" ca="1" si="68"/>
        <v>3</v>
      </c>
      <c r="O588" s="108" t="s">
        <v>7</v>
      </c>
      <c r="P588" s="14"/>
    </row>
    <row r="589" spans="1:16" ht="51.6" customHeight="1" x14ac:dyDescent="0.3">
      <c r="A589" s="3"/>
      <c r="B589" s="19" t="s">
        <v>3332</v>
      </c>
      <c r="C589" s="63">
        <v>0</v>
      </c>
      <c r="D589" s="13" t="s">
        <v>3330</v>
      </c>
      <c r="E589" s="5" t="s">
        <v>3331</v>
      </c>
      <c r="F589" s="4">
        <v>46299</v>
      </c>
      <c r="G589" s="7" t="s">
        <v>3333</v>
      </c>
      <c r="H589" s="15">
        <v>46299</v>
      </c>
      <c r="I589" s="113">
        <f t="shared" si="66"/>
        <v>-46299</v>
      </c>
      <c r="J589" s="7"/>
      <c r="K589" s="4"/>
      <c r="L589" s="7"/>
      <c r="M589" s="66"/>
      <c r="N589" s="27">
        <f t="shared" ca="1" si="68"/>
        <v>0</v>
      </c>
      <c r="O589" s="108" t="s">
        <v>7</v>
      </c>
      <c r="P589" s="14"/>
    </row>
    <row r="590" spans="1:16" ht="51.6" customHeight="1" x14ac:dyDescent="0.3">
      <c r="A590" s="3"/>
      <c r="B590" s="19" t="s">
        <v>3345</v>
      </c>
      <c r="C590" s="63">
        <v>0</v>
      </c>
      <c r="D590" s="13" t="s">
        <v>3344</v>
      </c>
      <c r="E590" s="5" t="s">
        <v>3346</v>
      </c>
      <c r="F590" s="4">
        <v>46299</v>
      </c>
      <c r="G590" s="7" t="s">
        <v>3347</v>
      </c>
      <c r="H590" s="15">
        <v>46299</v>
      </c>
      <c r="I590" s="113">
        <f t="shared" si="66"/>
        <v>-46299</v>
      </c>
      <c r="J590" s="7"/>
      <c r="K590" s="4"/>
      <c r="L590" s="7"/>
      <c r="M590" s="66"/>
      <c r="N590" s="27">
        <f t="shared" ca="1" si="68"/>
        <v>0</v>
      </c>
      <c r="O590" s="108" t="s">
        <v>7</v>
      </c>
      <c r="P590" s="14"/>
    </row>
    <row r="591" spans="1:16" ht="51.6" customHeight="1" x14ac:dyDescent="0.3">
      <c r="A591" s="3"/>
      <c r="B591" s="19" t="s">
        <v>3348</v>
      </c>
      <c r="C591" s="63">
        <v>0</v>
      </c>
      <c r="D591" s="13" t="s">
        <v>3349</v>
      </c>
      <c r="E591" s="5" t="s">
        <v>3350</v>
      </c>
      <c r="F591" s="4">
        <v>46299</v>
      </c>
      <c r="G591" s="7" t="s">
        <v>3351</v>
      </c>
      <c r="H591" s="15">
        <v>46299</v>
      </c>
      <c r="I591" s="113">
        <f t="shared" si="66"/>
        <v>-46299</v>
      </c>
      <c r="J591" s="7"/>
      <c r="K591" s="4"/>
      <c r="L591" s="7"/>
      <c r="M591" s="66"/>
      <c r="N591" s="27">
        <f t="shared" ca="1" si="68"/>
        <v>0</v>
      </c>
      <c r="O591" s="108" t="s">
        <v>7</v>
      </c>
      <c r="P591" s="14"/>
    </row>
    <row r="592" spans="1:16" ht="51.6" customHeight="1" x14ac:dyDescent="0.3">
      <c r="A592" s="3"/>
      <c r="B592" s="19" t="s">
        <v>3352</v>
      </c>
      <c r="C592" s="63">
        <v>0</v>
      </c>
      <c r="D592" s="13" t="s">
        <v>3354</v>
      </c>
      <c r="E592" s="5" t="s">
        <v>3353</v>
      </c>
      <c r="F592" s="4">
        <v>46299</v>
      </c>
      <c r="G592" s="7" t="s">
        <v>3355</v>
      </c>
      <c r="H592" s="15">
        <v>46299</v>
      </c>
      <c r="I592" s="113">
        <f t="shared" si="66"/>
        <v>-46299</v>
      </c>
      <c r="J592" s="7"/>
      <c r="K592" s="4"/>
      <c r="L592" s="7"/>
      <c r="M592" s="66"/>
      <c r="N592" s="27">
        <f t="shared" ca="1" si="68"/>
        <v>0</v>
      </c>
      <c r="O592" s="108" t="s">
        <v>7</v>
      </c>
      <c r="P592" s="14"/>
    </row>
    <row r="593" spans="1:16" ht="51.6" customHeight="1" x14ac:dyDescent="0.3">
      <c r="A593" s="3"/>
      <c r="B593" s="19" t="s">
        <v>3356</v>
      </c>
      <c r="C593" s="63">
        <v>0</v>
      </c>
      <c r="D593" s="13" t="s">
        <v>3357</v>
      </c>
      <c r="E593" s="5" t="s">
        <v>3358</v>
      </c>
      <c r="F593" s="4">
        <v>46299</v>
      </c>
      <c r="G593" s="7" t="s">
        <v>3359</v>
      </c>
      <c r="H593" s="15">
        <v>46299</v>
      </c>
      <c r="I593" s="113">
        <f t="shared" si="66"/>
        <v>-46299</v>
      </c>
      <c r="J593" s="7"/>
      <c r="K593" s="4"/>
      <c r="L593" s="7"/>
      <c r="M593" s="66"/>
      <c r="N593" s="27">
        <f t="shared" ca="1" si="68"/>
        <v>0</v>
      </c>
      <c r="O593" s="108" t="s">
        <v>7</v>
      </c>
      <c r="P593" s="14"/>
    </row>
    <row r="594" spans="1:16" ht="51.6" customHeight="1" x14ac:dyDescent="0.3">
      <c r="A594" s="3"/>
      <c r="B594" s="19" t="s">
        <v>3362</v>
      </c>
      <c r="C594" s="63">
        <v>0</v>
      </c>
      <c r="D594" s="13" t="s">
        <v>3360</v>
      </c>
      <c r="E594" s="5" t="s">
        <v>3361</v>
      </c>
      <c r="F594" s="4">
        <v>46299</v>
      </c>
      <c r="G594" s="7" t="s">
        <v>3363</v>
      </c>
      <c r="H594" s="15">
        <v>46299</v>
      </c>
      <c r="I594" s="113">
        <f t="shared" si="66"/>
        <v>-46299</v>
      </c>
      <c r="J594" s="7"/>
      <c r="K594" s="4"/>
      <c r="L594" s="7"/>
      <c r="M594" s="66"/>
      <c r="N594" s="27">
        <f t="shared" ca="1" si="68"/>
        <v>0</v>
      </c>
      <c r="O594" s="108" t="s">
        <v>7</v>
      </c>
      <c r="P594" s="14"/>
    </row>
    <row r="595" spans="1:16" ht="51.6" customHeight="1" x14ac:dyDescent="0.3">
      <c r="A595" s="3"/>
      <c r="B595" s="19" t="s">
        <v>3366</v>
      </c>
      <c r="C595" s="63">
        <v>0</v>
      </c>
      <c r="D595" s="13" t="s">
        <v>3364</v>
      </c>
      <c r="E595" s="5" t="s">
        <v>3365</v>
      </c>
      <c r="F595" s="4">
        <v>46299</v>
      </c>
      <c r="G595" s="7" t="s">
        <v>3367</v>
      </c>
      <c r="H595" s="15">
        <v>46299</v>
      </c>
      <c r="I595" s="113">
        <f t="shared" si="66"/>
        <v>-46299</v>
      </c>
      <c r="J595" s="7"/>
      <c r="K595" s="4"/>
      <c r="L595" s="7"/>
      <c r="M595" s="66"/>
      <c r="N595" s="27">
        <f t="shared" ca="1" si="68"/>
        <v>0</v>
      </c>
      <c r="O595" s="108" t="s">
        <v>7</v>
      </c>
      <c r="P595" s="14"/>
    </row>
    <row r="596" spans="1:16" ht="51.6" customHeight="1" x14ac:dyDescent="0.3">
      <c r="A596" s="3"/>
      <c r="B596" s="19" t="s">
        <v>3370</v>
      </c>
      <c r="C596" s="63">
        <v>0</v>
      </c>
      <c r="D596" s="13" t="s">
        <v>3368</v>
      </c>
      <c r="E596" s="5" t="s">
        <v>3369</v>
      </c>
      <c r="F596" s="4">
        <v>46299</v>
      </c>
      <c r="G596" s="7" t="s">
        <v>3371</v>
      </c>
      <c r="H596" s="15">
        <v>46299</v>
      </c>
      <c r="I596" s="113">
        <f t="shared" si="66"/>
        <v>-46299</v>
      </c>
      <c r="J596" s="7"/>
      <c r="K596" s="4"/>
      <c r="L596" s="7"/>
      <c r="M596" s="66"/>
      <c r="N596" s="27">
        <f t="shared" ca="1" si="68"/>
        <v>0</v>
      </c>
      <c r="O596" s="108" t="s">
        <v>7</v>
      </c>
      <c r="P596" s="14"/>
    </row>
    <row r="597" spans="1:16" ht="51.6" customHeight="1" x14ac:dyDescent="0.3">
      <c r="A597" s="3"/>
      <c r="B597" s="19" t="s">
        <v>3372</v>
      </c>
      <c r="C597" s="63">
        <v>0</v>
      </c>
      <c r="D597" s="13" t="s">
        <v>3373</v>
      </c>
      <c r="E597" s="5" t="s">
        <v>3374</v>
      </c>
      <c r="F597" s="4">
        <v>46299</v>
      </c>
      <c r="G597" s="7" t="s">
        <v>3375</v>
      </c>
      <c r="H597" s="15">
        <v>46299</v>
      </c>
      <c r="I597" s="113">
        <f t="shared" si="66"/>
        <v>-46299</v>
      </c>
      <c r="J597" s="7"/>
      <c r="K597" s="4"/>
      <c r="L597" s="7"/>
      <c r="M597" s="66"/>
      <c r="N597" s="27">
        <f t="shared" ca="1" si="68"/>
        <v>0</v>
      </c>
      <c r="O597" s="108" t="s">
        <v>7</v>
      </c>
      <c r="P597" s="14"/>
    </row>
    <row r="598" spans="1:16" ht="51.6" customHeight="1" x14ac:dyDescent="0.3">
      <c r="A598" s="3"/>
      <c r="B598" s="19" t="s">
        <v>3376</v>
      </c>
      <c r="C598" s="63">
        <v>0</v>
      </c>
      <c r="D598" s="13" t="s">
        <v>3377</v>
      </c>
      <c r="E598" s="5" t="s">
        <v>3378</v>
      </c>
      <c r="F598" s="4">
        <v>46299</v>
      </c>
      <c r="G598" s="7" t="s">
        <v>3379</v>
      </c>
      <c r="H598" s="15">
        <v>46299</v>
      </c>
      <c r="I598" s="113">
        <f t="shared" si="66"/>
        <v>-46299</v>
      </c>
      <c r="J598" s="7"/>
      <c r="K598" s="4"/>
      <c r="L598" s="7"/>
      <c r="M598" s="66"/>
      <c r="N598" s="27">
        <f t="shared" ca="1" si="68"/>
        <v>0</v>
      </c>
      <c r="O598" s="108" t="s">
        <v>7</v>
      </c>
      <c r="P598" s="14"/>
    </row>
    <row r="599" spans="1:16" ht="51.6" customHeight="1" x14ac:dyDescent="0.3">
      <c r="A599" s="3"/>
      <c r="B599" s="19" t="s">
        <v>3382</v>
      </c>
      <c r="C599" s="63">
        <v>0</v>
      </c>
      <c r="D599" s="13" t="s">
        <v>3380</v>
      </c>
      <c r="E599" s="5" t="s">
        <v>3381</v>
      </c>
      <c r="F599" s="4">
        <v>46299</v>
      </c>
      <c r="G599" s="7" t="s">
        <v>3383</v>
      </c>
      <c r="H599" s="15">
        <v>46299</v>
      </c>
      <c r="I599" s="113">
        <f t="shared" si="66"/>
        <v>-46299</v>
      </c>
      <c r="J599" s="7"/>
      <c r="K599" s="4"/>
      <c r="L599" s="7"/>
      <c r="M599" s="66"/>
      <c r="N599" s="27">
        <f t="shared" ca="1" si="68"/>
        <v>0</v>
      </c>
      <c r="O599" s="108" t="s">
        <v>7</v>
      </c>
      <c r="P599" s="14"/>
    </row>
    <row r="600" spans="1:16" ht="51.6" customHeight="1" x14ac:dyDescent="0.3">
      <c r="A600" s="3"/>
      <c r="B600" s="19" t="s">
        <v>3431</v>
      </c>
      <c r="C600" s="63">
        <v>0</v>
      </c>
      <c r="D600" s="13" t="s">
        <v>3430</v>
      </c>
      <c r="E600" s="5" t="s">
        <v>3432</v>
      </c>
      <c r="F600" s="4">
        <v>46302</v>
      </c>
      <c r="G600" s="7" t="s">
        <v>3433</v>
      </c>
      <c r="H600" s="15">
        <v>46306</v>
      </c>
      <c r="I600" s="113">
        <f t="shared" si="66"/>
        <v>-46306</v>
      </c>
      <c r="J600" s="7"/>
      <c r="K600" s="4"/>
      <c r="L600" s="7"/>
      <c r="M600" s="66"/>
      <c r="N600" s="27">
        <f t="shared" ca="1" si="68"/>
        <v>0</v>
      </c>
      <c r="O600" s="108" t="s">
        <v>7</v>
      </c>
      <c r="P600" s="14"/>
    </row>
    <row r="601" spans="1:16" ht="51.6" customHeight="1" x14ac:dyDescent="0.3">
      <c r="A601" s="3"/>
      <c r="B601" s="19" t="s">
        <v>3436</v>
      </c>
      <c r="C601" s="63">
        <v>0</v>
      </c>
      <c r="D601" s="13" t="s">
        <v>3434</v>
      </c>
      <c r="E601" s="5" t="s">
        <v>3435</v>
      </c>
      <c r="F601" s="4">
        <v>46302</v>
      </c>
      <c r="G601" s="7" t="s">
        <v>3434</v>
      </c>
      <c r="H601" s="15">
        <v>46306</v>
      </c>
      <c r="I601" s="113">
        <f t="shared" si="66"/>
        <v>-46306</v>
      </c>
      <c r="J601" s="7"/>
      <c r="K601" s="4"/>
      <c r="L601" s="7"/>
      <c r="M601" s="66"/>
      <c r="N601" s="27">
        <f t="shared" ca="1" si="68"/>
        <v>0</v>
      </c>
      <c r="O601" s="108" t="s">
        <v>7</v>
      </c>
      <c r="P601" s="14"/>
    </row>
    <row r="602" spans="1:16" ht="51.6" customHeight="1" x14ac:dyDescent="0.3">
      <c r="A602" s="3"/>
      <c r="B602" s="19" t="s">
        <v>3438</v>
      </c>
      <c r="C602" s="63">
        <v>0</v>
      </c>
      <c r="D602" s="13" t="s">
        <v>3437</v>
      </c>
      <c r="E602" s="5" t="s">
        <v>3439</v>
      </c>
      <c r="F602" s="4">
        <v>46302</v>
      </c>
      <c r="G602" s="7" t="s">
        <v>3440</v>
      </c>
      <c r="H602" s="15">
        <v>46306</v>
      </c>
      <c r="I602" s="113">
        <f t="shared" si="66"/>
        <v>-46306</v>
      </c>
      <c r="J602" s="7"/>
      <c r="K602" s="4"/>
      <c r="L602" s="7"/>
      <c r="M602" s="66"/>
      <c r="N602" s="27">
        <f t="shared" ca="1" si="68"/>
        <v>0</v>
      </c>
      <c r="O602" s="108" t="s">
        <v>7</v>
      </c>
      <c r="P602" s="14"/>
    </row>
    <row r="603" spans="1:16" ht="51.6" customHeight="1" x14ac:dyDescent="0.3">
      <c r="A603" s="3"/>
      <c r="B603" s="19" t="s">
        <v>3443</v>
      </c>
      <c r="C603" s="63">
        <v>0</v>
      </c>
      <c r="D603" s="13" t="s">
        <v>3441</v>
      </c>
      <c r="E603" s="5" t="s">
        <v>3442</v>
      </c>
      <c r="F603" s="4">
        <v>46302</v>
      </c>
      <c r="G603" s="7" t="s">
        <v>3444</v>
      </c>
      <c r="H603" s="15">
        <v>46306</v>
      </c>
      <c r="I603" s="113">
        <f t="shared" si="66"/>
        <v>-46306</v>
      </c>
      <c r="J603" s="7"/>
      <c r="K603" s="4"/>
      <c r="L603" s="7"/>
      <c r="M603" s="66"/>
      <c r="N603" s="27">
        <f t="shared" ca="1" si="68"/>
        <v>0</v>
      </c>
      <c r="O603" s="108" t="s">
        <v>7</v>
      </c>
      <c r="P603" s="14"/>
    </row>
    <row r="604" spans="1:16" ht="51.6" customHeight="1" x14ac:dyDescent="0.3">
      <c r="A604" s="3"/>
      <c r="B604" s="19" t="s">
        <v>3447</v>
      </c>
      <c r="C604" s="63">
        <v>0</v>
      </c>
      <c r="D604" s="13" t="s">
        <v>3445</v>
      </c>
      <c r="E604" s="5" t="s">
        <v>3446</v>
      </c>
      <c r="F604" s="4">
        <v>46302</v>
      </c>
      <c r="G604" s="7" t="s">
        <v>3448</v>
      </c>
      <c r="H604" s="15">
        <v>46306</v>
      </c>
      <c r="I604" s="113">
        <f t="shared" si="66"/>
        <v>-46306</v>
      </c>
      <c r="J604" s="7"/>
      <c r="K604" s="4"/>
      <c r="L604" s="7"/>
      <c r="M604" s="66"/>
      <c r="N604" s="27">
        <f t="shared" ca="1" si="68"/>
        <v>0</v>
      </c>
      <c r="O604" s="108" t="s">
        <v>7</v>
      </c>
      <c r="P604" s="14"/>
    </row>
    <row r="605" spans="1:16" ht="51.6" customHeight="1" x14ac:dyDescent="0.3">
      <c r="A605" s="3"/>
      <c r="B605" s="19" t="s">
        <v>3451</v>
      </c>
      <c r="C605" s="63">
        <v>0</v>
      </c>
      <c r="D605" s="13" t="s">
        <v>3449</v>
      </c>
      <c r="E605" s="5" t="s">
        <v>3450</v>
      </c>
      <c r="F605" s="4">
        <v>46302</v>
      </c>
      <c r="G605" s="7" t="s">
        <v>3452</v>
      </c>
      <c r="H605" s="15">
        <v>46306</v>
      </c>
      <c r="I605" s="113">
        <f t="shared" si="66"/>
        <v>-46306</v>
      </c>
      <c r="J605" s="7"/>
      <c r="K605" s="4"/>
      <c r="L605" s="7"/>
      <c r="M605" s="66"/>
      <c r="N605" s="27">
        <f t="shared" ca="1" si="68"/>
        <v>0</v>
      </c>
      <c r="O605" s="108" t="s">
        <v>7</v>
      </c>
      <c r="P605" s="14"/>
    </row>
    <row r="606" spans="1:16" ht="51.6" customHeight="1" x14ac:dyDescent="0.3">
      <c r="A606" s="3"/>
      <c r="B606" s="19" t="s">
        <v>3455</v>
      </c>
      <c r="C606" s="63">
        <v>0</v>
      </c>
      <c r="D606" s="13" t="s">
        <v>3453</v>
      </c>
      <c r="E606" s="5" t="s">
        <v>3454</v>
      </c>
      <c r="F606" s="4">
        <v>46302</v>
      </c>
      <c r="G606" s="7" t="s">
        <v>3456</v>
      </c>
      <c r="H606" s="15">
        <v>46306</v>
      </c>
      <c r="I606" s="113">
        <f t="shared" si="66"/>
        <v>-46306</v>
      </c>
      <c r="J606" s="7"/>
      <c r="K606" s="4"/>
      <c r="L606" s="7"/>
      <c r="M606" s="66"/>
      <c r="N606" s="27">
        <f t="shared" ca="1" si="68"/>
        <v>0</v>
      </c>
      <c r="O606" s="108" t="s">
        <v>7</v>
      </c>
      <c r="P606" s="14"/>
    </row>
    <row r="607" spans="1:16" ht="51.6" customHeight="1" x14ac:dyDescent="0.3">
      <c r="A607" s="3"/>
      <c r="B607" s="19" t="s">
        <v>3459</v>
      </c>
      <c r="C607" s="63">
        <v>0</v>
      </c>
      <c r="D607" s="13" t="s">
        <v>3457</v>
      </c>
      <c r="E607" s="5" t="s">
        <v>3458</v>
      </c>
      <c r="F607" s="4">
        <v>46302</v>
      </c>
      <c r="G607" s="7" t="s">
        <v>3460</v>
      </c>
      <c r="H607" s="15">
        <v>46306</v>
      </c>
      <c r="I607" s="113">
        <f t="shared" si="66"/>
        <v>-46306</v>
      </c>
      <c r="J607" s="7"/>
      <c r="K607" s="4"/>
      <c r="L607" s="7"/>
      <c r="M607" s="66"/>
      <c r="N607" s="27">
        <f t="shared" ca="1" si="68"/>
        <v>0</v>
      </c>
      <c r="O607" s="108" t="s">
        <v>7</v>
      </c>
      <c r="P607" s="14"/>
    </row>
    <row r="608" spans="1:16" ht="51.6" customHeight="1" x14ac:dyDescent="0.3">
      <c r="A608" s="3"/>
      <c r="B608" s="19" t="s">
        <v>3463</v>
      </c>
      <c r="C608" s="63">
        <v>0</v>
      </c>
      <c r="D608" s="13" t="s">
        <v>3461</v>
      </c>
      <c r="E608" s="5" t="s">
        <v>3462</v>
      </c>
      <c r="F608" s="4">
        <v>46302</v>
      </c>
      <c r="G608" s="7" t="s">
        <v>3464</v>
      </c>
      <c r="H608" s="15">
        <v>46306</v>
      </c>
      <c r="I608" s="113">
        <f t="shared" si="66"/>
        <v>-46306</v>
      </c>
      <c r="J608" s="7"/>
      <c r="K608" s="4"/>
      <c r="L608" s="7"/>
      <c r="M608" s="66"/>
      <c r="N608" s="27">
        <f t="shared" ca="1" si="68"/>
        <v>0</v>
      </c>
      <c r="O608" s="108" t="s">
        <v>7</v>
      </c>
      <c r="P608" s="14"/>
    </row>
    <row r="609" spans="1:16" ht="51.6" customHeight="1" x14ac:dyDescent="0.3">
      <c r="A609" s="3"/>
      <c r="B609" s="19" t="s">
        <v>3467</v>
      </c>
      <c r="C609" s="63">
        <v>0</v>
      </c>
      <c r="D609" s="13" t="s">
        <v>3465</v>
      </c>
      <c r="E609" s="5" t="s">
        <v>3466</v>
      </c>
      <c r="F609" s="4">
        <v>46302</v>
      </c>
      <c r="G609" s="7" t="s">
        <v>3468</v>
      </c>
      <c r="H609" s="15">
        <v>46306</v>
      </c>
      <c r="I609" s="113">
        <f t="shared" si="66"/>
        <v>-46306</v>
      </c>
      <c r="J609" s="7"/>
      <c r="K609" s="4"/>
      <c r="L609" s="7"/>
      <c r="M609" s="66"/>
      <c r="N609" s="27">
        <f t="shared" ca="1" si="68"/>
        <v>0</v>
      </c>
      <c r="O609" s="108" t="s">
        <v>7</v>
      </c>
      <c r="P609" s="14"/>
    </row>
    <row r="610" spans="1:16" ht="51.6" customHeight="1" x14ac:dyDescent="0.3">
      <c r="A610" s="3"/>
      <c r="B610" s="19" t="s">
        <v>3469</v>
      </c>
      <c r="C610" s="63">
        <v>0</v>
      </c>
      <c r="D610" s="13" t="s">
        <v>3470</v>
      </c>
      <c r="E610" s="5" t="s">
        <v>3471</v>
      </c>
      <c r="F610" s="4">
        <v>46302</v>
      </c>
      <c r="G610" s="7" t="s">
        <v>3472</v>
      </c>
      <c r="H610" s="15">
        <v>46306</v>
      </c>
      <c r="I610" s="113">
        <f t="shared" si="66"/>
        <v>-46306</v>
      </c>
      <c r="J610" s="7"/>
      <c r="K610" s="4"/>
      <c r="L610" s="7"/>
      <c r="M610" s="66"/>
      <c r="N610" s="27">
        <f t="shared" ca="1" si="68"/>
        <v>0</v>
      </c>
      <c r="O610" s="108" t="s">
        <v>7</v>
      </c>
      <c r="P610" s="14"/>
    </row>
    <row r="611" spans="1:16" ht="51.6" customHeight="1" x14ac:dyDescent="0.3">
      <c r="A611" s="3"/>
      <c r="B611" s="19" t="s">
        <v>3475</v>
      </c>
      <c r="C611" s="63">
        <v>0</v>
      </c>
      <c r="D611" s="13" t="s">
        <v>3473</v>
      </c>
      <c r="E611" s="5" t="s">
        <v>3474</v>
      </c>
      <c r="F611" s="4">
        <v>46302</v>
      </c>
      <c r="G611" s="7" t="s">
        <v>3476</v>
      </c>
      <c r="H611" s="15">
        <v>46306</v>
      </c>
      <c r="I611" s="113">
        <f t="shared" si="66"/>
        <v>-46306</v>
      </c>
      <c r="J611" s="7"/>
      <c r="K611" s="4"/>
      <c r="L611" s="7"/>
      <c r="M611" s="66"/>
      <c r="N611" s="27">
        <f t="shared" ca="1" si="68"/>
        <v>0</v>
      </c>
      <c r="O611" s="108" t="s">
        <v>7</v>
      </c>
      <c r="P611" s="14"/>
    </row>
    <row r="612" spans="1:16" ht="51.6" customHeight="1" x14ac:dyDescent="0.3">
      <c r="A612" s="3"/>
      <c r="B612" s="19" t="s">
        <v>3479</v>
      </c>
      <c r="C612" s="63">
        <v>0</v>
      </c>
      <c r="D612" s="13" t="s">
        <v>3477</v>
      </c>
      <c r="E612" s="5" t="s">
        <v>3478</v>
      </c>
      <c r="F612" s="4">
        <v>46302</v>
      </c>
      <c r="G612" s="7" t="s">
        <v>3480</v>
      </c>
      <c r="H612" s="15">
        <v>46306</v>
      </c>
      <c r="I612" s="113">
        <f t="shared" si="66"/>
        <v>-46306</v>
      </c>
      <c r="J612" s="7"/>
      <c r="K612" s="4"/>
      <c r="L612" s="7"/>
      <c r="M612" s="66"/>
      <c r="N612" s="27">
        <f t="shared" ca="1" si="68"/>
        <v>0</v>
      </c>
      <c r="O612" s="108" t="s">
        <v>7</v>
      </c>
      <c r="P612" s="14"/>
    </row>
    <row r="613" spans="1:16" ht="51.6" customHeight="1" x14ac:dyDescent="0.3">
      <c r="A613" s="3"/>
      <c r="B613" s="19" t="s">
        <v>3481</v>
      </c>
      <c r="C613" s="63">
        <v>0</v>
      </c>
      <c r="D613" s="13" t="s">
        <v>3483</v>
      </c>
      <c r="E613" s="5" t="s">
        <v>3482</v>
      </c>
      <c r="F613" s="4">
        <v>46302</v>
      </c>
      <c r="G613" s="7" t="s">
        <v>3484</v>
      </c>
      <c r="H613" s="15">
        <v>46306</v>
      </c>
      <c r="I613" s="113">
        <f t="shared" si="66"/>
        <v>-46306</v>
      </c>
      <c r="J613" s="7"/>
      <c r="K613" s="4"/>
      <c r="L613" s="7"/>
      <c r="M613" s="66"/>
      <c r="N613" s="27">
        <f t="shared" ca="1" si="68"/>
        <v>0</v>
      </c>
      <c r="O613" s="108" t="s">
        <v>7</v>
      </c>
      <c r="P613" s="14"/>
    </row>
    <row r="614" spans="1:16" ht="51.6" customHeight="1" x14ac:dyDescent="0.3">
      <c r="A614" s="3"/>
      <c r="B614" s="19" t="s">
        <v>3485</v>
      </c>
      <c r="C614" s="63">
        <v>0</v>
      </c>
      <c r="D614" s="13" t="s">
        <v>3487</v>
      </c>
      <c r="E614" s="5" t="s">
        <v>3486</v>
      </c>
      <c r="F614" s="4">
        <v>46302</v>
      </c>
      <c r="G614" s="7" t="s">
        <v>3488</v>
      </c>
      <c r="H614" s="15">
        <v>46306</v>
      </c>
      <c r="I614" s="113">
        <f t="shared" si="66"/>
        <v>-46306</v>
      </c>
      <c r="J614" s="7"/>
      <c r="K614" s="4"/>
      <c r="L614" s="7"/>
      <c r="M614" s="66"/>
      <c r="N614" s="27">
        <f t="shared" ca="1" si="68"/>
        <v>0</v>
      </c>
      <c r="O614" s="108" t="s">
        <v>7</v>
      </c>
      <c r="P614" s="14"/>
    </row>
    <row r="615" spans="1:16" ht="51.6" customHeight="1" x14ac:dyDescent="0.3">
      <c r="A615" s="3"/>
      <c r="B615" s="19" t="s">
        <v>3495</v>
      </c>
      <c r="C615" s="63">
        <v>0</v>
      </c>
      <c r="D615" s="13" t="s">
        <v>3493</v>
      </c>
      <c r="E615" s="5" t="s">
        <v>3494</v>
      </c>
      <c r="F615" s="4">
        <v>46302</v>
      </c>
      <c r="G615" s="7" t="s">
        <v>3496</v>
      </c>
      <c r="H615" s="15">
        <v>46306</v>
      </c>
      <c r="I615" s="113">
        <f t="shared" si="66"/>
        <v>-46306</v>
      </c>
      <c r="J615" s="7"/>
      <c r="K615" s="4"/>
      <c r="L615" s="7"/>
      <c r="M615" s="66"/>
      <c r="N615" s="27">
        <f t="shared" ca="1" si="68"/>
        <v>0</v>
      </c>
      <c r="O615" s="108" t="s">
        <v>7</v>
      </c>
      <c r="P615" s="14"/>
    </row>
    <row r="616" spans="1:16" ht="51.6" customHeight="1" x14ac:dyDescent="0.3">
      <c r="A616" s="3"/>
      <c r="B616" s="19" t="s">
        <v>3499</v>
      </c>
      <c r="C616" s="63">
        <v>0</v>
      </c>
      <c r="D616" s="13" t="s">
        <v>3497</v>
      </c>
      <c r="E616" s="5" t="s">
        <v>3498</v>
      </c>
      <c r="F616" s="4">
        <v>46302</v>
      </c>
      <c r="G616" s="7" t="s">
        <v>3500</v>
      </c>
      <c r="H616" s="15">
        <v>46306</v>
      </c>
      <c r="I616" s="113">
        <f t="shared" ref="I616" si="69">K616-H616</f>
        <v>-46306</v>
      </c>
      <c r="J616" s="7"/>
      <c r="K616" s="4"/>
      <c r="L616" s="7"/>
      <c r="M616" s="66"/>
      <c r="N616" s="27">
        <f t="shared" ref="N616" ca="1" si="70">IF(AND(M616="",TODAY()-F616&gt;7),TODAY()-F616-7,0)</f>
        <v>0</v>
      </c>
      <c r="O616" s="108" t="s">
        <v>7</v>
      </c>
      <c r="P616" s="14"/>
    </row>
    <row r="617" spans="1:16" ht="51.6" customHeight="1" x14ac:dyDescent="0.3">
      <c r="A617" s="3"/>
      <c r="B617" s="19" t="s">
        <v>3502</v>
      </c>
      <c r="C617" s="63">
        <v>0</v>
      </c>
      <c r="D617" s="13" t="s">
        <v>3501</v>
      </c>
      <c r="E617" s="5" t="s">
        <v>3498</v>
      </c>
      <c r="F617" s="4"/>
      <c r="G617" s="7"/>
      <c r="H617" s="15"/>
      <c r="I617" s="113"/>
      <c r="J617" s="7"/>
      <c r="K617" s="4"/>
      <c r="L617" s="7"/>
      <c r="M617" s="66"/>
      <c r="N617" s="27"/>
      <c r="O617" s="108"/>
      <c r="P617" s="14"/>
    </row>
    <row r="618" spans="1:16" ht="51.6" customHeight="1" x14ac:dyDescent="0.3">
      <c r="A618" s="3"/>
      <c r="B618" s="19"/>
      <c r="C618" s="63"/>
      <c r="D618" s="13"/>
      <c r="E618" s="5"/>
      <c r="F618" s="4"/>
      <c r="G618" s="7"/>
      <c r="H618" s="15"/>
      <c r="I618" s="113"/>
      <c r="J618" s="7"/>
      <c r="K618" s="4"/>
      <c r="L618" s="7"/>
      <c r="M618" s="66"/>
      <c r="N618" s="27"/>
      <c r="O618" s="108"/>
      <c r="P618" s="14"/>
    </row>
    <row r="619" spans="1:16" ht="51.6" customHeight="1" x14ac:dyDescent="0.3">
      <c r="A619" s="3"/>
      <c r="B619" s="19"/>
      <c r="C619" s="63"/>
      <c r="D619" s="13"/>
      <c r="E619" s="5"/>
      <c r="F619" s="4"/>
      <c r="G619" s="7"/>
      <c r="H619" s="15"/>
      <c r="I619" s="113"/>
      <c r="J619" s="7"/>
      <c r="K619" s="4"/>
      <c r="L619" s="7"/>
      <c r="M619" s="66"/>
      <c r="N619" s="27"/>
      <c r="O619" s="108"/>
      <c r="P619" s="14"/>
    </row>
    <row r="620" spans="1:16" ht="51.6" customHeight="1" x14ac:dyDescent="0.3">
      <c r="A620" s="3"/>
      <c r="B620" s="19"/>
      <c r="C620" s="63"/>
      <c r="D620" s="13"/>
      <c r="E620" s="5"/>
      <c r="F620" s="4"/>
      <c r="G620" s="7"/>
      <c r="H620" s="15"/>
      <c r="I620" s="113"/>
      <c r="J620" s="7"/>
      <c r="K620" s="4"/>
      <c r="L620" s="7"/>
      <c r="M620" s="66"/>
      <c r="N620" s="27"/>
      <c r="O620" s="108"/>
      <c r="P620" s="14"/>
    </row>
    <row r="621" spans="1:16" ht="51.6" customHeight="1" x14ac:dyDescent="0.3">
      <c r="A621" s="3"/>
      <c r="B621" s="19"/>
      <c r="C621" s="63"/>
      <c r="D621" s="13"/>
      <c r="E621" s="5"/>
      <c r="F621" s="4"/>
      <c r="G621" s="7"/>
      <c r="H621" s="15"/>
      <c r="I621" s="113"/>
      <c r="J621" s="7"/>
      <c r="K621" s="4"/>
      <c r="L621" s="7"/>
      <c r="M621" s="66"/>
      <c r="N621" s="27"/>
      <c r="O621" s="108"/>
      <c r="P621" s="14"/>
    </row>
    <row r="622" spans="1:16" ht="51.6" customHeight="1" x14ac:dyDescent="0.3">
      <c r="A622" s="3"/>
      <c r="B622" s="19"/>
      <c r="C622" s="63"/>
      <c r="D622" s="13"/>
      <c r="E622" s="5"/>
      <c r="F622" s="4"/>
      <c r="G622" s="7"/>
      <c r="H622" s="15"/>
      <c r="I622" s="113"/>
      <c r="J622" s="7"/>
      <c r="K622" s="4"/>
      <c r="L622" s="7"/>
      <c r="M622" s="66"/>
      <c r="N622" s="27"/>
      <c r="O622" s="108"/>
      <c r="P622" s="14"/>
    </row>
    <row r="623" spans="1:16" ht="51.6" customHeight="1" x14ac:dyDescent="0.3">
      <c r="A623" s="3"/>
      <c r="B623" s="19"/>
      <c r="C623" s="63"/>
      <c r="D623" s="13"/>
      <c r="E623" s="5"/>
      <c r="F623" s="4"/>
      <c r="G623" s="7"/>
      <c r="H623" s="15"/>
      <c r="I623" s="113"/>
      <c r="J623" s="7"/>
      <c r="K623" s="4"/>
      <c r="L623" s="7"/>
      <c r="M623" s="66"/>
      <c r="N623" s="27"/>
      <c r="O623" s="108"/>
      <c r="P623" s="14"/>
    </row>
    <row r="624" spans="1:16" ht="51.6" customHeight="1" x14ac:dyDescent="0.3">
      <c r="A624" s="3"/>
      <c r="B624" s="19"/>
      <c r="C624" s="63"/>
      <c r="D624" s="13"/>
      <c r="E624" s="5"/>
      <c r="F624" s="4"/>
      <c r="G624" s="7"/>
      <c r="H624" s="15"/>
      <c r="I624" s="113"/>
      <c r="J624" s="7"/>
      <c r="K624" s="4"/>
      <c r="L624" s="7"/>
      <c r="M624" s="66"/>
      <c r="N624" s="27"/>
      <c r="O624" s="108"/>
      <c r="P624" s="14"/>
    </row>
    <row r="625" spans="1:16" ht="51.6" customHeight="1" x14ac:dyDescent="0.3">
      <c r="A625" s="3"/>
      <c r="B625" s="19"/>
      <c r="C625" s="63"/>
      <c r="D625" s="13"/>
      <c r="E625" s="5"/>
      <c r="F625" s="4"/>
      <c r="G625" s="7"/>
      <c r="H625" s="15"/>
      <c r="I625" s="113"/>
      <c r="J625" s="7"/>
      <c r="K625" s="4"/>
      <c r="L625" s="7"/>
      <c r="M625" s="66"/>
      <c r="N625" s="27"/>
      <c r="O625" s="108"/>
      <c r="P625" s="14"/>
    </row>
  </sheetData>
  <autoFilter ref="B4:P614" xr:uid="{00000000-0001-0000-0000-000000000000}"/>
  <mergeCells count="99">
    <mergeCell ref="H33:H34"/>
    <mergeCell ref="J33:J34"/>
    <mergeCell ref="K33:K34"/>
    <mergeCell ref="I17:I18"/>
    <mergeCell ref="B53:B54"/>
    <mergeCell ref="G53:G54"/>
    <mergeCell ref="D22:D23"/>
    <mergeCell ref="C22:C24"/>
    <mergeCell ref="C53:C54"/>
    <mergeCell ref="D25:D27"/>
    <mergeCell ref="B25:B27"/>
    <mergeCell ref="C33:C34"/>
    <mergeCell ref="D33:D34"/>
    <mergeCell ref="E25:E27"/>
    <mergeCell ref="A1:M2"/>
    <mergeCell ref="A3:F3"/>
    <mergeCell ref="J3:K3"/>
    <mergeCell ref="L3:M3"/>
    <mergeCell ref="A8:A9"/>
    <mergeCell ref="E8:E9"/>
    <mergeCell ref="D8:D9"/>
    <mergeCell ref="C8:C9"/>
    <mergeCell ref="G3:I3"/>
    <mergeCell ref="P10:P11"/>
    <mergeCell ref="P8:P9"/>
    <mergeCell ref="O8:O9"/>
    <mergeCell ref="A33:A34"/>
    <mergeCell ref="B33:B34"/>
    <mergeCell ref="G10:G11"/>
    <mergeCell ref="D10:D11"/>
    <mergeCell ref="E17:E18"/>
    <mergeCell ref="A17:A18"/>
    <mergeCell ref="B17:B18"/>
    <mergeCell ref="D17:D18"/>
    <mergeCell ref="C17:C18"/>
    <mergeCell ref="J17:J18"/>
    <mergeCell ref="J22:J23"/>
    <mergeCell ref="K22:K23"/>
    <mergeCell ref="B8:B9"/>
    <mergeCell ref="O10:O11"/>
    <mergeCell ref="E10:E11"/>
    <mergeCell ref="B10:B11"/>
    <mergeCell ref="F10:F11"/>
    <mergeCell ref="C10:C11"/>
    <mergeCell ref="A10:A11"/>
    <mergeCell ref="H10:H11"/>
    <mergeCell ref="J10:J11"/>
    <mergeCell ref="K10:K11"/>
    <mergeCell ref="C25:C27"/>
    <mergeCell ref="E22:E23"/>
    <mergeCell ref="G22:G23"/>
    <mergeCell ref="A25:A27"/>
    <mergeCell ref="B22:B24"/>
    <mergeCell ref="H22:H23"/>
    <mergeCell ref="A22:A23"/>
    <mergeCell ref="K17:K18"/>
    <mergeCell ref="K25:K27"/>
    <mergeCell ref="J25:J27"/>
    <mergeCell ref="H25:H27"/>
    <mergeCell ref="G25:G27"/>
    <mergeCell ref="A35:A36"/>
    <mergeCell ref="B35:B36"/>
    <mergeCell ref="E35:E36"/>
    <mergeCell ref="G35:G36"/>
    <mergeCell ref="H35:H36"/>
    <mergeCell ref="C35:C36"/>
    <mergeCell ref="D35:D36"/>
    <mergeCell ref="O80:O82"/>
    <mergeCell ref="C55:C56"/>
    <mergeCell ref="C80:C82"/>
    <mergeCell ref="P22:P23"/>
    <mergeCell ref="P17:P18"/>
    <mergeCell ref="J35:J36"/>
    <mergeCell ref="K35:K36"/>
    <mergeCell ref="O25:O27"/>
    <mergeCell ref="O17:O18"/>
    <mergeCell ref="O22:O23"/>
    <mergeCell ref="L17:L18"/>
    <mergeCell ref="M17:M18"/>
    <mergeCell ref="O33:O34"/>
    <mergeCell ref="O35:O36"/>
    <mergeCell ref="E33:E34"/>
    <mergeCell ref="G33:G34"/>
    <mergeCell ref="F55:F56"/>
    <mergeCell ref="B80:B82"/>
    <mergeCell ref="E80:E82"/>
    <mergeCell ref="G80:G82"/>
    <mergeCell ref="O53:O54"/>
    <mergeCell ref="B55:B56"/>
    <mergeCell ref="G55:G56"/>
    <mergeCell ref="J55:J56"/>
    <mergeCell ref="L55:L56"/>
    <mergeCell ref="O55:O56"/>
    <mergeCell ref="J53:J54"/>
    <mergeCell ref="L53:L54"/>
    <mergeCell ref="H80:H82"/>
    <mergeCell ref="J80:J82"/>
    <mergeCell ref="K80:K82"/>
    <mergeCell ref="L80:L82"/>
  </mergeCells>
  <phoneticPr fontId="8" type="noConversion"/>
  <conditionalFormatting sqref="E1:E1048576">
    <cfRule type="duplicateValues" dxfId="0" priority="1"/>
  </conditionalFormatting>
  <conditionalFormatting sqref="O1:O80 O83:O1048576">
    <cfRule type="containsText" dxfId="2" priority="2" operator="containsText" text="Response ">
      <formula>NOT(ISERROR(SEARCH("Response ",O1)))</formula>
    </cfRule>
    <cfRule type="containsText" dxfId="1" priority="3" operator="containsText" text="open">
      <formula>NOT(ISERROR(SEARCH("open",O1)))</formula>
    </cfRule>
  </conditionalFormatting>
  <printOptions horizontalCentered="1" verticalCentered="1"/>
  <pageMargins left="0" right="0" top="0" bottom="0" header="0" footer="0"/>
  <pageSetup paperSize="8" scale="10" orientation="landscape" verticalDpi="1200" r:id="rId1"/>
  <rowBreaks count="1" manualBreakCount="1">
    <brk id="5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D2EH7U7SCT2D-354287951-41004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https://hillintl.sharepoint.com/sites/Extranet2/RasAlHekmaProject/_layouts/15/DocIdRedir.aspx?ID=D2EH7U7SCT2D-354287951-41004</Url>
      <Description>D2EH7U7SCT2D-354287951-41004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0B1A2B-556C-4B3E-AD40-5BC25A2B7EAC}">
  <ds:schemaRefs>
    <ds:schemaRef ds:uri="http://schemas.microsoft.com/office/2006/metadata/properties"/>
    <ds:schemaRef ds:uri="http://schemas.microsoft.com/office/infopath/2007/PartnerControls"/>
    <ds:schemaRef ds:uri="5e47dd1e-c75c-4647-a38b-2c348db83d8f"/>
    <ds:schemaRef ds:uri="85d7a996-4dca-498d-b2f5-99e3050e6495"/>
  </ds:schemaRefs>
</ds:datastoreItem>
</file>

<file path=customXml/itemProps2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2BE89F1-BC6A-4BCB-BD63-25AE3E3166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DP02</vt:lpstr>
      <vt:lpstr>'DP02'!Print_Area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Elakabawy, Wael</dc:creator>
  <cp:keywords/>
  <dc:description/>
  <cp:lastModifiedBy>Elsherif, Ayman</cp:lastModifiedBy>
  <cp:revision/>
  <dcterms:created xsi:type="dcterms:W3CDTF">2015-06-05T18:17:20Z</dcterms:created>
  <dcterms:modified xsi:type="dcterms:W3CDTF">2026-10-11T11:50:21Z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8bcae269-46e8-4161-9045-4dfebc63e57b</vt:lpwstr>
  </property>
  <property fmtid="{D5CDD505-2E9C-101B-9397-08002B2CF9AE}" pid="4" name="MediaServiceImageTags">
    <vt:lpwstr/>
  </property>
</Properties>
</file>