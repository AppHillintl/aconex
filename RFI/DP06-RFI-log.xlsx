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wdp" ContentType="image/vnd.ms-photo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3.xml" ContentType="application/vnd.openxmlformats-officedocument.drawingml.chart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hillintl.sharepoint.com/sites/Extranet2/RasAlHekmaProject/Shared Documents/Departments/Document Control/000 REH-Construction Document/(3206) - DP06/00.03 RFI/"/>
    </mc:Choice>
  </mc:AlternateContent>
  <xr:revisionPtr revIDLastSave="198" documentId="13_ncr:1_{7D9380C4-1A20-4B54-88C2-77F387528AA4}" xr6:coauthVersionLast="47" xr6:coauthVersionMax="47" xr10:uidLastSave="{9F5F4AD3-BF67-4787-B101-B1EA41AF1143}"/>
  <bookViews>
    <workbookView minimized="1" xWindow="36630" yWindow="5190" windowWidth="17280" windowHeight="8880" xr2:uid="{00000000-000D-0000-FFFF-FFFF00000000}"/>
  </bookViews>
  <sheets>
    <sheet name="Dashboard" sheetId="1" r:id="rId1"/>
    <sheet name="RFI" sheetId="2" r:id="rId2"/>
  </sheets>
  <definedNames>
    <definedName name="_xlnm.Print_Area" localSheetId="1">RFI!$B$1:$P$100</definedName>
  </definedNames>
  <calcPr calcId="191029" calcCompleted="0" forceFullCalc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7" i="1" l="1"/>
  <c r="D7" i="1"/>
  <c r="B7" i="1"/>
  <c r="R4998" i="2"/>
  <c r="Q4998" i="2"/>
  <c r="R4997" i="2"/>
  <c r="Q4997" i="2"/>
  <c r="R4996" i="2"/>
  <c r="Q4996" i="2"/>
  <c r="R4995" i="2"/>
  <c r="Q4995" i="2"/>
  <c r="R4994" i="2"/>
  <c r="Q4994" i="2"/>
  <c r="R4993" i="2"/>
  <c r="Q4993" i="2"/>
  <c r="R4992" i="2"/>
  <c r="Q4992" i="2"/>
  <c r="R4991" i="2"/>
  <c r="Q4991" i="2"/>
  <c r="R4990" i="2"/>
  <c r="Q4990" i="2"/>
  <c r="R4989" i="2"/>
  <c r="Q4989" i="2"/>
  <c r="R4988" i="2"/>
  <c r="Q4988" i="2"/>
  <c r="R4987" i="2"/>
  <c r="Q4987" i="2"/>
  <c r="R4986" i="2"/>
  <c r="Q4986" i="2"/>
  <c r="R4985" i="2"/>
  <c r="Q4985" i="2"/>
  <c r="R4984" i="2"/>
  <c r="Q4984" i="2"/>
  <c r="R4983" i="2"/>
  <c r="Q4983" i="2"/>
  <c r="R4982" i="2"/>
  <c r="Q4982" i="2"/>
  <c r="R4981" i="2"/>
  <c r="Q4981" i="2"/>
  <c r="R4980" i="2"/>
  <c r="Q4980" i="2"/>
  <c r="R4979" i="2"/>
  <c r="Q4979" i="2"/>
  <c r="R4978" i="2"/>
  <c r="Q4978" i="2"/>
  <c r="R4977" i="2"/>
  <c r="Q4977" i="2"/>
  <c r="R4976" i="2"/>
  <c r="Q4976" i="2"/>
  <c r="R4975" i="2"/>
  <c r="Q4975" i="2"/>
  <c r="R4974" i="2"/>
  <c r="Q4974" i="2"/>
  <c r="R4973" i="2"/>
  <c r="Q4973" i="2"/>
  <c r="R4972" i="2"/>
  <c r="Q4972" i="2"/>
  <c r="R4971" i="2"/>
  <c r="Q4971" i="2"/>
  <c r="R4970" i="2"/>
  <c r="Q4970" i="2"/>
  <c r="R4969" i="2"/>
  <c r="Q4969" i="2"/>
  <c r="R4968" i="2"/>
  <c r="Q4968" i="2"/>
  <c r="R4967" i="2"/>
  <c r="Q4967" i="2"/>
  <c r="R4966" i="2"/>
  <c r="Q4966" i="2"/>
  <c r="R4965" i="2"/>
  <c r="Q4965" i="2"/>
  <c r="R4964" i="2"/>
  <c r="Q4964" i="2"/>
  <c r="R4963" i="2"/>
  <c r="Q4963" i="2"/>
  <c r="R4962" i="2"/>
  <c r="Q4962" i="2"/>
  <c r="R4961" i="2"/>
  <c r="Q4961" i="2"/>
  <c r="R4960" i="2"/>
  <c r="Q4960" i="2"/>
  <c r="R4959" i="2"/>
  <c r="Q4959" i="2"/>
  <c r="R4958" i="2"/>
  <c r="Q4958" i="2"/>
  <c r="R4957" i="2"/>
  <c r="Q4957" i="2"/>
  <c r="R4956" i="2"/>
  <c r="Q4956" i="2"/>
  <c r="R4955" i="2"/>
  <c r="Q4955" i="2"/>
  <c r="R4954" i="2"/>
  <c r="Q4954" i="2"/>
  <c r="R4953" i="2"/>
  <c r="Q4953" i="2"/>
  <c r="R4952" i="2"/>
  <c r="Q4952" i="2"/>
  <c r="R4951" i="2"/>
  <c r="Q4951" i="2"/>
  <c r="R4950" i="2"/>
  <c r="Q4950" i="2"/>
  <c r="R4949" i="2"/>
  <c r="Q4949" i="2"/>
  <c r="R4948" i="2"/>
  <c r="Q4948" i="2"/>
  <c r="R4947" i="2"/>
  <c r="Q4947" i="2"/>
  <c r="R4946" i="2"/>
  <c r="Q4946" i="2"/>
  <c r="R4945" i="2"/>
  <c r="Q4945" i="2"/>
  <c r="R4944" i="2"/>
  <c r="Q4944" i="2"/>
  <c r="R4943" i="2"/>
  <c r="Q4943" i="2"/>
  <c r="R4942" i="2"/>
  <c r="Q4942" i="2"/>
  <c r="R4941" i="2"/>
  <c r="Q4941" i="2"/>
  <c r="R4940" i="2"/>
  <c r="Q4940" i="2"/>
  <c r="R4939" i="2"/>
  <c r="Q4939" i="2"/>
  <c r="R4938" i="2"/>
  <c r="Q4938" i="2"/>
  <c r="R4937" i="2"/>
  <c r="Q4937" i="2"/>
  <c r="R4936" i="2"/>
  <c r="Q4936" i="2"/>
  <c r="R4935" i="2"/>
  <c r="Q4935" i="2"/>
  <c r="R4934" i="2"/>
  <c r="Q4934" i="2"/>
  <c r="R4933" i="2"/>
  <c r="Q4933" i="2"/>
  <c r="R4932" i="2"/>
  <c r="Q4932" i="2"/>
  <c r="R4931" i="2"/>
  <c r="Q4931" i="2"/>
  <c r="R4930" i="2"/>
  <c r="Q4930" i="2"/>
  <c r="R4929" i="2"/>
  <c r="Q4929" i="2"/>
  <c r="R4928" i="2"/>
  <c r="Q4928" i="2"/>
  <c r="R4927" i="2"/>
  <c r="Q4927" i="2"/>
  <c r="R4926" i="2"/>
  <c r="Q4926" i="2"/>
  <c r="R4925" i="2"/>
  <c r="Q4925" i="2"/>
  <c r="R4924" i="2"/>
  <c r="Q4924" i="2"/>
  <c r="R4923" i="2"/>
  <c r="Q4923" i="2"/>
  <c r="R4922" i="2"/>
  <c r="Q4922" i="2"/>
  <c r="R4921" i="2"/>
  <c r="Q4921" i="2"/>
  <c r="R4920" i="2"/>
  <c r="Q4920" i="2"/>
  <c r="R4919" i="2"/>
  <c r="Q4919" i="2"/>
  <c r="R4918" i="2"/>
  <c r="Q4918" i="2"/>
  <c r="R4917" i="2"/>
  <c r="Q4917" i="2"/>
  <c r="R4916" i="2"/>
  <c r="Q4916" i="2"/>
  <c r="R4915" i="2"/>
  <c r="Q4915" i="2"/>
  <c r="R4914" i="2"/>
  <c r="Q4914" i="2"/>
  <c r="R4913" i="2"/>
  <c r="Q4913" i="2"/>
  <c r="R4912" i="2"/>
  <c r="Q4912" i="2"/>
  <c r="R4911" i="2"/>
  <c r="Q4911" i="2"/>
  <c r="R4910" i="2"/>
  <c r="Q4910" i="2"/>
  <c r="R4909" i="2"/>
  <c r="Q4909" i="2"/>
  <c r="R4908" i="2"/>
  <c r="Q4908" i="2"/>
  <c r="R4907" i="2"/>
  <c r="Q4907" i="2"/>
  <c r="R4906" i="2"/>
  <c r="Q4906" i="2"/>
  <c r="R4905" i="2"/>
  <c r="Q4905" i="2"/>
  <c r="R4904" i="2"/>
  <c r="Q4904" i="2"/>
  <c r="R4903" i="2"/>
  <c r="Q4903" i="2"/>
  <c r="R4902" i="2"/>
  <c r="Q4902" i="2"/>
  <c r="R4901" i="2"/>
  <c r="Q4901" i="2"/>
  <c r="R4900" i="2"/>
  <c r="Q4900" i="2"/>
  <c r="R4899" i="2"/>
  <c r="Q4899" i="2"/>
  <c r="R4898" i="2"/>
  <c r="Q4898" i="2"/>
  <c r="R4897" i="2"/>
  <c r="Q4897" i="2"/>
  <c r="R4896" i="2"/>
  <c r="Q4896" i="2"/>
  <c r="R4895" i="2"/>
  <c r="Q4895" i="2"/>
  <c r="R4894" i="2"/>
  <c r="Q4894" i="2"/>
  <c r="R4893" i="2"/>
  <c r="Q4893" i="2"/>
  <c r="R4892" i="2"/>
  <c r="Q4892" i="2"/>
  <c r="R4891" i="2"/>
  <c r="Q4891" i="2"/>
  <c r="R4890" i="2"/>
  <c r="Q4890" i="2"/>
  <c r="R4889" i="2"/>
  <c r="Q4889" i="2"/>
  <c r="R4888" i="2"/>
  <c r="Q4888" i="2"/>
  <c r="R4887" i="2"/>
  <c r="Q4887" i="2"/>
  <c r="R4886" i="2"/>
  <c r="Q4886" i="2"/>
  <c r="R4885" i="2"/>
  <c r="Q4885" i="2"/>
  <c r="R4884" i="2"/>
  <c r="Q4884" i="2"/>
  <c r="R4883" i="2"/>
  <c r="Q4883" i="2"/>
  <c r="R4882" i="2"/>
  <c r="Q4882" i="2"/>
  <c r="R4881" i="2"/>
  <c r="Q4881" i="2"/>
  <c r="R4880" i="2"/>
  <c r="Q4880" i="2"/>
  <c r="R4879" i="2"/>
  <c r="Q4879" i="2"/>
  <c r="R4878" i="2"/>
  <c r="Q4878" i="2"/>
  <c r="R4877" i="2"/>
  <c r="Q4877" i="2"/>
  <c r="R4876" i="2"/>
  <c r="Q4876" i="2"/>
  <c r="R4875" i="2"/>
  <c r="Q4875" i="2"/>
  <c r="R4874" i="2"/>
  <c r="Q4874" i="2"/>
  <c r="R4873" i="2"/>
  <c r="Q4873" i="2"/>
  <c r="R4872" i="2"/>
  <c r="Q4872" i="2"/>
  <c r="R4871" i="2"/>
  <c r="Q4871" i="2"/>
  <c r="R4870" i="2"/>
  <c r="Q4870" i="2"/>
  <c r="R4869" i="2"/>
  <c r="Q4869" i="2"/>
  <c r="R4868" i="2"/>
  <c r="Q4868" i="2"/>
  <c r="R4867" i="2"/>
  <c r="Q4867" i="2"/>
  <c r="R4866" i="2"/>
  <c r="Q4866" i="2"/>
  <c r="R4865" i="2"/>
  <c r="Q4865" i="2"/>
  <c r="R4864" i="2"/>
  <c r="Q4864" i="2"/>
  <c r="R4863" i="2"/>
  <c r="Q4863" i="2"/>
  <c r="R4862" i="2"/>
  <c r="Q4862" i="2"/>
  <c r="R4861" i="2"/>
  <c r="Q4861" i="2"/>
  <c r="R4860" i="2"/>
  <c r="Q4860" i="2"/>
  <c r="R4859" i="2"/>
  <c r="Q4859" i="2"/>
  <c r="R4858" i="2"/>
  <c r="Q4858" i="2"/>
  <c r="R4857" i="2"/>
  <c r="Q4857" i="2"/>
  <c r="R4856" i="2"/>
  <c r="Q4856" i="2"/>
  <c r="R4855" i="2"/>
  <c r="Q4855" i="2"/>
  <c r="R4854" i="2"/>
  <c r="Q4854" i="2"/>
  <c r="R4853" i="2"/>
  <c r="Q4853" i="2"/>
  <c r="R4852" i="2"/>
  <c r="Q4852" i="2"/>
  <c r="R4851" i="2"/>
  <c r="Q4851" i="2"/>
  <c r="R4850" i="2"/>
  <c r="Q4850" i="2"/>
  <c r="R4849" i="2"/>
  <c r="Q4849" i="2"/>
  <c r="R4848" i="2"/>
  <c r="Q4848" i="2"/>
  <c r="R4847" i="2"/>
  <c r="Q4847" i="2"/>
  <c r="R4846" i="2"/>
  <c r="Q4846" i="2"/>
  <c r="R4845" i="2"/>
  <c r="Q4845" i="2"/>
  <c r="R4844" i="2"/>
  <c r="Q4844" i="2"/>
  <c r="R4843" i="2"/>
  <c r="Q4843" i="2"/>
  <c r="R4842" i="2"/>
  <c r="Q4842" i="2"/>
  <c r="R4841" i="2"/>
  <c r="Q4841" i="2"/>
  <c r="R4840" i="2"/>
  <c r="Q4840" i="2"/>
  <c r="R4839" i="2"/>
  <c r="Q4839" i="2"/>
  <c r="R4838" i="2"/>
  <c r="Q4838" i="2"/>
  <c r="R4837" i="2"/>
  <c r="Q4837" i="2"/>
  <c r="R4836" i="2"/>
  <c r="Q4836" i="2"/>
  <c r="R4835" i="2"/>
  <c r="Q4835" i="2"/>
  <c r="R4834" i="2"/>
  <c r="Q4834" i="2"/>
  <c r="R4833" i="2"/>
  <c r="Q4833" i="2"/>
  <c r="R4832" i="2"/>
  <c r="Q4832" i="2"/>
  <c r="R4831" i="2"/>
  <c r="Q4831" i="2"/>
  <c r="R4830" i="2"/>
  <c r="Q4830" i="2"/>
  <c r="R4829" i="2"/>
  <c r="Q4829" i="2"/>
  <c r="R4828" i="2"/>
  <c r="Q4828" i="2"/>
  <c r="R4827" i="2"/>
  <c r="Q4827" i="2"/>
  <c r="R4826" i="2"/>
  <c r="Q4826" i="2"/>
  <c r="R4825" i="2"/>
  <c r="Q4825" i="2"/>
  <c r="R4824" i="2"/>
  <c r="Q4824" i="2"/>
  <c r="R4823" i="2"/>
  <c r="Q4823" i="2"/>
  <c r="R4822" i="2"/>
  <c r="Q4822" i="2"/>
  <c r="R4821" i="2"/>
  <c r="Q4821" i="2"/>
  <c r="R4820" i="2"/>
  <c r="Q4820" i="2"/>
  <c r="R4819" i="2"/>
  <c r="Q4819" i="2"/>
  <c r="R4818" i="2"/>
  <c r="Q4818" i="2"/>
  <c r="R4817" i="2"/>
  <c r="Q4817" i="2"/>
  <c r="R4816" i="2"/>
  <c r="Q4816" i="2"/>
  <c r="R4815" i="2"/>
  <c r="Q4815" i="2"/>
  <c r="R4814" i="2"/>
  <c r="Q4814" i="2"/>
  <c r="R4813" i="2"/>
  <c r="Q4813" i="2"/>
  <c r="R4812" i="2"/>
  <c r="Q4812" i="2"/>
  <c r="R4811" i="2"/>
  <c r="Q4811" i="2"/>
  <c r="R4810" i="2"/>
  <c r="Q4810" i="2"/>
  <c r="R4809" i="2"/>
  <c r="Q4809" i="2"/>
  <c r="R4808" i="2"/>
  <c r="Q4808" i="2"/>
  <c r="R4807" i="2"/>
  <c r="Q4807" i="2"/>
  <c r="R4806" i="2"/>
  <c r="Q4806" i="2"/>
  <c r="R4805" i="2"/>
  <c r="Q4805" i="2"/>
  <c r="R4804" i="2"/>
  <c r="Q4804" i="2"/>
  <c r="R4803" i="2"/>
  <c r="Q4803" i="2"/>
  <c r="R4802" i="2"/>
  <c r="Q4802" i="2"/>
  <c r="R4801" i="2"/>
  <c r="Q4801" i="2"/>
  <c r="R4800" i="2"/>
  <c r="Q4800" i="2"/>
  <c r="R4799" i="2"/>
  <c r="Q4799" i="2"/>
  <c r="R4798" i="2"/>
  <c r="Q4798" i="2"/>
  <c r="R4797" i="2"/>
  <c r="Q4797" i="2"/>
  <c r="R4796" i="2"/>
  <c r="Q4796" i="2"/>
  <c r="R4795" i="2"/>
  <c r="Q4795" i="2"/>
  <c r="R4794" i="2"/>
  <c r="Q4794" i="2"/>
  <c r="R4793" i="2"/>
  <c r="Q4793" i="2"/>
  <c r="R4792" i="2"/>
  <c r="Q4792" i="2"/>
  <c r="R4791" i="2"/>
  <c r="Q4791" i="2"/>
  <c r="R4790" i="2"/>
  <c r="Q4790" i="2"/>
  <c r="R4789" i="2"/>
  <c r="Q4789" i="2"/>
  <c r="R4788" i="2"/>
  <c r="Q4788" i="2"/>
  <c r="R4787" i="2"/>
  <c r="Q4787" i="2"/>
  <c r="R4786" i="2"/>
  <c r="Q4786" i="2"/>
  <c r="R4785" i="2"/>
  <c r="Q4785" i="2"/>
  <c r="R4784" i="2"/>
  <c r="Q4784" i="2"/>
  <c r="R4783" i="2"/>
  <c r="Q4783" i="2"/>
  <c r="R4782" i="2"/>
  <c r="Q4782" i="2"/>
  <c r="R4781" i="2"/>
  <c r="Q4781" i="2"/>
  <c r="R4780" i="2"/>
  <c r="Q4780" i="2"/>
  <c r="R4779" i="2"/>
  <c r="Q4779" i="2"/>
  <c r="R4778" i="2"/>
  <c r="Q4778" i="2"/>
  <c r="R4777" i="2"/>
  <c r="Q4777" i="2"/>
  <c r="R4776" i="2"/>
  <c r="Q4776" i="2"/>
  <c r="R4775" i="2"/>
  <c r="Q4775" i="2"/>
  <c r="R4774" i="2"/>
  <c r="Q4774" i="2"/>
  <c r="R4773" i="2"/>
  <c r="Q4773" i="2"/>
  <c r="R4772" i="2"/>
  <c r="Q4772" i="2"/>
  <c r="R4771" i="2"/>
  <c r="Q4771" i="2"/>
  <c r="R4770" i="2"/>
  <c r="Q4770" i="2"/>
  <c r="R4769" i="2"/>
  <c r="Q4769" i="2"/>
  <c r="R4768" i="2"/>
  <c r="Q4768" i="2"/>
  <c r="R4767" i="2"/>
  <c r="Q4767" i="2"/>
  <c r="R4766" i="2"/>
  <c r="Q4766" i="2"/>
  <c r="R4765" i="2"/>
  <c r="Q4765" i="2"/>
  <c r="R4764" i="2"/>
  <c r="Q4764" i="2"/>
  <c r="R4763" i="2"/>
  <c r="Q4763" i="2"/>
  <c r="R4762" i="2"/>
  <c r="Q4762" i="2"/>
  <c r="R4761" i="2"/>
  <c r="Q4761" i="2"/>
  <c r="R4760" i="2"/>
  <c r="Q4760" i="2"/>
  <c r="R4759" i="2"/>
  <c r="Q4759" i="2"/>
  <c r="R4758" i="2"/>
  <c r="Q4758" i="2"/>
  <c r="R4757" i="2"/>
  <c r="Q4757" i="2"/>
  <c r="R4756" i="2"/>
  <c r="Q4756" i="2"/>
  <c r="R4755" i="2"/>
  <c r="Q4755" i="2"/>
  <c r="R4754" i="2"/>
  <c r="Q4754" i="2"/>
  <c r="R4753" i="2"/>
  <c r="Q4753" i="2"/>
  <c r="R4752" i="2"/>
  <c r="Q4752" i="2"/>
  <c r="R4751" i="2"/>
  <c r="Q4751" i="2"/>
  <c r="R4750" i="2"/>
  <c r="Q4750" i="2"/>
  <c r="R4749" i="2"/>
  <c r="Q4749" i="2"/>
  <c r="R4748" i="2"/>
  <c r="Q4748" i="2"/>
  <c r="R4747" i="2"/>
  <c r="Q4747" i="2"/>
  <c r="R4746" i="2"/>
  <c r="Q4746" i="2"/>
  <c r="R4745" i="2"/>
  <c r="Q4745" i="2"/>
  <c r="R4744" i="2"/>
  <c r="Q4744" i="2"/>
  <c r="R4743" i="2"/>
  <c r="Q4743" i="2"/>
  <c r="R4742" i="2"/>
  <c r="Q4742" i="2"/>
  <c r="R4741" i="2"/>
  <c r="Q4741" i="2"/>
  <c r="R4740" i="2"/>
  <c r="Q4740" i="2"/>
  <c r="R4739" i="2"/>
  <c r="Q4739" i="2"/>
  <c r="R4738" i="2"/>
  <c r="Q4738" i="2"/>
  <c r="R4737" i="2"/>
  <c r="Q4737" i="2"/>
  <c r="R4736" i="2"/>
  <c r="Q4736" i="2"/>
  <c r="R4735" i="2"/>
  <c r="Q4735" i="2"/>
  <c r="R4734" i="2"/>
  <c r="Q4734" i="2"/>
  <c r="R4733" i="2"/>
  <c r="Q4733" i="2"/>
  <c r="R4732" i="2"/>
  <c r="Q4732" i="2"/>
  <c r="R4731" i="2"/>
  <c r="Q4731" i="2"/>
  <c r="R4730" i="2"/>
  <c r="Q4730" i="2"/>
  <c r="R4729" i="2"/>
  <c r="Q4729" i="2"/>
  <c r="R4728" i="2"/>
  <c r="Q4728" i="2"/>
  <c r="R4727" i="2"/>
  <c r="Q4727" i="2"/>
  <c r="R4726" i="2"/>
  <c r="Q4726" i="2"/>
  <c r="R4725" i="2"/>
  <c r="Q4725" i="2"/>
  <c r="R4724" i="2"/>
  <c r="Q4724" i="2"/>
  <c r="R4723" i="2"/>
  <c r="Q4723" i="2"/>
  <c r="R4722" i="2"/>
  <c r="Q4722" i="2"/>
  <c r="R4721" i="2"/>
  <c r="Q4721" i="2"/>
  <c r="R4720" i="2"/>
  <c r="Q4720" i="2"/>
  <c r="R4719" i="2"/>
  <c r="Q4719" i="2"/>
  <c r="R4718" i="2"/>
  <c r="Q4718" i="2"/>
  <c r="R4717" i="2"/>
  <c r="Q4717" i="2"/>
  <c r="R4716" i="2"/>
  <c r="Q4716" i="2"/>
  <c r="R4715" i="2"/>
  <c r="Q4715" i="2"/>
  <c r="R4714" i="2"/>
  <c r="Q4714" i="2"/>
  <c r="R4713" i="2"/>
  <c r="Q4713" i="2"/>
  <c r="R4712" i="2"/>
  <c r="Q4712" i="2"/>
  <c r="R4711" i="2"/>
  <c r="Q4711" i="2"/>
  <c r="R4710" i="2"/>
  <c r="Q4710" i="2"/>
  <c r="R4709" i="2"/>
  <c r="Q4709" i="2"/>
  <c r="R4708" i="2"/>
  <c r="Q4708" i="2"/>
  <c r="R4707" i="2"/>
  <c r="Q4707" i="2"/>
  <c r="R4706" i="2"/>
  <c r="Q4706" i="2"/>
  <c r="R4705" i="2"/>
  <c r="Q4705" i="2"/>
  <c r="R4704" i="2"/>
  <c r="Q4704" i="2"/>
  <c r="R4703" i="2"/>
  <c r="Q4703" i="2"/>
  <c r="R4702" i="2"/>
  <c r="Q4702" i="2"/>
  <c r="R4701" i="2"/>
  <c r="Q4701" i="2"/>
  <c r="R4700" i="2"/>
  <c r="Q4700" i="2"/>
  <c r="R4699" i="2"/>
  <c r="Q4699" i="2"/>
  <c r="R4698" i="2"/>
  <c r="Q4698" i="2"/>
  <c r="R4697" i="2"/>
  <c r="Q4697" i="2"/>
  <c r="R4696" i="2"/>
  <c r="Q4696" i="2"/>
  <c r="R4695" i="2"/>
  <c r="Q4695" i="2"/>
  <c r="R4694" i="2"/>
  <c r="Q4694" i="2"/>
  <c r="R4693" i="2"/>
  <c r="Q4693" i="2"/>
  <c r="R4692" i="2"/>
  <c r="Q4692" i="2"/>
  <c r="R4691" i="2"/>
  <c r="Q4691" i="2"/>
  <c r="R4690" i="2"/>
  <c r="Q4690" i="2"/>
  <c r="R4689" i="2"/>
  <c r="Q4689" i="2"/>
  <c r="R4688" i="2"/>
  <c r="Q4688" i="2"/>
  <c r="R4687" i="2"/>
  <c r="Q4687" i="2"/>
  <c r="R4686" i="2"/>
  <c r="Q4686" i="2"/>
  <c r="R4685" i="2"/>
  <c r="Q4685" i="2"/>
  <c r="R4684" i="2"/>
  <c r="Q4684" i="2"/>
  <c r="R4683" i="2"/>
  <c r="Q4683" i="2"/>
  <c r="R4682" i="2"/>
  <c r="Q4682" i="2"/>
  <c r="R4681" i="2"/>
  <c r="Q4681" i="2"/>
  <c r="R4680" i="2"/>
  <c r="Q4680" i="2"/>
  <c r="R4679" i="2"/>
  <c r="Q4679" i="2"/>
  <c r="R4678" i="2"/>
  <c r="Q4678" i="2"/>
  <c r="R4677" i="2"/>
  <c r="Q4677" i="2"/>
  <c r="R4676" i="2"/>
  <c r="Q4676" i="2"/>
  <c r="R4675" i="2"/>
  <c r="Q4675" i="2"/>
  <c r="R4674" i="2"/>
  <c r="Q4674" i="2"/>
  <c r="R4673" i="2"/>
  <c r="Q4673" i="2"/>
  <c r="R4672" i="2"/>
  <c r="Q4672" i="2"/>
  <c r="R4671" i="2"/>
  <c r="Q4671" i="2"/>
  <c r="R4670" i="2"/>
  <c r="Q4670" i="2"/>
  <c r="R4669" i="2"/>
  <c r="Q4669" i="2"/>
  <c r="R4668" i="2"/>
  <c r="Q4668" i="2"/>
  <c r="R4667" i="2"/>
  <c r="Q4667" i="2"/>
  <c r="R4666" i="2"/>
  <c r="Q4666" i="2"/>
  <c r="R4665" i="2"/>
  <c r="Q4665" i="2"/>
  <c r="R4664" i="2"/>
  <c r="Q4664" i="2"/>
  <c r="R4663" i="2"/>
  <c r="Q4663" i="2"/>
  <c r="R4662" i="2"/>
  <c r="Q4662" i="2"/>
  <c r="R4661" i="2"/>
  <c r="Q4661" i="2"/>
  <c r="R4660" i="2"/>
  <c r="Q4660" i="2"/>
  <c r="R4659" i="2"/>
  <c r="Q4659" i="2"/>
  <c r="R4658" i="2"/>
  <c r="Q4658" i="2"/>
  <c r="R4657" i="2"/>
  <c r="Q4657" i="2"/>
  <c r="R4656" i="2"/>
  <c r="Q4656" i="2"/>
  <c r="R4655" i="2"/>
  <c r="Q4655" i="2"/>
  <c r="R4654" i="2"/>
  <c r="Q4654" i="2"/>
  <c r="R4653" i="2"/>
  <c r="Q4653" i="2"/>
  <c r="R4652" i="2"/>
  <c r="Q4652" i="2"/>
  <c r="R4651" i="2"/>
  <c r="Q4651" i="2"/>
  <c r="R4650" i="2"/>
  <c r="Q4650" i="2"/>
  <c r="R4649" i="2"/>
  <c r="Q4649" i="2"/>
  <c r="R4648" i="2"/>
  <c r="Q4648" i="2"/>
  <c r="R4647" i="2"/>
  <c r="Q4647" i="2"/>
  <c r="R4646" i="2"/>
  <c r="Q4646" i="2"/>
  <c r="R4645" i="2"/>
  <c r="Q4645" i="2"/>
  <c r="R4644" i="2"/>
  <c r="Q4644" i="2"/>
  <c r="R4643" i="2"/>
  <c r="Q4643" i="2"/>
  <c r="R4642" i="2"/>
  <c r="Q4642" i="2"/>
  <c r="R4641" i="2"/>
  <c r="Q4641" i="2"/>
  <c r="R4640" i="2"/>
  <c r="Q4640" i="2"/>
  <c r="R4639" i="2"/>
  <c r="Q4639" i="2"/>
  <c r="R4638" i="2"/>
  <c r="Q4638" i="2"/>
  <c r="R4637" i="2"/>
  <c r="Q4637" i="2"/>
  <c r="R4636" i="2"/>
  <c r="Q4636" i="2"/>
  <c r="R4635" i="2"/>
  <c r="Q4635" i="2"/>
  <c r="R4634" i="2"/>
  <c r="Q4634" i="2"/>
  <c r="R4633" i="2"/>
  <c r="Q4633" i="2"/>
  <c r="R4632" i="2"/>
  <c r="Q4632" i="2"/>
  <c r="R4631" i="2"/>
  <c r="Q4631" i="2"/>
  <c r="R4630" i="2"/>
  <c r="Q4630" i="2"/>
  <c r="R4629" i="2"/>
  <c r="Q4629" i="2"/>
  <c r="R4628" i="2"/>
  <c r="Q4628" i="2"/>
  <c r="R4627" i="2"/>
  <c r="Q4627" i="2"/>
  <c r="R4626" i="2"/>
  <c r="Q4626" i="2"/>
  <c r="R4625" i="2"/>
  <c r="Q4625" i="2"/>
  <c r="R4624" i="2"/>
  <c r="Q4624" i="2"/>
  <c r="R4623" i="2"/>
  <c r="Q4623" i="2"/>
  <c r="R4622" i="2"/>
  <c r="Q4622" i="2"/>
  <c r="R4621" i="2"/>
  <c r="Q4621" i="2"/>
  <c r="R4620" i="2"/>
  <c r="Q4620" i="2"/>
  <c r="R4619" i="2"/>
  <c r="Q4619" i="2"/>
  <c r="R4618" i="2"/>
  <c r="Q4618" i="2"/>
  <c r="R4617" i="2"/>
  <c r="Q4617" i="2"/>
  <c r="R4616" i="2"/>
  <c r="Q4616" i="2"/>
  <c r="R4615" i="2"/>
  <c r="Q4615" i="2"/>
  <c r="R4614" i="2"/>
  <c r="Q4614" i="2"/>
  <c r="R4613" i="2"/>
  <c r="Q4613" i="2"/>
  <c r="R4612" i="2"/>
  <c r="Q4612" i="2"/>
  <c r="R4611" i="2"/>
  <c r="Q4611" i="2"/>
  <c r="R4610" i="2"/>
  <c r="Q4610" i="2"/>
  <c r="R4609" i="2"/>
  <c r="Q4609" i="2"/>
  <c r="R4608" i="2"/>
  <c r="Q4608" i="2"/>
  <c r="R4607" i="2"/>
  <c r="Q4607" i="2"/>
  <c r="R4606" i="2"/>
  <c r="Q4606" i="2"/>
  <c r="R4605" i="2"/>
  <c r="Q4605" i="2"/>
  <c r="R4604" i="2"/>
  <c r="Q4604" i="2"/>
  <c r="R4603" i="2"/>
  <c r="Q4603" i="2"/>
  <c r="R4602" i="2"/>
  <c r="Q4602" i="2"/>
  <c r="R4601" i="2"/>
  <c r="Q4601" i="2"/>
  <c r="R4600" i="2"/>
  <c r="Q4600" i="2"/>
  <c r="R4599" i="2"/>
  <c r="Q4599" i="2"/>
  <c r="R4598" i="2"/>
  <c r="Q4598" i="2"/>
  <c r="R4597" i="2"/>
  <c r="Q4597" i="2"/>
  <c r="R4596" i="2"/>
  <c r="Q4596" i="2"/>
  <c r="R4595" i="2"/>
  <c r="Q4595" i="2"/>
  <c r="R4594" i="2"/>
  <c r="Q4594" i="2"/>
  <c r="R4593" i="2"/>
  <c r="Q4593" i="2"/>
  <c r="R4592" i="2"/>
  <c r="Q4592" i="2"/>
  <c r="R4591" i="2"/>
  <c r="Q4591" i="2"/>
  <c r="R4590" i="2"/>
  <c r="Q4590" i="2"/>
  <c r="R4589" i="2"/>
  <c r="Q4589" i="2"/>
  <c r="R4588" i="2"/>
  <c r="Q4588" i="2"/>
  <c r="R4587" i="2"/>
  <c r="Q4587" i="2"/>
  <c r="R4586" i="2"/>
  <c r="Q4586" i="2"/>
  <c r="R4585" i="2"/>
  <c r="Q4585" i="2"/>
  <c r="R4584" i="2"/>
  <c r="Q4584" i="2"/>
  <c r="R4583" i="2"/>
  <c r="Q4583" i="2"/>
  <c r="R4582" i="2"/>
  <c r="Q4582" i="2"/>
  <c r="R4581" i="2"/>
  <c r="Q4581" i="2"/>
  <c r="R4580" i="2"/>
  <c r="Q4580" i="2"/>
  <c r="R4579" i="2"/>
  <c r="Q4579" i="2"/>
  <c r="R4578" i="2"/>
  <c r="Q4578" i="2"/>
  <c r="R4577" i="2"/>
  <c r="Q4577" i="2"/>
  <c r="R4576" i="2"/>
  <c r="Q4576" i="2"/>
  <c r="R4575" i="2"/>
  <c r="Q4575" i="2"/>
  <c r="R4574" i="2"/>
  <c r="Q4574" i="2"/>
  <c r="R4573" i="2"/>
  <c r="Q4573" i="2"/>
  <c r="R4572" i="2"/>
  <c r="Q4572" i="2"/>
  <c r="R4571" i="2"/>
  <c r="Q4571" i="2"/>
  <c r="R4570" i="2"/>
  <c r="Q4570" i="2"/>
  <c r="R4569" i="2"/>
  <c r="Q4569" i="2"/>
  <c r="R4568" i="2"/>
  <c r="Q4568" i="2"/>
  <c r="R4567" i="2"/>
  <c r="Q4567" i="2"/>
  <c r="R4566" i="2"/>
  <c r="Q4566" i="2"/>
  <c r="R4565" i="2"/>
  <c r="Q4565" i="2"/>
  <c r="R4564" i="2"/>
  <c r="Q4564" i="2"/>
  <c r="R4563" i="2"/>
  <c r="Q4563" i="2"/>
  <c r="R4562" i="2"/>
  <c r="Q4562" i="2"/>
  <c r="R4561" i="2"/>
  <c r="Q4561" i="2"/>
  <c r="R4560" i="2"/>
  <c r="Q4560" i="2"/>
  <c r="R4559" i="2"/>
  <c r="Q4559" i="2"/>
  <c r="R4558" i="2"/>
  <c r="Q4558" i="2"/>
  <c r="R4557" i="2"/>
  <c r="Q4557" i="2"/>
  <c r="R4556" i="2"/>
  <c r="Q4556" i="2"/>
  <c r="R4555" i="2"/>
  <c r="Q4555" i="2"/>
  <c r="R4554" i="2"/>
  <c r="Q4554" i="2"/>
  <c r="R4553" i="2"/>
  <c r="Q4553" i="2"/>
  <c r="R4552" i="2"/>
  <c r="Q4552" i="2"/>
  <c r="R4551" i="2"/>
  <c r="Q4551" i="2"/>
  <c r="R4550" i="2"/>
  <c r="Q4550" i="2"/>
  <c r="R4549" i="2"/>
  <c r="Q4549" i="2"/>
  <c r="R4548" i="2"/>
  <c r="Q4548" i="2"/>
  <c r="R4547" i="2"/>
  <c r="Q4547" i="2"/>
  <c r="R4546" i="2"/>
  <c r="Q4546" i="2"/>
  <c r="R4545" i="2"/>
  <c r="Q4545" i="2"/>
  <c r="R4544" i="2"/>
  <c r="Q4544" i="2"/>
  <c r="R4543" i="2"/>
  <c r="Q4543" i="2"/>
  <c r="R4542" i="2"/>
  <c r="Q4542" i="2"/>
  <c r="R4541" i="2"/>
  <c r="Q4541" i="2"/>
  <c r="R4540" i="2"/>
  <c r="Q4540" i="2"/>
  <c r="R4539" i="2"/>
  <c r="Q4539" i="2"/>
  <c r="R4538" i="2"/>
  <c r="Q4538" i="2"/>
  <c r="R4537" i="2"/>
  <c r="Q4537" i="2"/>
  <c r="R4536" i="2"/>
  <c r="Q4536" i="2"/>
  <c r="R4535" i="2"/>
  <c r="Q4535" i="2"/>
  <c r="R4534" i="2"/>
  <c r="Q4534" i="2"/>
  <c r="R4533" i="2"/>
  <c r="Q4533" i="2"/>
  <c r="R4532" i="2"/>
  <c r="Q4532" i="2"/>
  <c r="R4531" i="2"/>
  <c r="Q4531" i="2"/>
  <c r="R4530" i="2"/>
  <c r="Q4530" i="2"/>
  <c r="R4529" i="2"/>
  <c r="Q4529" i="2"/>
  <c r="R4528" i="2"/>
  <c r="Q4528" i="2"/>
  <c r="R4527" i="2"/>
  <c r="Q4527" i="2"/>
  <c r="R4526" i="2"/>
  <c r="Q4526" i="2"/>
  <c r="R4525" i="2"/>
  <c r="Q4525" i="2"/>
  <c r="R4524" i="2"/>
  <c r="Q4524" i="2"/>
  <c r="R4523" i="2"/>
  <c r="Q4523" i="2"/>
  <c r="R4522" i="2"/>
  <c r="Q4522" i="2"/>
  <c r="R4521" i="2"/>
  <c r="Q4521" i="2"/>
  <c r="R4520" i="2"/>
  <c r="Q4520" i="2"/>
  <c r="R4519" i="2"/>
  <c r="Q4519" i="2"/>
  <c r="R4518" i="2"/>
  <c r="Q4518" i="2"/>
  <c r="R4517" i="2"/>
  <c r="Q4517" i="2"/>
  <c r="R4516" i="2"/>
  <c r="Q4516" i="2"/>
  <c r="R4515" i="2"/>
  <c r="Q4515" i="2"/>
  <c r="R4514" i="2"/>
  <c r="Q4514" i="2"/>
  <c r="R4513" i="2"/>
  <c r="Q4513" i="2"/>
  <c r="R4512" i="2"/>
  <c r="Q4512" i="2"/>
  <c r="R4511" i="2"/>
  <c r="Q4511" i="2"/>
  <c r="R4510" i="2"/>
  <c r="Q4510" i="2"/>
  <c r="R4509" i="2"/>
  <c r="Q4509" i="2"/>
  <c r="R4508" i="2"/>
  <c r="Q4508" i="2"/>
  <c r="R4507" i="2"/>
  <c r="Q4507" i="2"/>
  <c r="R4506" i="2"/>
  <c r="Q4506" i="2"/>
  <c r="R4505" i="2"/>
  <c r="Q4505" i="2"/>
  <c r="R4504" i="2"/>
  <c r="Q4504" i="2"/>
  <c r="R4503" i="2"/>
  <c r="Q4503" i="2"/>
  <c r="R4502" i="2"/>
  <c r="Q4502" i="2"/>
  <c r="R4501" i="2"/>
  <c r="Q4501" i="2"/>
  <c r="R4500" i="2"/>
  <c r="Q4500" i="2"/>
  <c r="R4499" i="2"/>
  <c r="Q4499" i="2"/>
  <c r="R4498" i="2"/>
  <c r="Q4498" i="2"/>
  <c r="R4497" i="2"/>
  <c r="Q4497" i="2"/>
  <c r="R4496" i="2"/>
  <c r="Q4496" i="2"/>
  <c r="R4495" i="2"/>
  <c r="Q4495" i="2"/>
  <c r="R4494" i="2"/>
  <c r="Q4494" i="2"/>
  <c r="R4493" i="2"/>
  <c r="Q4493" i="2"/>
  <c r="R4492" i="2"/>
  <c r="Q4492" i="2"/>
  <c r="R4491" i="2"/>
  <c r="Q4491" i="2"/>
  <c r="R4490" i="2"/>
  <c r="Q4490" i="2"/>
  <c r="R4489" i="2"/>
  <c r="Q4489" i="2"/>
  <c r="R4488" i="2"/>
  <c r="Q4488" i="2"/>
  <c r="R4487" i="2"/>
  <c r="Q4487" i="2"/>
  <c r="R4486" i="2"/>
  <c r="Q4486" i="2"/>
  <c r="R4485" i="2"/>
  <c r="Q4485" i="2"/>
  <c r="R4484" i="2"/>
  <c r="Q4484" i="2"/>
  <c r="R4483" i="2"/>
  <c r="Q4483" i="2"/>
  <c r="R4482" i="2"/>
  <c r="Q4482" i="2"/>
  <c r="R4481" i="2"/>
  <c r="Q4481" i="2"/>
  <c r="R4480" i="2"/>
  <c r="Q4480" i="2"/>
  <c r="R4479" i="2"/>
  <c r="Q4479" i="2"/>
  <c r="R4478" i="2"/>
  <c r="Q4478" i="2"/>
  <c r="R4477" i="2"/>
  <c r="Q4477" i="2"/>
  <c r="R4476" i="2"/>
  <c r="Q4476" i="2"/>
  <c r="R4475" i="2"/>
  <c r="Q4475" i="2"/>
  <c r="R4474" i="2"/>
  <c r="Q4474" i="2"/>
  <c r="R4473" i="2"/>
  <c r="Q4473" i="2"/>
  <c r="R4472" i="2"/>
  <c r="Q4472" i="2"/>
  <c r="R4471" i="2"/>
  <c r="Q4471" i="2"/>
  <c r="R4470" i="2"/>
  <c r="Q4470" i="2"/>
  <c r="R4469" i="2"/>
  <c r="Q4469" i="2"/>
  <c r="R4468" i="2"/>
  <c r="Q4468" i="2"/>
  <c r="R4467" i="2"/>
  <c r="Q4467" i="2"/>
  <c r="R4466" i="2"/>
  <c r="Q4466" i="2"/>
  <c r="R4465" i="2"/>
  <c r="Q4465" i="2"/>
  <c r="R4464" i="2"/>
  <c r="Q4464" i="2"/>
  <c r="R4463" i="2"/>
  <c r="Q4463" i="2"/>
  <c r="R4462" i="2"/>
  <c r="Q4462" i="2"/>
  <c r="R4461" i="2"/>
  <c r="Q4461" i="2"/>
  <c r="R4460" i="2"/>
  <c r="Q4460" i="2"/>
  <c r="R4459" i="2"/>
  <c r="Q4459" i="2"/>
  <c r="R4458" i="2"/>
  <c r="Q4458" i="2"/>
  <c r="R4457" i="2"/>
  <c r="Q4457" i="2"/>
  <c r="R4456" i="2"/>
  <c r="Q4456" i="2"/>
  <c r="R4455" i="2"/>
  <c r="Q4455" i="2"/>
  <c r="R4454" i="2"/>
  <c r="Q4454" i="2"/>
  <c r="R4453" i="2"/>
  <c r="Q4453" i="2"/>
  <c r="R4452" i="2"/>
  <c r="Q4452" i="2"/>
  <c r="R4451" i="2"/>
  <c r="Q4451" i="2"/>
  <c r="R4450" i="2"/>
  <c r="Q4450" i="2"/>
  <c r="R4449" i="2"/>
  <c r="Q4449" i="2"/>
  <c r="R4448" i="2"/>
  <c r="Q4448" i="2"/>
  <c r="R4447" i="2"/>
  <c r="Q4447" i="2"/>
  <c r="R4446" i="2"/>
  <c r="Q4446" i="2"/>
  <c r="R4445" i="2"/>
  <c r="Q4445" i="2"/>
  <c r="R4444" i="2"/>
  <c r="Q4444" i="2"/>
  <c r="R4443" i="2"/>
  <c r="Q4443" i="2"/>
  <c r="R4442" i="2"/>
  <c r="Q4442" i="2"/>
  <c r="R4441" i="2"/>
  <c r="Q4441" i="2"/>
  <c r="R4440" i="2"/>
  <c r="Q4440" i="2"/>
  <c r="R4439" i="2"/>
  <c r="Q4439" i="2"/>
  <c r="R4438" i="2"/>
  <c r="Q4438" i="2"/>
  <c r="R4437" i="2"/>
  <c r="Q4437" i="2"/>
  <c r="R4436" i="2"/>
  <c r="Q4436" i="2"/>
  <c r="R4435" i="2"/>
  <c r="Q4435" i="2"/>
  <c r="R4434" i="2"/>
  <c r="Q4434" i="2"/>
  <c r="R4433" i="2"/>
  <c r="Q4433" i="2"/>
  <c r="R4432" i="2"/>
  <c r="Q4432" i="2"/>
  <c r="R4431" i="2"/>
  <c r="Q4431" i="2"/>
  <c r="R4430" i="2"/>
  <c r="Q4430" i="2"/>
  <c r="R4429" i="2"/>
  <c r="Q4429" i="2"/>
  <c r="R4428" i="2"/>
  <c r="Q4428" i="2"/>
  <c r="R4427" i="2"/>
  <c r="Q4427" i="2"/>
  <c r="R4426" i="2"/>
  <c r="Q4426" i="2"/>
  <c r="R4425" i="2"/>
  <c r="Q4425" i="2"/>
  <c r="R4424" i="2"/>
  <c r="Q4424" i="2"/>
  <c r="R4423" i="2"/>
  <c r="Q4423" i="2"/>
  <c r="R4422" i="2"/>
  <c r="Q4422" i="2"/>
  <c r="R4421" i="2"/>
  <c r="Q4421" i="2"/>
  <c r="R4420" i="2"/>
  <c r="Q4420" i="2"/>
  <c r="R4419" i="2"/>
  <c r="Q4419" i="2"/>
  <c r="R4418" i="2"/>
  <c r="Q4418" i="2"/>
  <c r="R4417" i="2"/>
  <c r="Q4417" i="2"/>
  <c r="R4416" i="2"/>
  <c r="Q4416" i="2"/>
  <c r="R4415" i="2"/>
  <c r="Q4415" i="2"/>
  <c r="R4414" i="2"/>
  <c r="Q4414" i="2"/>
  <c r="R4413" i="2"/>
  <c r="Q4413" i="2"/>
  <c r="R4412" i="2"/>
  <c r="Q4412" i="2"/>
  <c r="R4411" i="2"/>
  <c r="Q4411" i="2"/>
  <c r="R4410" i="2"/>
  <c r="Q4410" i="2"/>
  <c r="R4409" i="2"/>
  <c r="Q4409" i="2"/>
  <c r="R4408" i="2"/>
  <c r="Q4408" i="2"/>
  <c r="R4407" i="2"/>
  <c r="Q4407" i="2"/>
  <c r="R4406" i="2"/>
  <c r="Q4406" i="2"/>
  <c r="R4405" i="2"/>
  <c r="Q4405" i="2"/>
  <c r="R4404" i="2"/>
  <c r="Q4404" i="2"/>
  <c r="R4403" i="2"/>
  <c r="Q4403" i="2"/>
  <c r="R4402" i="2"/>
  <c r="Q4402" i="2"/>
  <c r="R4401" i="2"/>
  <c r="Q4401" i="2"/>
  <c r="R4400" i="2"/>
  <c r="Q4400" i="2"/>
  <c r="R4399" i="2"/>
  <c r="Q4399" i="2"/>
  <c r="R4398" i="2"/>
  <c r="Q4398" i="2"/>
  <c r="R4397" i="2"/>
  <c r="Q4397" i="2"/>
  <c r="R4396" i="2"/>
  <c r="Q4396" i="2"/>
  <c r="R4395" i="2"/>
  <c r="Q4395" i="2"/>
  <c r="R4394" i="2"/>
  <c r="Q4394" i="2"/>
  <c r="R4393" i="2"/>
  <c r="Q4393" i="2"/>
  <c r="R4392" i="2"/>
  <c r="Q4392" i="2"/>
  <c r="R4391" i="2"/>
  <c r="Q4391" i="2"/>
  <c r="R4390" i="2"/>
  <c r="Q4390" i="2"/>
  <c r="R4389" i="2"/>
  <c r="Q4389" i="2"/>
  <c r="R4388" i="2"/>
  <c r="Q4388" i="2"/>
  <c r="R4387" i="2"/>
  <c r="Q4387" i="2"/>
  <c r="R4386" i="2"/>
  <c r="Q4386" i="2"/>
  <c r="R4385" i="2"/>
  <c r="Q4385" i="2"/>
  <c r="R4384" i="2"/>
  <c r="Q4384" i="2"/>
  <c r="R4383" i="2"/>
  <c r="Q4383" i="2"/>
  <c r="R4382" i="2"/>
  <c r="Q4382" i="2"/>
  <c r="R4381" i="2"/>
  <c r="Q4381" i="2"/>
  <c r="R4380" i="2"/>
  <c r="Q4380" i="2"/>
  <c r="R4379" i="2"/>
  <c r="Q4379" i="2"/>
  <c r="R4378" i="2"/>
  <c r="Q4378" i="2"/>
  <c r="R4377" i="2"/>
  <c r="Q4377" i="2"/>
  <c r="R4376" i="2"/>
  <c r="Q4376" i="2"/>
  <c r="R4375" i="2"/>
  <c r="Q4375" i="2"/>
  <c r="R4374" i="2"/>
  <c r="Q4374" i="2"/>
  <c r="R4373" i="2"/>
  <c r="Q4373" i="2"/>
  <c r="R4372" i="2"/>
  <c r="Q4372" i="2"/>
  <c r="R4371" i="2"/>
  <c r="Q4371" i="2"/>
  <c r="R4370" i="2"/>
  <c r="Q4370" i="2"/>
  <c r="R4369" i="2"/>
  <c r="Q4369" i="2"/>
  <c r="R4368" i="2"/>
  <c r="Q4368" i="2"/>
  <c r="R4367" i="2"/>
  <c r="Q4367" i="2"/>
  <c r="R4366" i="2"/>
  <c r="Q4366" i="2"/>
  <c r="R4365" i="2"/>
  <c r="Q4365" i="2"/>
  <c r="R4364" i="2"/>
  <c r="Q4364" i="2"/>
  <c r="R4363" i="2"/>
  <c r="Q4363" i="2"/>
  <c r="R4362" i="2"/>
  <c r="Q4362" i="2"/>
  <c r="R4361" i="2"/>
  <c r="Q4361" i="2"/>
  <c r="R4360" i="2"/>
  <c r="Q4360" i="2"/>
  <c r="R4359" i="2"/>
  <c r="Q4359" i="2"/>
  <c r="R4358" i="2"/>
  <c r="Q4358" i="2"/>
  <c r="R4357" i="2"/>
  <c r="Q4357" i="2"/>
  <c r="R4356" i="2"/>
  <c r="Q4356" i="2"/>
  <c r="R4355" i="2"/>
  <c r="Q4355" i="2"/>
  <c r="R4354" i="2"/>
  <c r="Q4354" i="2"/>
  <c r="R4353" i="2"/>
  <c r="Q4353" i="2"/>
  <c r="R4352" i="2"/>
  <c r="Q4352" i="2"/>
  <c r="R4351" i="2"/>
  <c r="Q4351" i="2"/>
  <c r="R4350" i="2"/>
  <c r="Q4350" i="2"/>
  <c r="R4349" i="2"/>
  <c r="Q4349" i="2"/>
  <c r="R4348" i="2"/>
  <c r="Q4348" i="2"/>
  <c r="R4347" i="2"/>
  <c r="Q4347" i="2"/>
  <c r="R4346" i="2"/>
  <c r="Q4346" i="2"/>
  <c r="R4345" i="2"/>
  <c r="Q4345" i="2"/>
  <c r="R4344" i="2"/>
  <c r="Q4344" i="2"/>
  <c r="R4343" i="2"/>
  <c r="Q4343" i="2"/>
  <c r="R4342" i="2"/>
  <c r="Q4342" i="2"/>
  <c r="R4341" i="2"/>
  <c r="Q4341" i="2"/>
  <c r="R4340" i="2"/>
  <c r="Q4340" i="2"/>
  <c r="R4339" i="2"/>
  <c r="Q4339" i="2"/>
  <c r="R4338" i="2"/>
  <c r="Q4338" i="2"/>
  <c r="R4337" i="2"/>
  <c r="Q4337" i="2"/>
  <c r="R4336" i="2"/>
  <c r="Q4336" i="2"/>
  <c r="R4335" i="2"/>
  <c r="Q4335" i="2"/>
  <c r="R4334" i="2"/>
  <c r="Q4334" i="2"/>
  <c r="R4333" i="2"/>
  <c r="Q4333" i="2"/>
  <c r="R4332" i="2"/>
  <c r="Q4332" i="2"/>
  <c r="R4331" i="2"/>
  <c r="Q4331" i="2"/>
  <c r="R4330" i="2"/>
  <c r="Q4330" i="2"/>
  <c r="R4329" i="2"/>
  <c r="Q4329" i="2"/>
  <c r="R4328" i="2"/>
  <c r="Q4328" i="2"/>
  <c r="R4327" i="2"/>
  <c r="Q4327" i="2"/>
  <c r="R4326" i="2"/>
  <c r="Q4326" i="2"/>
  <c r="R4325" i="2"/>
  <c r="Q4325" i="2"/>
  <c r="R4324" i="2"/>
  <c r="Q4324" i="2"/>
  <c r="R4323" i="2"/>
  <c r="Q4323" i="2"/>
  <c r="R4322" i="2"/>
  <c r="Q4322" i="2"/>
  <c r="R4321" i="2"/>
  <c r="Q4321" i="2"/>
  <c r="R4320" i="2"/>
  <c r="Q4320" i="2"/>
  <c r="R4319" i="2"/>
  <c r="Q4319" i="2"/>
  <c r="R4318" i="2"/>
  <c r="Q4318" i="2"/>
  <c r="R4317" i="2"/>
  <c r="Q4317" i="2"/>
  <c r="R4316" i="2"/>
  <c r="Q4316" i="2"/>
  <c r="R4315" i="2"/>
  <c r="Q4315" i="2"/>
  <c r="R4314" i="2"/>
  <c r="Q4314" i="2"/>
  <c r="R4313" i="2"/>
  <c r="Q4313" i="2"/>
  <c r="R4312" i="2"/>
  <c r="Q4312" i="2"/>
  <c r="R4311" i="2"/>
  <c r="Q4311" i="2"/>
  <c r="R4310" i="2"/>
  <c r="Q4310" i="2"/>
  <c r="R4309" i="2"/>
  <c r="Q4309" i="2"/>
  <c r="R4308" i="2"/>
  <c r="Q4308" i="2"/>
  <c r="R4307" i="2"/>
  <c r="Q4307" i="2"/>
  <c r="R4306" i="2"/>
  <c r="Q4306" i="2"/>
  <c r="R4305" i="2"/>
  <c r="Q4305" i="2"/>
  <c r="R4304" i="2"/>
  <c r="Q4304" i="2"/>
  <c r="R4303" i="2"/>
  <c r="Q4303" i="2"/>
  <c r="R4302" i="2"/>
  <c r="Q4302" i="2"/>
  <c r="R4301" i="2"/>
  <c r="Q4301" i="2"/>
  <c r="R4300" i="2"/>
  <c r="Q4300" i="2"/>
  <c r="R4299" i="2"/>
  <c r="Q4299" i="2"/>
  <c r="R4298" i="2"/>
  <c r="Q4298" i="2"/>
  <c r="R4297" i="2"/>
  <c r="Q4297" i="2"/>
  <c r="R4296" i="2"/>
  <c r="Q4296" i="2"/>
  <c r="R4295" i="2"/>
  <c r="Q4295" i="2"/>
  <c r="R4294" i="2"/>
  <c r="Q4294" i="2"/>
  <c r="R4293" i="2"/>
  <c r="Q4293" i="2"/>
  <c r="R4292" i="2"/>
  <c r="Q4292" i="2"/>
  <c r="R4291" i="2"/>
  <c r="Q4291" i="2"/>
  <c r="R4290" i="2"/>
  <c r="Q4290" i="2"/>
  <c r="R4289" i="2"/>
  <c r="Q4289" i="2"/>
  <c r="R4288" i="2"/>
  <c r="Q4288" i="2"/>
  <c r="R4287" i="2"/>
  <c r="Q4287" i="2"/>
  <c r="R4286" i="2"/>
  <c r="Q4286" i="2"/>
  <c r="R4285" i="2"/>
  <c r="Q4285" i="2"/>
  <c r="R4284" i="2"/>
  <c r="Q4284" i="2"/>
  <c r="R4283" i="2"/>
  <c r="Q4283" i="2"/>
  <c r="R4282" i="2"/>
  <c r="Q4282" i="2"/>
  <c r="R4281" i="2"/>
  <c r="Q4281" i="2"/>
  <c r="R4280" i="2"/>
  <c r="Q4280" i="2"/>
  <c r="R4279" i="2"/>
  <c r="Q4279" i="2"/>
  <c r="R4278" i="2"/>
  <c r="Q4278" i="2"/>
  <c r="R4277" i="2"/>
  <c r="Q4277" i="2"/>
  <c r="R4276" i="2"/>
  <c r="Q4276" i="2"/>
  <c r="R4275" i="2"/>
  <c r="Q4275" i="2"/>
  <c r="R4274" i="2"/>
  <c r="Q4274" i="2"/>
  <c r="R4273" i="2"/>
  <c r="Q4273" i="2"/>
  <c r="R4272" i="2"/>
  <c r="Q4272" i="2"/>
  <c r="R4271" i="2"/>
  <c r="Q4271" i="2"/>
  <c r="R4270" i="2"/>
  <c r="Q4270" i="2"/>
  <c r="R4269" i="2"/>
  <c r="Q4269" i="2"/>
  <c r="R4268" i="2"/>
  <c r="Q4268" i="2"/>
  <c r="R4267" i="2"/>
  <c r="Q4267" i="2"/>
  <c r="R4266" i="2"/>
  <c r="Q4266" i="2"/>
  <c r="R4265" i="2"/>
  <c r="Q4265" i="2"/>
  <c r="R4264" i="2"/>
  <c r="Q4264" i="2"/>
  <c r="R4263" i="2"/>
  <c r="Q4263" i="2"/>
  <c r="R4262" i="2"/>
  <c r="Q4262" i="2"/>
  <c r="R4261" i="2"/>
  <c r="Q4261" i="2"/>
  <c r="R4260" i="2"/>
  <c r="Q4260" i="2"/>
  <c r="R4259" i="2"/>
  <c r="Q4259" i="2"/>
  <c r="R4258" i="2"/>
  <c r="Q4258" i="2"/>
  <c r="R4257" i="2"/>
  <c r="Q4257" i="2"/>
  <c r="R4256" i="2"/>
  <c r="Q4256" i="2"/>
  <c r="R4255" i="2"/>
  <c r="Q4255" i="2"/>
  <c r="R4254" i="2"/>
  <c r="Q4254" i="2"/>
  <c r="R4253" i="2"/>
  <c r="Q4253" i="2"/>
  <c r="R4252" i="2"/>
  <c r="Q4252" i="2"/>
  <c r="R4251" i="2"/>
  <c r="Q4251" i="2"/>
  <c r="R4250" i="2"/>
  <c r="Q4250" i="2"/>
  <c r="R4249" i="2"/>
  <c r="Q4249" i="2"/>
  <c r="R4248" i="2"/>
  <c r="Q4248" i="2"/>
  <c r="R4247" i="2"/>
  <c r="Q4247" i="2"/>
  <c r="R4246" i="2"/>
  <c r="Q4246" i="2"/>
  <c r="R4245" i="2"/>
  <c r="Q4245" i="2"/>
  <c r="R4244" i="2"/>
  <c r="Q4244" i="2"/>
  <c r="R4243" i="2"/>
  <c r="Q4243" i="2"/>
  <c r="R4242" i="2"/>
  <c r="Q4242" i="2"/>
  <c r="R4241" i="2"/>
  <c r="Q4241" i="2"/>
  <c r="R4240" i="2"/>
  <c r="Q4240" i="2"/>
  <c r="R4239" i="2"/>
  <c r="Q4239" i="2"/>
  <c r="R4238" i="2"/>
  <c r="Q4238" i="2"/>
  <c r="R4237" i="2"/>
  <c r="Q4237" i="2"/>
  <c r="R4236" i="2"/>
  <c r="Q4236" i="2"/>
  <c r="R4235" i="2"/>
  <c r="Q4235" i="2"/>
  <c r="R4234" i="2"/>
  <c r="Q4234" i="2"/>
  <c r="R4233" i="2"/>
  <c r="Q4233" i="2"/>
  <c r="R4232" i="2"/>
  <c r="Q4232" i="2"/>
  <c r="R4231" i="2"/>
  <c r="Q4231" i="2"/>
  <c r="R4230" i="2"/>
  <c r="Q4230" i="2"/>
  <c r="R4229" i="2"/>
  <c r="Q4229" i="2"/>
  <c r="R4228" i="2"/>
  <c r="Q4228" i="2"/>
  <c r="R4227" i="2"/>
  <c r="Q4227" i="2"/>
  <c r="R4226" i="2"/>
  <c r="Q4226" i="2"/>
  <c r="R4225" i="2"/>
  <c r="Q4225" i="2"/>
  <c r="R4224" i="2"/>
  <c r="Q4224" i="2"/>
  <c r="R4223" i="2"/>
  <c r="Q4223" i="2"/>
  <c r="R4222" i="2"/>
  <c r="Q4222" i="2"/>
  <c r="R4221" i="2"/>
  <c r="Q4221" i="2"/>
  <c r="R4220" i="2"/>
  <c r="Q4220" i="2"/>
  <c r="R4219" i="2"/>
  <c r="Q4219" i="2"/>
  <c r="R4218" i="2"/>
  <c r="Q4218" i="2"/>
  <c r="R4217" i="2"/>
  <c r="Q4217" i="2"/>
  <c r="R4216" i="2"/>
  <c r="Q4216" i="2"/>
  <c r="R4215" i="2"/>
  <c r="Q4215" i="2"/>
  <c r="R4214" i="2"/>
  <c r="Q4214" i="2"/>
  <c r="R4213" i="2"/>
  <c r="Q4213" i="2"/>
  <c r="R4212" i="2"/>
  <c r="Q4212" i="2"/>
  <c r="R4211" i="2"/>
  <c r="Q4211" i="2"/>
  <c r="R4210" i="2"/>
  <c r="Q4210" i="2"/>
  <c r="R4209" i="2"/>
  <c r="Q4209" i="2"/>
  <c r="R4208" i="2"/>
  <c r="Q4208" i="2"/>
  <c r="R4207" i="2"/>
  <c r="Q4207" i="2"/>
  <c r="R4206" i="2"/>
  <c r="Q4206" i="2"/>
  <c r="R4205" i="2"/>
  <c r="Q4205" i="2"/>
  <c r="R4204" i="2"/>
  <c r="Q4204" i="2"/>
  <c r="R4203" i="2"/>
  <c r="Q4203" i="2"/>
  <c r="R4202" i="2"/>
  <c r="Q4202" i="2"/>
  <c r="R4201" i="2"/>
  <c r="Q4201" i="2"/>
  <c r="R4200" i="2"/>
  <c r="Q4200" i="2"/>
  <c r="R4199" i="2"/>
  <c r="Q4199" i="2"/>
  <c r="R4198" i="2"/>
  <c r="Q4198" i="2"/>
  <c r="R4197" i="2"/>
  <c r="Q4197" i="2"/>
  <c r="R4196" i="2"/>
  <c r="Q4196" i="2"/>
  <c r="R4195" i="2"/>
  <c r="Q4195" i="2"/>
  <c r="R4194" i="2"/>
  <c r="Q4194" i="2"/>
  <c r="R4193" i="2"/>
  <c r="Q4193" i="2"/>
  <c r="R4192" i="2"/>
  <c r="Q4192" i="2"/>
  <c r="R4191" i="2"/>
  <c r="Q4191" i="2"/>
  <c r="R4190" i="2"/>
  <c r="Q4190" i="2"/>
  <c r="R4189" i="2"/>
  <c r="Q4189" i="2"/>
  <c r="R4188" i="2"/>
  <c r="Q4188" i="2"/>
  <c r="R4187" i="2"/>
  <c r="Q4187" i="2"/>
  <c r="R4186" i="2"/>
  <c r="Q4186" i="2"/>
  <c r="R4185" i="2"/>
  <c r="Q4185" i="2"/>
  <c r="R4184" i="2"/>
  <c r="Q4184" i="2"/>
  <c r="R4183" i="2"/>
  <c r="Q4183" i="2"/>
  <c r="R4182" i="2"/>
  <c r="Q4182" i="2"/>
  <c r="R4181" i="2"/>
  <c r="Q4181" i="2"/>
  <c r="R4180" i="2"/>
  <c r="Q4180" i="2"/>
  <c r="R4179" i="2"/>
  <c r="Q4179" i="2"/>
  <c r="R4178" i="2"/>
  <c r="Q4178" i="2"/>
  <c r="R4177" i="2"/>
  <c r="Q4177" i="2"/>
  <c r="R4176" i="2"/>
  <c r="Q4176" i="2"/>
  <c r="R4175" i="2"/>
  <c r="Q4175" i="2"/>
  <c r="R4174" i="2"/>
  <c r="Q4174" i="2"/>
  <c r="R4173" i="2"/>
  <c r="Q4173" i="2"/>
  <c r="R4172" i="2"/>
  <c r="Q4172" i="2"/>
  <c r="R4171" i="2"/>
  <c r="Q4171" i="2"/>
  <c r="R4170" i="2"/>
  <c r="Q4170" i="2"/>
  <c r="R4169" i="2"/>
  <c r="Q4169" i="2"/>
  <c r="R4168" i="2"/>
  <c r="Q4168" i="2"/>
  <c r="R4167" i="2"/>
  <c r="Q4167" i="2"/>
  <c r="R4166" i="2"/>
  <c r="Q4166" i="2"/>
  <c r="R4165" i="2"/>
  <c r="Q4165" i="2"/>
  <c r="R4164" i="2"/>
  <c r="Q4164" i="2"/>
  <c r="R4163" i="2"/>
  <c r="Q4163" i="2"/>
  <c r="R4162" i="2"/>
  <c r="Q4162" i="2"/>
  <c r="R4161" i="2"/>
  <c r="Q4161" i="2"/>
  <c r="R4160" i="2"/>
  <c r="Q4160" i="2"/>
  <c r="R4159" i="2"/>
  <c r="Q4159" i="2"/>
  <c r="R4158" i="2"/>
  <c r="Q4158" i="2"/>
  <c r="R4157" i="2"/>
  <c r="Q4157" i="2"/>
  <c r="R4156" i="2"/>
  <c r="Q4156" i="2"/>
  <c r="R4155" i="2"/>
  <c r="Q4155" i="2"/>
  <c r="R4154" i="2"/>
  <c r="Q4154" i="2"/>
  <c r="R4153" i="2"/>
  <c r="Q4153" i="2"/>
  <c r="R4152" i="2"/>
  <c r="Q4152" i="2"/>
  <c r="R4151" i="2"/>
  <c r="Q4151" i="2"/>
  <c r="R4150" i="2"/>
  <c r="Q4150" i="2"/>
  <c r="R4149" i="2"/>
  <c r="Q4149" i="2"/>
  <c r="R4148" i="2"/>
  <c r="Q4148" i="2"/>
  <c r="R4147" i="2"/>
  <c r="Q4147" i="2"/>
  <c r="R4146" i="2"/>
  <c r="Q4146" i="2"/>
  <c r="R4145" i="2"/>
  <c r="Q4145" i="2"/>
  <c r="R4144" i="2"/>
  <c r="Q4144" i="2"/>
  <c r="R4143" i="2"/>
  <c r="Q4143" i="2"/>
  <c r="R4142" i="2"/>
  <c r="Q4142" i="2"/>
  <c r="R4141" i="2"/>
  <c r="Q4141" i="2"/>
  <c r="R4140" i="2"/>
  <c r="Q4140" i="2"/>
  <c r="R4139" i="2"/>
  <c r="Q4139" i="2"/>
  <c r="R4138" i="2"/>
  <c r="Q4138" i="2"/>
  <c r="R4137" i="2"/>
  <c r="Q4137" i="2"/>
  <c r="R4136" i="2"/>
  <c r="Q4136" i="2"/>
  <c r="R4135" i="2"/>
  <c r="Q4135" i="2"/>
  <c r="R4134" i="2"/>
  <c r="Q4134" i="2"/>
  <c r="R4133" i="2"/>
  <c r="Q4133" i="2"/>
  <c r="R4132" i="2"/>
  <c r="Q4132" i="2"/>
  <c r="R4131" i="2"/>
  <c r="Q4131" i="2"/>
  <c r="R4130" i="2"/>
  <c r="Q4130" i="2"/>
  <c r="R4129" i="2"/>
  <c r="Q4129" i="2"/>
  <c r="R4128" i="2"/>
  <c r="Q4128" i="2"/>
  <c r="R4127" i="2"/>
  <c r="Q4127" i="2"/>
  <c r="R4126" i="2"/>
  <c r="Q4126" i="2"/>
  <c r="R4125" i="2"/>
  <c r="Q4125" i="2"/>
  <c r="R4124" i="2"/>
  <c r="Q4124" i="2"/>
  <c r="R4123" i="2"/>
  <c r="Q4123" i="2"/>
  <c r="R4122" i="2"/>
  <c r="Q4122" i="2"/>
  <c r="R4121" i="2"/>
  <c r="Q4121" i="2"/>
  <c r="R4120" i="2"/>
  <c r="Q4120" i="2"/>
  <c r="R4119" i="2"/>
  <c r="Q4119" i="2"/>
  <c r="R4118" i="2"/>
  <c r="Q4118" i="2"/>
  <c r="R4117" i="2"/>
  <c r="Q4117" i="2"/>
  <c r="R4116" i="2"/>
  <c r="Q4116" i="2"/>
  <c r="R4115" i="2"/>
  <c r="Q4115" i="2"/>
  <c r="R4114" i="2"/>
  <c r="Q4114" i="2"/>
  <c r="R4113" i="2"/>
  <c r="Q4113" i="2"/>
  <c r="R4112" i="2"/>
  <c r="Q4112" i="2"/>
  <c r="R4111" i="2"/>
  <c r="Q4111" i="2"/>
  <c r="R4110" i="2"/>
  <c r="Q4110" i="2"/>
  <c r="R4109" i="2"/>
  <c r="Q4109" i="2"/>
  <c r="R4108" i="2"/>
  <c r="Q4108" i="2"/>
  <c r="R4107" i="2"/>
  <c r="Q4107" i="2"/>
  <c r="R4106" i="2"/>
  <c r="Q4106" i="2"/>
  <c r="R4105" i="2"/>
  <c r="Q4105" i="2"/>
  <c r="R4104" i="2"/>
  <c r="Q4104" i="2"/>
  <c r="R4103" i="2"/>
  <c r="Q4103" i="2"/>
  <c r="R4102" i="2"/>
  <c r="Q4102" i="2"/>
  <c r="R4101" i="2"/>
  <c r="Q4101" i="2"/>
  <c r="R4100" i="2"/>
  <c r="Q4100" i="2"/>
  <c r="R4099" i="2"/>
  <c r="Q4099" i="2"/>
  <c r="R4098" i="2"/>
  <c r="Q4098" i="2"/>
  <c r="R4097" i="2"/>
  <c r="Q4097" i="2"/>
  <c r="R4096" i="2"/>
  <c r="Q4096" i="2"/>
  <c r="R4095" i="2"/>
  <c r="Q4095" i="2"/>
  <c r="R4094" i="2"/>
  <c r="Q4094" i="2"/>
  <c r="R4093" i="2"/>
  <c r="Q4093" i="2"/>
  <c r="R4092" i="2"/>
  <c r="Q4092" i="2"/>
  <c r="R4091" i="2"/>
  <c r="Q4091" i="2"/>
  <c r="R4090" i="2"/>
  <c r="Q4090" i="2"/>
  <c r="R4089" i="2"/>
  <c r="Q4089" i="2"/>
  <c r="R4088" i="2"/>
  <c r="Q4088" i="2"/>
  <c r="R4087" i="2"/>
  <c r="Q4087" i="2"/>
  <c r="R4086" i="2"/>
  <c r="Q4086" i="2"/>
  <c r="R4085" i="2"/>
  <c r="Q4085" i="2"/>
  <c r="R4084" i="2"/>
  <c r="Q4084" i="2"/>
  <c r="R4083" i="2"/>
  <c r="Q4083" i="2"/>
  <c r="R4082" i="2"/>
  <c r="Q4082" i="2"/>
  <c r="R4081" i="2"/>
  <c r="Q4081" i="2"/>
  <c r="R4080" i="2"/>
  <c r="Q4080" i="2"/>
  <c r="R4079" i="2"/>
  <c r="Q4079" i="2"/>
  <c r="R4078" i="2"/>
  <c r="Q4078" i="2"/>
  <c r="R4077" i="2"/>
  <c r="Q4077" i="2"/>
  <c r="R4076" i="2"/>
  <c r="Q4076" i="2"/>
  <c r="R4075" i="2"/>
  <c r="Q4075" i="2"/>
  <c r="R4074" i="2"/>
  <c r="Q4074" i="2"/>
  <c r="R4073" i="2"/>
  <c r="Q4073" i="2"/>
  <c r="R4072" i="2"/>
  <c r="Q4072" i="2"/>
  <c r="R4071" i="2"/>
  <c r="Q4071" i="2"/>
  <c r="R4070" i="2"/>
  <c r="Q4070" i="2"/>
  <c r="R4069" i="2"/>
  <c r="Q4069" i="2"/>
  <c r="R4068" i="2"/>
  <c r="Q4068" i="2"/>
  <c r="R4067" i="2"/>
  <c r="Q4067" i="2"/>
  <c r="R4066" i="2"/>
  <c r="Q4066" i="2"/>
  <c r="R4065" i="2"/>
  <c r="Q4065" i="2"/>
  <c r="R4064" i="2"/>
  <c r="Q4064" i="2"/>
  <c r="R4063" i="2"/>
  <c r="Q4063" i="2"/>
  <c r="R4062" i="2"/>
  <c r="Q4062" i="2"/>
  <c r="R4061" i="2"/>
  <c r="Q4061" i="2"/>
  <c r="R4060" i="2"/>
  <c r="Q4060" i="2"/>
  <c r="R4059" i="2"/>
  <c r="Q4059" i="2"/>
  <c r="R4058" i="2"/>
  <c r="Q4058" i="2"/>
  <c r="R4057" i="2"/>
  <c r="Q4057" i="2"/>
  <c r="R4056" i="2"/>
  <c r="Q4056" i="2"/>
  <c r="R4055" i="2"/>
  <c r="Q4055" i="2"/>
  <c r="R4054" i="2"/>
  <c r="Q4054" i="2"/>
  <c r="R4053" i="2"/>
  <c r="Q4053" i="2"/>
  <c r="R4052" i="2"/>
  <c r="Q4052" i="2"/>
  <c r="R4051" i="2"/>
  <c r="Q4051" i="2"/>
  <c r="R4050" i="2"/>
  <c r="Q4050" i="2"/>
  <c r="R4049" i="2"/>
  <c r="Q4049" i="2"/>
  <c r="R4048" i="2"/>
  <c r="Q4048" i="2"/>
  <c r="R4047" i="2"/>
  <c r="Q4047" i="2"/>
  <c r="R4046" i="2"/>
  <c r="Q4046" i="2"/>
  <c r="R4045" i="2"/>
  <c r="Q4045" i="2"/>
  <c r="R4044" i="2"/>
  <c r="Q4044" i="2"/>
  <c r="R4043" i="2"/>
  <c r="Q4043" i="2"/>
  <c r="R4042" i="2"/>
  <c r="Q4042" i="2"/>
  <c r="R4041" i="2"/>
  <c r="Q4041" i="2"/>
  <c r="R4040" i="2"/>
  <c r="Q4040" i="2"/>
  <c r="R4039" i="2"/>
  <c r="Q4039" i="2"/>
  <c r="R4038" i="2"/>
  <c r="Q4038" i="2"/>
  <c r="R4037" i="2"/>
  <c r="Q4037" i="2"/>
  <c r="R4036" i="2"/>
  <c r="Q4036" i="2"/>
  <c r="R4035" i="2"/>
  <c r="Q4035" i="2"/>
  <c r="R4034" i="2"/>
  <c r="Q4034" i="2"/>
  <c r="R4033" i="2"/>
  <c r="Q4033" i="2"/>
  <c r="R4032" i="2"/>
  <c r="Q4032" i="2"/>
  <c r="R4031" i="2"/>
  <c r="Q4031" i="2"/>
  <c r="R4030" i="2"/>
  <c r="Q4030" i="2"/>
  <c r="R4029" i="2"/>
  <c r="Q4029" i="2"/>
  <c r="R4028" i="2"/>
  <c r="Q4028" i="2"/>
  <c r="R4027" i="2"/>
  <c r="Q4027" i="2"/>
  <c r="R4026" i="2"/>
  <c r="Q4026" i="2"/>
  <c r="R4025" i="2"/>
  <c r="Q4025" i="2"/>
  <c r="R4024" i="2"/>
  <c r="Q4024" i="2"/>
  <c r="R4023" i="2"/>
  <c r="Q4023" i="2"/>
  <c r="R4022" i="2"/>
  <c r="Q4022" i="2"/>
  <c r="R4021" i="2"/>
  <c r="Q4021" i="2"/>
  <c r="R4020" i="2"/>
  <c r="Q4020" i="2"/>
  <c r="R4019" i="2"/>
  <c r="Q4019" i="2"/>
  <c r="R4018" i="2"/>
  <c r="Q4018" i="2"/>
  <c r="R4017" i="2"/>
  <c r="Q4017" i="2"/>
  <c r="R4016" i="2"/>
  <c r="Q4016" i="2"/>
  <c r="R4015" i="2"/>
  <c r="Q4015" i="2"/>
  <c r="R4014" i="2"/>
  <c r="Q4014" i="2"/>
  <c r="R4013" i="2"/>
  <c r="Q4013" i="2"/>
  <c r="R4012" i="2"/>
  <c r="Q4012" i="2"/>
  <c r="R4011" i="2"/>
  <c r="Q4011" i="2"/>
  <c r="R4010" i="2"/>
  <c r="Q4010" i="2"/>
  <c r="R4009" i="2"/>
  <c r="Q4009" i="2"/>
  <c r="R4008" i="2"/>
  <c r="Q4008" i="2"/>
  <c r="R4007" i="2"/>
  <c r="Q4007" i="2"/>
  <c r="R4006" i="2"/>
  <c r="Q4006" i="2"/>
  <c r="R4005" i="2"/>
  <c r="Q4005" i="2"/>
  <c r="R4004" i="2"/>
  <c r="Q4004" i="2"/>
  <c r="R4003" i="2"/>
  <c r="Q4003" i="2"/>
  <c r="R4002" i="2"/>
  <c r="Q4002" i="2"/>
  <c r="R4001" i="2"/>
  <c r="Q4001" i="2"/>
  <c r="R4000" i="2"/>
  <c r="Q4000" i="2"/>
  <c r="R3999" i="2"/>
  <c r="Q3999" i="2"/>
  <c r="R3998" i="2"/>
  <c r="Q3998" i="2"/>
  <c r="R3997" i="2"/>
  <c r="Q3997" i="2"/>
  <c r="R3996" i="2"/>
  <c r="Q3996" i="2"/>
  <c r="R3995" i="2"/>
  <c r="Q3995" i="2"/>
  <c r="R3994" i="2"/>
  <c r="Q3994" i="2"/>
  <c r="R3993" i="2"/>
  <c r="Q3993" i="2"/>
  <c r="R3992" i="2"/>
  <c r="Q3992" i="2"/>
  <c r="R3991" i="2"/>
  <c r="Q3991" i="2"/>
  <c r="R3990" i="2"/>
  <c r="Q3990" i="2"/>
  <c r="R3989" i="2"/>
  <c r="Q3989" i="2"/>
  <c r="R3988" i="2"/>
  <c r="Q3988" i="2"/>
  <c r="R3987" i="2"/>
  <c r="Q3987" i="2"/>
  <c r="R3986" i="2"/>
  <c r="Q3986" i="2"/>
  <c r="R3985" i="2"/>
  <c r="Q3985" i="2"/>
  <c r="R3984" i="2"/>
  <c r="Q3984" i="2"/>
  <c r="R3983" i="2"/>
  <c r="Q3983" i="2"/>
  <c r="R3982" i="2"/>
  <c r="Q3982" i="2"/>
  <c r="R3981" i="2"/>
  <c r="Q3981" i="2"/>
  <c r="R3980" i="2"/>
  <c r="Q3980" i="2"/>
  <c r="R3979" i="2"/>
  <c r="Q3979" i="2"/>
  <c r="R3978" i="2"/>
  <c r="Q3978" i="2"/>
  <c r="R3977" i="2"/>
  <c r="Q3977" i="2"/>
  <c r="R3976" i="2"/>
  <c r="Q3976" i="2"/>
  <c r="R3975" i="2"/>
  <c r="Q3975" i="2"/>
  <c r="R3974" i="2"/>
  <c r="Q3974" i="2"/>
  <c r="R3973" i="2"/>
  <c r="Q3973" i="2"/>
  <c r="R3972" i="2"/>
  <c r="Q3972" i="2"/>
  <c r="R3971" i="2"/>
  <c r="Q3971" i="2"/>
  <c r="R3970" i="2"/>
  <c r="Q3970" i="2"/>
  <c r="R3969" i="2"/>
  <c r="Q3969" i="2"/>
  <c r="R3968" i="2"/>
  <c r="Q3968" i="2"/>
  <c r="R3967" i="2"/>
  <c r="Q3967" i="2"/>
  <c r="R3966" i="2"/>
  <c r="Q3966" i="2"/>
  <c r="R3965" i="2"/>
  <c r="Q3965" i="2"/>
  <c r="R3964" i="2"/>
  <c r="Q3964" i="2"/>
  <c r="R3963" i="2"/>
  <c r="Q3963" i="2"/>
  <c r="R3962" i="2"/>
  <c r="Q3962" i="2"/>
  <c r="R3961" i="2"/>
  <c r="Q3961" i="2"/>
  <c r="R3960" i="2"/>
  <c r="Q3960" i="2"/>
  <c r="R3959" i="2"/>
  <c r="Q3959" i="2"/>
  <c r="R3958" i="2"/>
  <c r="Q3958" i="2"/>
  <c r="R3957" i="2"/>
  <c r="Q3957" i="2"/>
  <c r="R3956" i="2"/>
  <c r="Q3956" i="2"/>
  <c r="R3955" i="2"/>
  <c r="Q3955" i="2"/>
  <c r="R3954" i="2"/>
  <c r="Q3954" i="2"/>
  <c r="R3953" i="2"/>
  <c r="Q3953" i="2"/>
  <c r="R3952" i="2"/>
  <c r="Q3952" i="2"/>
  <c r="R3951" i="2"/>
  <c r="Q3951" i="2"/>
  <c r="R3950" i="2"/>
  <c r="Q3950" i="2"/>
  <c r="R3949" i="2"/>
  <c r="Q3949" i="2"/>
  <c r="R3948" i="2"/>
  <c r="Q3948" i="2"/>
  <c r="R3947" i="2"/>
  <c r="Q3947" i="2"/>
  <c r="R3946" i="2"/>
  <c r="Q3946" i="2"/>
  <c r="R3945" i="2"/>
  <c r="Q3945" i="2"/>
  <c r="R3944" i="2"/>
  <c r="Q3944" i="2"/>
  <c r="R3943" i="2"/>
  <c r="Q3943" i="2"/>
  <c r="R3942" i="2"/>
  <c r="Q3942" i="2"/>
  <c r="R3941" i="2"/>
  <c r="Q3941" i="2"/>
  <c r="R3940" i="2"/>
  <c r="Q3940" i="2"/>
  <c r="R3939" i="2"/>
  <c r="Q3939" i="2"/>
  <c r="R3938" i="2"/>
  <c r="Q3938" i="2"/>
  <c r="R3937" i="2"/>
  <c r="Q3937" i="2"/>
  <c r="R3936" i="2"/>
  <c r="Q3936" i="2"/>
  <c r="R3935" i="2"/>
  <c r="Q3935" i="2"/>
  <c r="R3934" i="2"/>
  <c r="Q3934" i="2"/>
  <c r="R3933" i="2"/>
  <c r="Q3933" i="2"/>
  <c r="R3932" i="2"/>
  <c r="Q3932" i="2"/>
  <c r="R3931" i="2"/>
  <c r="Q3931" i="2"/>
  <c r="R3930" i="2"/>
  <c r="Q3930" i="2"/>
  <c r="R3929" i="2"/>
  <c r="Q3929" i="2"/>
  <c r="R3928" i="2"/>
  <c r="Q3928" i="2"/>
  <c r="R3927" i="2"/>
  <c r="Q3927" i="2"/>
  <c r="R3926" i="2"/>
  <c r="Q3926" i="2"/>
  <c r="R3925" i="2"/>
  <c r="Q3925" i="2"/>
  <c r="R3924" i="2"/>
  <c r="Q3924" i="2"/>
  <c r="R3923" i="2"/>
  <c r="Q3923" i="2"/>
  <c r="R3922" i="2"/>
  <c r="Q3922" i="2"/>
  <c r="R3921" i="2"/>
  <c r="Q3921" i="2"/>
  <c r="R3920" i="2"/>
  <c r="Q3920" i="2"/>
  <c r="R3919" i="2"/>
  <c r="Q3919" i="2"/>
  <c r="R3918" i="2"/>
  <c r="Q3918" i="2"/>
  <c r="R3917" i="2"/>
  <c r="Q3917" i="2"/>
  <c r="R3916" i="2"/>
  <c r="Q3916" i="2"/>
  <c r="R3915" i="2"/>
  <c r="Q3915" i="2"/>
  <c r="R3914" i="2"/>
  <c r="Q3914" i="2"/>
  <c r="R3913" i="2"/>
  <c r="Q3913" i="2"/>
  <c r="R3912" i="2"/>
  <c r="Q3912" i="2"/>
  <c r="R3911" i="2"/>
  <c r="Q3911" i="2"/>
  <c r="R3910" i="2"/>
  <c r="Q3910" i="2"/>
  <c r="R3909" i="2"/>
  <c r="Q3909" i="2"/>
  <c r="R3908" i="2"/>
  <c r="Q3908" i="2"/>
  <c r="R3907" i="2"/>
  <c r="Q3907" i="2"/>
  <c r="R3906" i="2"/>
  <c r="Q3906" i="2"/>
  <c r="R3905" i="2"/>
  <c r="Q3905" i="2"/>
  <c r="R3904" i="2"/>
  <c r="Q3904" i="2"/>
  <c r="R3903" i="2"/>
  <c r="Q3903" i="2"/>
  <c r="R3902" i="2"/>
  <c r="Q3902" i="2"/>
  <c r="R3901" i="2"/>
  <c r="Q3901" i="2"/>
  <c r="R3900" i="2"/>
  <c r="Q3900" i="2"/>
  <c r="R3899" i="2"/>
  <c r="Q3899" i="2"/>
  <c r="R3898" i="2"/>
  <c r="Q3898" i="2"/>
  <c r="R3897" i="2"/>
  <c r="Q3897" i="2"/>
  <c r="R3896" i="2"/>
  <c r="Q3896" i="2"/>
  <c r="R3895" i="2"/>
  <c r="Q3895" i="2"/>
  <c r="R3894" i="2"/>
  <c r="Q3894" i="2"/>
  <c r="R3893" i="2"/>
  <c r="Q3893" i="2"/>
  <c r="R3892" i="2"/>
  <c r="Q3892" i="2"/>
  <c r="R3891" i="2"/>
  <c r="Q3891" i="2"/>
  <c r="R3890" i="2"/>
  <c r="Q3890" i="2"/>
  <c r="R3889" i="2"/>
  <c r="Q3889" i="2"/>
  <c r="R3888" i="2"/>
  <c r="Q3888" i="2"/>
  <c r="R3887" i="2"/>
  <c r="Q3887" i="2"/>
  <c r="R3886" i="2"/>
  <c r="Q3886" i="2"/>
  <c r="R3885" i="2"/>
  <c r="Q3885" i="2"/>
  <c r="R3884" i="2"/>
  <c r="Q3884" i="2"/>
  <c r="R3883" i="2"/>
  <c r="Q3883" i="2"/>
  <c r="R3882" i="2"/>
  <c r="Q3882" i="2"/>
  <c r="R3881" i="2"/>
  <c r="Q3881" i="2"/>
  <c r="R3880" i="2"/>
  <c r="Q3880" i="2"/>
  <c r="R3879" i="2"/>
  <c r="Q3879" i="2"/>
  <c r="R3878" i="2"/>
  <c r="Q3878" i="2"/>
  <c r="R3877" i="2"/>
  <c r="Q3877" i="2"/>
  <c r="R3876" i="2"/>
  <c r="Q3876" i="2"/>
  <c r="R3875" i="2"/>
  <c r="Q3875" i="2"/>
  <c r="R3874" i="2"/>
  <c r="Q3874" i="2"/>
  <c r="R3873" i="2"/>
  <c r="Q3873" i="2"/>
  <c r="R3872" i="2"/>
  <c r="Q3872" i="2"/>
  <c r="R3871" i="2"/>
  <c r="Q3871" i="2"/>
  <c r="R3870" i="2"/>
  <c r="Q3870" i="2"/>
  <c r="R3869" i="2"/>
  <c r="Q3869" i="2"/>
  <c r="R3868" i="2"/>
  <c r="Q3868" i="2"/>
  <c r="R3867" i="2"/>
  <c r="Q3867" i="2"/>
  <c r="R3866" i="2"/>
  <c r="Q3866" i="2"/>
  <c r="R3865" i="2"/>
  <c r="Q3865" i="2"/>
  <c r="R3864" i="2"/>
  <c r="Q3864" i="2"/>
  <c r="R3863" i="2"/>
  <c r="Q3863" i="2"/>
  <c r="R3862" i="2"/>
  <c r="Q3862" i="2"/>
  <c r="R3861" i="2"/>
  <c r="Q3861" i="2"/>
  <c r="R3860" i="2"/>
  <c r="Q3860" i="2"/>
  <c r="R3859" i="2"/>
  <c r="Q3859" i="2"/>
  <c r="R3858" i="2"/>
  <c r="Q3858" i="2"/>
  <c r="R3857" i="2"/>
  <c r="Q3857" i="2"/>
  <c r="R3856" i="2"/>
  <c r="Q3856" i="2"/>
  <c r="R3855" i="2"/>
  <c r="Q3855" i="2"/>
  <c r="R3854" i="2"/>
  <c r="Q3854" i="2"/>
  <c r="R3853" i="2"/>
  <c r="Q3853" i="2"/>
  <c r="R3852" i="2"/>
  <c r="Q3852" i="2"/>
  <c r="R3851" i="2"/>
  <c r="Q3851" i="2"/>
  <c r="R3850" i="2"/>
  <c r="Q3850" i="2"/>
  <c r="R3849" i="2"/>
  <c r="Q3849" i="2"/>
  <c r="R3848" i="2"/>
  <c r="Q3848" i="2"/>
  <c r="R3847" i="2"/>
  <c r="Q3847" i="2"/>
  <c r="R3846" i="2"/>
  <c r="Q3846" i="2"/>
  <c r="R3845" i="2"/>
  <c r="Q3845" i="2"/>
  <c r="R3844" i="2"/>
  <c r="Q3844" i="2"/>
  <c r="R3843" i="2"/>
  <c r="Q3843" i="2"/>
  <c r="R3842" i="2"/>
  <c r="Q3842" i="2"/>
  <c r="R3841" i="2"/>
  <c r="Q3841" i="2"/>
  <c r="R3840" i="2"/>
  <c r="Q3840" i="2"/>
  <c r="R3839" i="2"/>
  <c r="Q3839" i="2"/>
  <c r="R3838" i="2"/>
  <c r="Q3838" i="2"/>
  <c r="R3837" i="2"/>
  <c r="Q3837" i="2"/>
  <c r="R3836" i="2"/>
  <c r="Q3836" i="2"/>
  <c r="R3835" i="2"/>
  <c r="Q3835" i="2"/>
  <c r="R3834" i="2"/>
  <c r="Q3834" i="2"/>
  <c r="R3833" i="2"/>
  <c r="Q3833" i="2"/>
  <c r="R3832" i="2"/>
  <c r="Q3832" i="2"/>
  <c r="R3831" i="2"/>
  <c r="Q3831" i="2"/>
  <c r="R3830" i="2"/>
  <c r="Q3830" i="2"/>
  <c r="R3829" i="2"/>
  <c r="Q3829" i="2"/>
  <c r="R3828" i="2"/>
  <c r="Q3828" i="2"/>
  <c r="R3827" i="2"/>
  <c r="Q3827" i="2"/>
  <c r="R3826" i="2"/>
  <c r="Q3826" i="2"/>
  <c r="R3825" i="2"/>
  <c r="Q3825" i="2"/>
  <c r="R3824" i="2"/>
  <c r="Q3824" i="2"/>
  <c r="R3823" i="2"/>
  <c r="Q3823" i="2"/>
  <c r="R3822" i="2"/>
  <c r="Q3822" i="2"/>
  <c r="R3821" i="2"/>
  <c r="Q3821" i="2"/>
  <c r="R3820" i="2"/>
  <c r="Q3820" i="2"/>
  <c r="R3819" i="2"/>
  <c r="Q3819" i="2"/>
  <c r="R3818" i="2"/>
  <c r="Q3818" i="2"/>
  <c r="R3817" i="2"/>
  <c r="Q3817" i="2"/>
  <c r="R3816" i="2"/>
  <c r="Q3816" i="2"/>
  <c r="R3815" i="2"/>
  <c r="Q3815" i="2"/>
  <c r="R3814" i="2"/>
  <c r="Q3814" i="2"/>
  <c r="R3813" i="2"/>
  <c r="Q3813" i="2"/>
  <c r="R3812" i="2"/>
  <c r="Q3812" i="2"/>
  <c r="R3811" i="2"/>
  <c r="Q3811" i="2"/>
  <c r="R3810" i="2"/>
  <c r="Q3810" i="2"/>
  <c r="R3809" i="2"/>
  <c r="Q3809" i="2"/>
  <c r="R3808" i="2"/>
  <c r="Q3808" i="2"/>
  <c r="R3807" i="2"/>
  <c r="Q3807" i="2"/>
  <c r="R3806" i="2"/>
  <c r="Q3806" i="2"/>
  <c r="R3805" i="2"/>
  <c r="Q3805" i="2"/>
  <c r="R3804" i="2"/>
  <c r="Q3804" i="2"/>
  <c r="R3803" i="2"/>
  <c r="Q3803" i="2"/>
  <c r="R3802" i="2"/>
  <c r="Q3802" i="2"/>
  <c r="R3801" i="2"/>
  <c r="Q3801" i="2"/>
  <c r="R3800" i="2"/>
  <c r="Q3800" i="2"/>
  <c r="R3799" i="2"/>
  <c r="Q3799" i="2"/>
  <c r="R3798" i="2"/>
  <c r="Q3798" i="2"/>
  <c r="R3797" i="2"/>
  <c r="Q3797" i="2"/>
  <c r="R3796" i="2"/>
  <c r="Q3796" i="2"/>
  <c r="R3795" i="2"/>
  <c r="Q3795" i="2"/>
  <c r="R3794" i="2"/>
  <c r="Q3794" i="2"/>
  <c r="R3793" i="2"/>
  <c r="Q3793" i="2"/>
  <c r="R3792" i="2"/>
  <c r="Q3792" i="2"/>
  <c r="R3791" i="2"/>
  <c r="Q3791" i="2"/>
  <c r="R3790" i="2"/>
  <c r="Q3790" i="2"/>
  <c r="R3789" i="2"/>
  <c r="Q3789" i="2"/>
  <c r="R3788" i="2"/>
  <c r="Q3788" i="2"/>
  <c r="R3787" i="2"/>
  <c r="Q3787" i="2"/>
  <c r="R3786" i="2"/>
  <c r="Q3786" i="2"/>
  <c r="R3785" i="2"/>
  <c r="Q3785" i="2"/>
  <c r="R3784" i="2"/>
  <c r="Q3784" i="2"/>
  <c r="R3783" i="2"/>
  <c r="Q3783" i="2"/>
  <c r="R3782" i="2"/>
  <c r="Q3782" i="2"/>
  <c r="R3781" i="2"/>
  <c r="Q3781" i="2"/>
  <c r="R3780" i="2"/>
  <c r="Q3780" i="2"/>
  <c r="R3779" i="2"/>
  <c r="Q3779" i="2"/>
  <c r="R3778" i="2"/>
  <c r="Q3778" i="2"/>
  <c r="R3777" i="2"/>
  <c r="Q3777" i="2"/>
  <c r="R3776" i="2"/>
  <c r="Q3776" i="2"/>
  <c r="R3775" i="2"/>
  <c r="Q3775" i="2"/>
  <c r="R3774" i="2"/>
  <c r="Q3774" i="2"/>
  <c r="R3773" i="2"/>
  <c r="Q3773" i="2"/>
  <c r="R3772" i="2"/>
  <c r="Q3772" i="2"/>
  <c r="R3771" i="2"/>
  <c r="Q3771" i="2"/>
  <c r="R3770" i="2"/>
  <c r="Q3770" i="2"/>
  <c r="R3769" i="2"/>
  <c r="Q3769" i="2"/>
  <c r="R3768" i="2"/>
  <c r="Q3768" i="2"/>
  <c r="R3767" i="2"/>
  <c r="Q3767" i="2"/>
  <c r="R3766" i="2"/>
  <c r="Q3766" i="2"/>
  <c r="R3765" i="2"/>
  <c r="Q3765" i="2"/>
  <c r="R3764" i="2"/>
  <c r="Q3764" i="2"/>
  <c r="R3763" i="2"/>
  <c r="Q3763" i="2"/>
  <c r="R3762" i="2"/>
  <c r="Q3762" i="2"/>
  <c r="R3761" i="2"/>
  <c r="Q3761" i="2"/>
  <c r="R3760" i="2"/>
  <c r="Q3760" i="2"/>
  <c r="R3759" i="2"/>
  <c r="Q3759" i="2"/>
  <c r="R3758" i="2"/>
  <c r="Q3758" i="2"/>
  <c r="R3757" i="2"/>
  <c r="Q3757" i="2"/>
  <c r="R3756" i="2"/>
  <c r="Q3756" i="2"/>
  <c r="R3755" i="2"/>
  <c r="Q3755" i="2"/>
  <c r="R3754" i="2"/>
  <c r="Q3754" i="2"/>
  <c r="R3753" i="2"/>
  <c r="Q3753" i="2"/>
  <c r="R3752" i="2"/>
  <c r="Q3752" i="2"/>
  <c r="R3751" i="2"/>
  <c r="Q3751" i="2"/>
  <c r="R3750" i="2"/>
  <c r="Q3750" i="2"/>
  <c r="R3749" i="2"/>
  <c r="Q3749" i="2"/>
  <c r="R3748" i="2"/>
  <c r="Q3748" i="2"/>
  <c r="R3747" i="2"/>
  <c r="Q3747" i="2"/>
  <c r="R3746" i="2"/>
  <c r="Q3746" i="2"/>
  <c r="R3745" i="2"/>
  <c r="Q3745" i="2"/>
  <c r="R3744" i="2"/>
  <c r="Q3744" i="2"/>
  <c r="R3743" i="2"/>
  <c r="Q3743" i="2"/>
  <c r="R3742" i="2"/>
  <c r="Q3742" i="2"/>
  <c r="R3741" i="2"/>
  <c r="Q3741" i="2"/>
  <c r="R3740" i="2"/>
  <c r="Q3740" i="2"/>
  <c r="R3739" i="2"/>
  <c r="Q3739" i="2"/>
  <c r="R3738" i="2"/>
  <c r="Q3738" i="2"/>
  <c r="R3737" i="2"/>
  <c r="Q3737" i="2"/>
  <c r="R3736" i="2"/>
  <c r="Q3736" i="2"/>
  <c r="R3735" i="2"/>
  <c r="Q3735" i="2"/>
  <c r="R3734" i="2"/>
  <c r="Q3734" i="2"/>
  <c r="R3733" i="2"/>
  <c r="Q3733" i="2"/>
  <c r="R3732" i="2"/>
  <c r="Q3732" i="2"/>
  <c r="R3731" i="2"/>
  <c r="Q3731" i="2"/>
  <c r="R3730" i="2"/>
  <c r="Q3730" i="2"/>
  <c r="R3729" i="2"/>
  <c r="Q3729" i="2"/>
  <c r="R3728" i="2"/>
  <c r="Q3728" i="2"/>
  <c r="R3727" i="2"/>
  <c r="Q3727" i="2"/>
  <c r="R3726" i="2"/>
  <c r="Q3726" i="2"/>
  <c r="R3725" i="2"/>
  <c r="Q3725" i="2"/>
  <c r="R3724" i="2"/>
  <c r="Q3724" i="2"/>
  <c r="R3723" i="2"/>
  <c r="Q3723" i="2"/>
  <c r="R3722" i="2"/>
  <c r="Q3722" i="2"/>
  <c r="R3721" i="2"/>
  <c r="Q3721" i="2"/>
  <c r="R3720" i="2"/>
  <c r="Q3720" i="2"/>
  <c r="R3719" i="2"/>
  <c r="Q3719" i="2"/>
  <c r="R3718" i="2"/>
  <c r="Q3718" i="2"/>
  <c r="R3717" i="2"/>
  <c r="Q3717" i="2"/>
  <c r="R3716" i="2"/>
  <c r="Q3716" i="2"/>
  <c r="R3715" i="2"/>
  <c r="Q3715" i="2"/>
  <c r="R3714" i="2"/>
  <c r="Q3714" i="2"/>
  <c r="R3713" i="2"/>
  <c r="Q3713" i="2"/>
  <c r="R3712" i="2"/>
  <c r="Q3712" i="2"/>
  <c r="R3711" i="2"/>
  <c r="Q3711" i="2"/>
  <c r="R3710" i="2"/>
  <c r="Q3710" i="2"/>
  <c r="R3709" i="2"/>
  <c r="Q3709" i="2"/>
  <c r="R3708" i="2"/>
  <c r="Q3708" i="2"/>
  <c r="R3707" i="2"/>
  <c r="Q3707" i="2"/>
  <c r="R3706" i="2"/>
  <c r="Q3706" i="2"/>
  <c r="R3705" i="2"/>
  <c r="Q3705" i="2"/>
  <c r="R3704" i="2"/>
  <c r="Q3704" i="2"/>
  <c r="R3703" i="2"/>
  <c r="Q3703" i="2"/>
  <c r="R3702" i="2"/>
  <c r="Q3702" i="2"/>
  <c r="R3701" i="2"/>
  <c r="Q3701" i="2"/>
  <c r="R3700" i="2"/>
  <c r="Q3700" i="2"/>
  <c r="R3699" i="2"/>
  <c r="Q3699" i="2"/>
  <c r="R3698" i="2"/>
  <c r="Q3698" i="2"/>
  <c r="R3697" i="2"/>
  <c r="Q3697" i="2"/>
  <c r="R3696" i="2"/>
  <c r="Q3696" i="2"/>
  <c r="R3695" i="2"/>
  <c r="Q3695" i="2"/>
  <c r="R3694" i="2"/>
  <c r="Q3694" i="2"/>
  <c r="R3693" i="2"/>
  <c r="Q3693" i="2"/>
  <c r="R3692" i="2"/>
  <c r="Q3692" i="2"/>
  <c r="R3691" i="2"/>
  <c r="Q3691" i="2"/>
  <c r="R3690" i="2"/>
  <c r="Q3690" i="2"/>
  <c r="R3689" i="2"/>
  <c r="Q3689" i="2"/>
  <c r="R3688" i="2"/>
  <c r="Q3688" i="2"/>
  <c r="R3687" i="2"/>
  <c r="Q3687" i="2"/>
  <c r="R3686" i="2"/>
  <c r="Q3686" i="2"/>
  <c r="R3685" i="2"/>
  <c r="Q3685" i="2"/>
  <c r="R3684" i="2"/>
  <c r="Q3684" i="2"/>
  <c r="R3683" i="2"/>
  <c r="Q3683" i="2"/>
  <c r="R3682" i="2"/>
  <c r="Q3682" i="2"/>
  <c r="R3681" i="2"/>
  <c r="Q3681" i="2"/>
  <c r="R3680" i="2"/>
  <c r="Q3680" i="2"/>
  <c r="R3679" i="2"/>
  <c r="Q3679" i="2"/>
  <c r="R3678" i="2"/>
  <c r="Q3678" i="2"/>
  <c r="R3677" i="2"/>
  <c r="Q3677" i="2"/>
  <c r="R3676" i="2"/>
  <c r="Q3676" i="2"/>
  <c r="R3675" i="2"/>
  <c r="Q3675" i="2"/>
  <c r="R3674" i="2"/>
  <c r="Q3674" i="2"/>
  <c r="R3673" i="2"/>
  <c r="Q3673" i="2"/>
  <c r="R3672" i="2"/>
  <c r="Q3672" i="2"/>
  <c r="R3671" i="2"/>
  <c r="Q3671" i="2"/>
  <c r="R3670" i="2"/>
  <c r="Q3670" i="2"/>
  <c r="R3669" i="2"/>
  <c r="Q3669" i="2"/>
  <c r="R3668" i="2"/>
  <c r="Q3668" i="2"/>
  <c r="R3667" i="2"/>
  <c r="Q3667" i="2"/>
  <c r="R3666" i="2"/>
  <c r="Q3666" i="2"/>
  <c r="R3665" i="2"/>
  <c r="Q3665" i="2"/>
  <c r="R3664" i="2"/>
  <c r="Q3664" i="2"/>
  <c r="R3663" i="2"/>
  <c r="Q3663" i="2"/>
  <c r="R3662" i="2"/>
  <c r="Q3662" i="2"/>
  <c r="R3661" i="2"/>
  <c r="Q3661" i="2"/>
  <c r="R3660" i="2"/>
  <c r="Q3660" i="2"/>
  <c r="R3659" i="2"/>
  <c r="Q3659" i="2"/>
  <c r="R3658" i="2"/>
  <c r="Q3658" i="2"/>
  <c r="R3657" i="2"/>
  <c r="Q3657" i="2"/>
  <c r="R3656" i="2"/>
  <c r="Q3656" i="2"/>
  <c r="R3655" i="2"/>
  <c r="Q3655" i="2"/>
  <c r="R3654" i="2"/>
  <c r="Q3654" i="2"/>
  <c r="R3653" i="2"/>
  <c r="Q3653" i="2"/>
  <c r="R3652" i="2"/>
  <c r="Q3652" i="2"/>
  <c r="R3651" i="2"/>
  <c r="Q3651" i="2"/>
  <c r="R3650" i="2"/>
  <c r="Q3650" i="2"/>
  <c r="R3649" i="2"/>
  <c r="Q3649" i="2"/>
  <c r="R3648" i="2"/>
  <c r="Q3648" i="2"/>
  <c r="R3647" i="2"/>
  <c r="Q3647" i="2"/>
  <c r="R3646" i="2"/>
  <c r="Q3646" i="2"/>
  <c r="R3645" i="2"/>
  <c r="Q3645" i="2"/>
  <c r="R3644" i="2"/>
  <c r="Q3644" i="2"/>
  <c r="R3643" i="2"/>
  <c r="Q3643" i="2"/>
  <c r="R3642" i="2"/>
  <c r="Q3642" i="2"/>
  <c r="R3641" i="2"/>
  <c r="Q3641" i="2"/>
  <c r="R3640" i="2"/>
  <c r="Q3640" i="2"/>
  <c r="R3639" i="2"/>
  <c r="Q3639" i="2"/>
  <c r="R3638" i="2"/>
  <c r="Q3638" i="2"/>
  <c r="R3637" i="2"/>
  <c r="Q3637" i="2"/>
  <c r="R3636" i="2"/>
  <c r="Q3636" i="2"/>
  <c r="R3635" i="2"/>
  <c r="Q3635" i="2"/>
  <c r="R3634" i="2"/>
  <c r="Q3634" i="2"/>
  <c r="R3633" i="2"/>
  <c r="Q3633" i="2"/>
  <c r="R3632" i="2"/>
  <c r="Q3632" i="2"/>
  <c r="R3631" i="2"/>
  <c r="Q3631" i="2"/>
  <c r="R3630" i="2"/>
  <c r="Q3630" i="2"/>
  <c r="R3629" i="2"/>
  <c r="Q3629" i="2"/>
  <c r="R3628" i="2"/>
  <c r="Q3628" i="2"/>
  <c r="R3627" i="2"/>
  <c r="Q3627" i="2"/>
  <c r="R3626" i="2"/>
  <c r="Q3626" i="2"/>
  <c r="R3625" i="2"/>
  <c r="Q3625" i="2"/>
  <c r="R3624" i="2"/>
  <c r="Q3624" i="2"/>
  <c r="R3623" i="2"/>
  <c r="Q3623" i="2"/>
  <c r="R3622" i="2"/>
  <c r="Q3622" i="2"/>
  <c r="R3621" i="2"/>
  <c r="Q3621" i="2"/>
  <c r="R3620" i="2"/>
  <c r="Q3620" i="2"/>
  <c r="R3619" i="2"/>
  <c r="Q3619" i="2"/>
  <c r="R3618" i="2"/>
  <c r="Q3618" i="2"/>
  <c r="R3617" i="2"/>
  <c r="Q3617" i="2"/>
  <c r="R3616" i="2"/>
  <c r="Q3616" i="2"/>
  <c r="R3615" i="2"/>
  <c r="Q3615" i="2"/>
  <c r="R3614" i="2"/>
  <c r="Q3614" i="2"/>
  <c r="R3613" i="2"/>
  <c r="Q3613" i="2"/>
  <c r="R3612" i="2"/>
  <c r="Q3612" i="2"/>
  <c r="R3611" i="2"/>
  <c r="Q3611" i="2"/>
  <c r="R3610" i="2"/>
  <c r="Q3610" i="2"/>
  <c r="R3609" i="2"/>
  <c r="Q3609" i="2"/>
  <c r="R3608" i="2"/>
  <c r="Q3608" i="2"/>
  <c r="R3607" i="2"/>
  <c r="Q3607" i="2"/>
  <c r="R3606" i="2"/>
  <c r="Q3606" i="2"/>
  <c r="R3605" i="2"/>
  <c r="Q3605" i="2"/>
  <c r="R3604" i="2"/>
  <c r="Q3604" i="2"/>
  <c r="R3603" i="2"/>
  <c r="Q3603" i="2"/>
  <c r="R3602" i="2"/>
  <c r="Q3602" i="2"/>
  <c r="R3601" i="2"/>
  <c r="Q3601" i="2"/>
  <c r="R3600" i="2"/>
  <c r="Q3600" i="2"/>
  <c r="R3599" i="2"/>
  <c r="Q3599" i="2"/>
  <c r="R3598" i="2"/>
  <c r="Q3598" i="2"/>
  <c r="R3597" i="2"/>
  <c r="Q3597" i="2"/>
  <c r="R3596" i="2"/>
  <c r="Q3596" i="2"/>
  <c r="R3595" i="2"/>
  <c r="Q3595" i="2"/>
  <c r="R3594" i="2"/>
  <c r="Q3594" i="2"/>
  <c r="R3593" i="2"/>
  <c r="Q3593" i="2"/>
  <c r="R3592" i="2"/>
  <c r="Q3592" i="2"/>
  <c r="R3591" i="2"/>
  <c r="Q3591" i="2"/>
  <c r="R3590" i="2"/>
  <c r="Q3590" i="2"/>
  <c r="R3589" i="2"/>
  <c r="Q3589" i="2"/>
  <c r="R3588" i="2"/>
  <c r="Q3588" i="2"/>
  <c r="R3587" i="2"/>
  <c r="Q3587" i="2"/>
  <c r="R3586" i="2"/>
  <c r="Q3586" i="2"/>
  <c r="R3585" i="2"/>
  <c r="Q3585" i="2"/>
  <c r="R3584" i="2"/>
  <c r="Q3584" i="2"/>
  <c r="R3583" i="2"/>
  <c r="Q3583" i="2"/>
  <c r="R3582" i="2"/>
  <c r="Q3582" i="2"/>
  <c r="R3581" i="2"/>
  <c r="Q3581" i="2"/>
  <c r="R3580" i="2"/>
  <c r="Q3580" i="2"/>
  <c r="R3579" i="2"/>
  <c r="Q3579" i="2"/>
  <c r="R3578" i="2"/>
  <c r="Q3578" i="2"/>
  <c r="R3577" i="2"/>
  <c r="Q3577" i="2"/>
  <c r="R3576" i="2"/>
  <c r="Q3576" i="2"/>
  <c r="R3575" i="2"/>
  <c r="Q3575" i="2"/>
  <c r="R3574" i="2"/>
  <c r="Q3574" i="2"/>
  <c r="R3573" i="2"/>
  <c r="Q3573" i="2"/>
  <c r="R3572" i="2"/>
  <c r="Q3572" i="2"/>
  <c r="R3571" i="2"/>
  <c r="Q3571" i="2"/>
  <c r="R3570" i="2"/>
  <c r="Q3570" i="2"/>
  <c r="R3569" i="2"/>
  <c r="Q3569" i="2"/>
  <c r="R3568" i="2"/>
  <c r="Q3568" i="2"/>
  <c r="R3567" i="2"/>
  <c r="Q3567" i="2"/>
  <c r="R3566" i="2"/>
  <c r="Q3566" i="2"/>
  <c r="R3565" i="2"/>
  <c r="Q3565" i="2"/>
  <c r="R3564" i="2"/>
  <c r="Q3564" i="2"/>
  <c r="R3563" i="2"/>
  <c r="Q3563" i="2"/>
  <c r="R3562" i="2"/>
  <c r="Q3562" i="2"/>
  <c r="R3561" i="2"/>
  <c r="Q3561" i="2"/>
  <c r="R3560" i="2"/>
  <c r="Q3560" i="2"/>
  <c r="R3559" i="2"/>
  <c r="Q3559" i="2"/>
  <c r="R3558" i="2"/>
  <c r="Q3558" i="2"/>
  <c r="R3557" i="2"/>
  <c r="Q3557" i="2"/>
  <c r="R3556" i="2"/>
  <c r="Q3556" i="2"/>
  <c r="R3555" i="2"/>
  <c r="Q3555" i="2"/>
  <c r="R3554" i="2"/>
  <c r="Q3554" i="2"/>
  <c r="R3553" i="2"/>
  <c r="Q3553" i="2"/>
  <c r="R3552" i="2"/>
  <c r="Q3552" i="2"/>
  <c r="R3551" i="2"/>
  <c r="Q3551" i="2"/>
  <c r="R3550" i="2"/>
  <c r="Q3550" i="2"/>
  <c r="R3549" i="2"/>
  <c r="Q3549" i="2"/>
  <c r="R3548" i="2"/>
  <c r="Q3548" i="2"/>
  <c r="R3547" i="2"/>
  <c r="Q3547" i="2"/>
  <c r="R3546" i="2"/>
  <c r="Q3546" i="2"/>
  <c r="R3545" i="2"/>
  <c r="Q3545" i="2"/>
  <c r="R3544" i="2"/>
  <c r="Q3544" i="2"/>
  <c r="R3543" i="2"/>
  <c r="Q3543" i="2"/>
  <c r="R3542" i="2"/>
  <c r="Q3542" i="2"/>
  <c r="R3541" i="2"/>
  <c r="Q3541" i="2"/>
  <c r="R3540" i="2"/>
  <c r="Q3540" i="2"/>
  <c r="R3539" i="2"/>
  <c r="Q3539" i="2"/>
  <c r="R3538" i="2"/>
  <c r="Q3538" i="2"/>
  <c r="R3537" i="2"/>
  <c r="Q3537" i="2"/>
  <c r="R3536" i="2"/>
  <c r="Q3536" i="2"/>
  <c r="R3535" i="2"/>
  <c r="Q3535" i="2"/>
  <c r="R3534" i="2"/>
  <c r="Q3534" i="2"/>
  <c r="R3533" i="2"/>
  <c r="Q3533" i="2"/>
  <c r="R3532" i="2"/>
  <c r="Q3532" i="2"/>
  <c r="R3531" i="2"/>
  <c r="Q3531" i="2"/>
  <c r="R3530" i="2"/>
  <c r="Q3530" i="2"/>
  <c r="R3529" i="2"/>
  <c r="Q3529" i="2"/>
  <c r="R3528" i="2"/>
  <c r="Q3528" i="2"/>
  <c r="R3527" i="2"/>
  <c r="Q3527" i="2"/>
  <c r="R3526" i="2"/>
  <c r="Q3526" i="2"/>
  <c r="R3525" i="2"/>
  <c r="Q3525" i="2"/>
  <c r="R3524" i="2"/>
  <c r="Q3524" i="2"/>
  <c r="R3523" i="2"/>
  <c r="Q3523" i="2"/>
  <c r="R3522" i="2"/>
  <c r="Q3522" i="2"/>
  <c r="R3521" i="2"/>
  <c r="Q3521" i="2"/>
  <c r="R3520" i="2"/>
  <c r="Q3520" i="2"/>
  <c r="R3519" i="2"/>
  <c r="Q3519" i="2"/>
  <c r="R3518" i="2"/>
  <c r="Q3518" i="2"/>
  <c r="R3517" i="2"/>
  <c r="Q3517" i="2"/>
  <c r="R3516" i="2"/>
  <c r="Q3516" i="2"/>
  <c r="R3515" i="2"/>
  <c r="Q3515" i="2"/>
  <c r="R3514" i="2"/>
  <c r="Q3514" i="2"/>
  <c r="R3513" i="2"/>
  <c r="Q3513" i="2"/>
  <c r="R3512" i="2"/>
  <c r="Q3512" i="2"/>
  <c r="R3511" i="2"/>
  <c r="Q3511" i="2"/>
  <c r="R3510" i="2"/>
  <c r="Q3510" i="2"/>
  <c r="R3509" i="2"/>
  <c r="Q3509" i="2"/>
  <c r="R3508" i="2"/>
  <c r="Q3508" i="2"/>
  <c r="R3507" i="2"/>
  <c r="Q3507" i="2"/>
  <c r="R3506" i="2"/>
  <c r="Q3506" i="2"/>
  <c r="R3505" i="2"/>
  <c r="Q3505" i="2"/>
  <c r="R3504" i="2"/>
  <c r="Q3504" i="2"/>
  <c r="R3503" i="2"/>
  <c r="Q3503" i="2"/>
  <c r="R3502" i="2"/>
  <c r="Q3502" i="2"/>
  <c r="R3501" i="2"/>
  <c r="Q3501" i="2"/>
  <c r="R3500" i="2"/>
  <c r="Q3500" i="2"/>
  <c r="R3499" i="2"/>
  <c r="Q3499" i="2"/>
  <c r="R3498" i="2"/>
  <c r="Q3498" i="2"/>
  <c r="R3497" i="2"/>
  <c r="Q3497" i="2"/>
  <c r="R3496" i="2"/>
  <c r="Q3496" i="2"/>
  <c r="R3495" i="2"/>
  <c r="Q3495" i="2"/>
  <c r="R3494" i="2"/>
  <c r="Q3494" i="2"/>
  <c r="R3493" i="2"/>
  <c r="Q3493" i="2"/>
  <c r="R3492" i="2"/>
  <c r="Q3492" i="2"/>
  <c r="R3491" i="2"/>
  <c r="Q3491" i="2"/>
  <c r="R3490" i="2"/>
  <c r="Q3490" i="2"/>
  <c r="R3489" i="2"/>
  <c r="Q3489" i="2"/>
  <c r="R3488" i="2"/>
  <c r="Q3488" i="2"/>
  <c r="R3487" i="2"/>
  <c r="Q3487" i="2"/>
  <c r="R3486" i="2"/>
  <c r="Q3486" i="2"/>
  <c r="R3485" i="2"/>
  <c r="Q3485" i="2"/>
  <c r="R3484" i="2"/>
  <c r="Q3484" i="2"/>
  <c r="R3483" i="2"/>
  <c r="Q3483" i="2"/>
  <c r="R3482" i="2"/>
  <c r="Q3482" i="2"/>
  <c r="R3481" i="2"/>
  <c r="Q3481" i="2"/>
  <c r="R3480" i="2"/>
  <c r="Q3480" i="2"/>
  <c r="R3479" i="2"/>
  <c r="Q3479" i="2"/>
  <c r="R3478" i="2"/>
  <c r="Q3478" i="2"/>
  <c r="R3477" i="2"/>
  <c r="Q3477" i="2"/>
  <c r="R3476" i="2"/>
  <c r="Q3476" i="2"/>
  <c r="R3475" i="2"/>
  <c r="Q3475" i="2"/>
  <c r="R3474" i="2"/>
  <c r="Q3474" i="2"/>
  <c r="R3473" i="2"/>
  <c r="Q3473" i="2"/>
  <c r="R3472" i="2"/>
  <c r="Q3472" i="2"/>
  <c r="R3471" i="2"/>
  <c r="Q3471" i="2"/>
  <c r="R3470" i="2"/>
  <c r="Q3470" i="2"/>
  <c r="R3469" i="2"/>
  <c r="Q3469" i="2"/>
  <c r="R3468" i="2"/>
  <c r="Q3468" i="2"/>
  <c r="R3467" i="2"/>
  <c r="Q3467" i="2"/>
  <c r="R3466" i="2"/>
  <c r="Q3466" i="2"/>
  <c r="R3465" i="2"/>
  <c r="Q3465" i="2"/>
  <c r="R3464" i="2"/>
  <c r="Q3464" i="2"/>
  <c r="R3463" i="2"/>
  <c r="Q3463" i="2"/>
  <c r="R3462" i="2"/>
  <c r="Q3462" i="2"/>
  <c r="R3461" i="2"/>
  <c r="Q3461" i="2"/>
  <c r="R3460" i="2"/>
  <c r="Q3460" i="2"/>
  <c r="R3459" i="2"/>
  <c r="Q3459" i="2"/>
  <c r="R3458" i="2"/>
  <c r="Q3458" i="2"/>
  <c r="R3457" i="2"/>
  <c r="Q3457" i="2"/>
  <c r="R3456" i="2"/>
  <c r="Q3456" i="2"/>
  <c r="R3455" i="2"/>
  <c r="Q3455" i="2"/>
  <c r="R3454" i="2"/>
  <c r="Q3454" i="2"/>
  <c r="R3453" i="2"/>
  <c r="Q3453" i="2"/>
  <c r="R3452" i="2"/>
  <c r="Q3452" i="2"/>
  <c r="R3451" i="2"/>
  <c r="Q3451" i="2"/>
  <c r="R3450" i="2"/>
  <c r="Q3450" i="2"/>
  <c r="R3449" i="2"/>
  <c r="Q3449" i="2"/>
  <c r="R3448" i="2"/>
  <c r="Q3448" i="2"/>
  <c r="R3447" i="2"/>
  <c r="Q3447" i="2"/>
  <c r="R3446" i="2"/>
  <c r="Q3446" i="2"/>
  <c r="R3445" i="2"/>
  <c r="Q3445" i="2"/>
  <c r="R3444" i="2"/>
  <c r="Q3444" i="2"/>
  <c r="R3443" i="2"/>
  <c r="Q3443" i="2"/>
  <c r="R3442" i="2"/>
  <c r="Q3442" i="2"/>
  <c r="R3441" i="2"/>
  <c r="Q3441" i="2"/>
  <c r="R3440" i="2"/>
  <c r="Q3440" i="2"/>
  <c r="R3439" i="2"/>
  <c r="Q3439" i="2"/>
  <c r="R3438" i="2"/>
  <c r="Q3438" i="2"/>
  <c r="R3437" i="2"/>
  <c r="Q3437" i="2"/>
  <c r="R3436" i="2"/>
  <c r="Q3436" i="2"/>
  <c r="R3435" i="2"/>
  <c r="Q3435" i="2"/>
  <c r="R3434" i="2"/>
  <c r="Q3434" i="2"/>
  <c r="R3433" i="2"/>
  <c r="Q3433" i="2"/>
  <c r="R3432" i="2"/>
  <c r="Q3432" i="2"/>
  <c r="R3431" i="2"/>
  <c r="Q3431" i="2"/>
  <c r="R3430" i="2"/>
  <c r="Q3430" i="2"/>
  <c r="R3429" i="2"/>
  <c r="Q3429" i="2"/>
  <c r="R3428" i="2"/>
  <c r="Q3428" i="2"/>
  <c r="R3427" i="2"/>
  <c r="Q3427" i="2"/>
  <c r="R3426" i="2"/>
  <c r="Q3426" i="2"/>
  <c r="R3425" i="2"/>
  <c r="Q3425" i="2"/>
  <c r="R3424" i="2"/>
  <c r="Q3424" i="2"/>
  <c r="R3423" i="2"/>
  <c r="Q3423" i="2"/>
  <c r="R3422" i="2"/>
  <c r="Q3422" i="2"/>
  <c r="R3421" i="2"/>
  <c r="Q3421" i="2"/>
  <c r="R3420" i="2"/>
  <c r="Q3420" i="2"/>
  <c r="R3419" i="2"/>
  <c r="Q3419" i="2"/>
  <c r="R3418" i="2"/>
  <c r="Q3418" i="2"/>
  <c r="R3417" i="2"/>
  <c r="Q3417" i="2"/>
  <c r="R3416" i="2"/>
  <c r="Q3416" i="2"/>
  <c r="R3415" i="2"/>
  <c r="Q3415" i="2"/>
  <c r="R3414" i="2"/>
  <c r="Q3414" i="2"/>
  <c r="R3413" i="2"/>
  <c r="Q3413" i="2"/>
  <c r="R3412" i="2"/>
  <c r="Q3412" i="2"/>
  <c r="R3411" i="2"/>
  <c r="Q3411" i="2"/>
  <c r="R3410" i="2"/>
  <c r="Q3410" i="2"/>
  <c r="R3409" i="2"/>
  <c r="Q3409" i="2"/>
  <c r="R3408" i="2"/>
  <c r="Q3408" i="2"/>
  <c r="R3407" i="2"/>
  <c r="Q3407" i="2"/>
  <c r="R3406" i="2"/>
  <c r="Q3406" i="2"/>
  <c r="R3405" i="2"/>
  <c r="Q3405" i="2"/>
  <c r="R3404" i="2"/>
  <c r="Q3404" i="2"/>
  <c r="R3403" i="2"/>
  <c r="Q3403" i="2"/>
  <c r="R3402" i="2"/>
  <c r="Q3402" i="2"/>
  <c r="R3401" i="2"/>
  <c r="Q3401" i="2"/>
  <c r="R3400" i="2"/>
  <c r="Q3400" i="2"/>
  <c r="R3399" i="2"/>
  <c r="Q3399" i="2"/>
  <c r="R3398" i="2"/>
  <c r="Q3398" i="2"/>
  <c r="R3397" i="2"/>
  <c r="Q3397" i="2"/>
  <c r="R3396" i="2"/>
  <c r="Q3396" i="2"/>
  <c r="R3395" i="2"/>
  <c r="Q3395" i="2"/>
  <c r="R3394" i="2"/>
  <c r="Q3394" i="2"/>
  <c r="R3393" i="2"/>
  <c r="Q3393" i="2"/>
  <c r="R3392" i="2"/>
  <c r="Q3392" i="2"/>
  <c r="R3391" i="2"/>
  <c r="Q3391" i="2"/>
  <c r="R3390" i="2"/>
  <c r="Q3390" i="2"/>
  <c r="R3389" i="2"/>
  <c r="Q3389" i="2"/>
  <c r="R3388" i="2"/>
  <c r="Q3388" i="2"/>
  <c r="R3387" i="2"/>
  <c r="Q3387" i="2"/>
  <c r="R3386" i="2"/>
  <c r="Q3386" i="2"/>
  <c r="R3385" i="2"/>
  <c r="Q3385" i="2"/>
  <c r="R3384" i="2"/>
  <c r="Q3384" i="2"/>
  <c r="R3383" i="2"/>
  <c r="Q3383" i="2"/>
  <c r="R3382" i="2"/>
  <c r="Q3382" i="2"/>
  <c r="R3381" i="2"/>
  <c r="Q3381" i="2"/>
  <c r="R3380" i="2"/>
  <c r="Q3380" i="2"/>
  <c r="R3379" i="2"/>
  <c r="Q3379" i="2"/>
  <c r="R3378" i="2"/>
  <c r="Q3378" i="2"/>
  <c r="R3377" i="2"/>
  <c r="Q3377" i="2"/>
  <c r="R3376" i="2"/>
  <c r="Q3376" i="2"/>
  <c r="R3375" i="2"/>
  <c r="Q3375" i="2"/>
  <c r="R3374" i="2"/>
  <c r="Q3374" i="2"/>
  <c r="R3373" i="2"/>
  <c r="Q3373" i="2"/>
  <c r="R3372" i="2"/>
  <c r="Q3372" i="2"/>
  <c r="R3371" i="2"/>
  <c r="Q3371" i="2"/>
  <c r="R3370" i="2"/>
  <c r="Q3370" i="2"/>
  <c r="R3369" i="2"/>
  <c r="Q3369" i="2"/>
  <c r="R3368" i="2"/>
  <c r="Q3368" i="2"/>
  <c r="R3367" i="2"/>
  <c r="Q3367" i="2"/>
  <c r="R3366" i="2"/>
  <c r="Q3366" i="2"/>
  <c r="R3365" i="2"/>
  <c r="Q3365" i="2"/>
  <c r="R3364" i="2"/>
  <c r="Q3364" i="2"/>
  <c r="R3363" i="2"/>
  <c r="Q3363" i="2"/>
  <c r="R3362" i="2"/>
  <c r="Q3362" i="2"/>
  <c r="R3361" i="2"/>
  <c r="Q3361" i="2"/>
  <c r="R3360" i="2"/>
  <c r="Q3360" i="2"/>
  <c r="R3359" i="2"/>
  <c r="Q3359" i="2"/>
  <c r="R3358" i="2"/>
  <c r="Q3358" i="2"/>
  <c r="R3357" i="2"/>
  <c r="Q3357" i="2"/>
  <c r="R3356" i="2"/>
  <c r="Q3356" i="2"/>
  <c r="R3355" i="2"/>
  <c r="Q3355" i="2"/>
  <c r="R3354" i="2"/>
  <c r="Q3354" i="2"/>
  <c r="R3353" i="2"/>
  <c r="Q3353" i="2"/>
  <c r="R3352" i="2"/>
  <c r="Q3352" i="2"/>
  <c r="R3351" i="2"/>
  <c r="Q3351" i="2"/>
  <c r="R3350" i="2"/>
  <c r="Q3350" i="2"/>
  <c r="R3349" i="2"/>
  <c r="Q3349" i="2"/>
  <c r="R3348" i="2"/>
  <c r="Q3348" i="2"/>
  <c r="R3347" i="2"/>
  <c r="Q3347" i="2"/>
  <c r="R3346" i="2"/>
  <c r="Q3346" i="2"/>
  <c r="R3345" i="2"/>
  <c r="Q3345" i="2"/>
  <c r="R3344" i="2"/>
  <c r="Q3344" i="2"/>
  <c r="R3343" i="2"/>
  <c r="Q3343" i="2"/>
  <c r="R3342" i="2"/>
  <c r="Q3342" i="2"/>
  <c r="R3341" i="2"/>
  <c r="Q3341" i="2"/>
  <c r="R3340" i="2"/>
  <c r="Q3340" i="2"/>
  <c r="R3339" i="2"/>
  <c r="Q3339" i="2"/>
  <c r="R3338" i="2"/>
  <c r="Q3338" i="2"/>
  <c r="R3337" i="2"/>
  <c r="Q3337" i="2"/>
  <c r="R3336" i="2"/>
  <c r="Q3336" i="2"/>
  <c r="R3335" i="2"/>
  <c r="Q3335" i="2"/>
  <c r="R3334" i="2"/>
  <c r="Q3334" i="2"/>
  <c r="R3333" i="2"/>
  <c r="Q3333" i="2"/>
  <c r="R3332" i="2"/>
  <c r="Q3332" i="2"/>
  <c r="R3331" i="2"/>
  <c r="Q3331" i="2"/>
  <c r="R3330" i="2"/>
  <c r="Q3330" i="2"/>
  <c r="R3329" i="2"/>
  <c r="Q3329" i="2"/>
  <c r="R3328" i="2"/>
  <c r="Q3328" i="2"/>
  <c r="R3327" i="2"/>
  <c r="Q3327" i="2"/>
  <c r="R3326" i="2"/>
  <c r="Q3326" i="2"/>
  <c r="R3325" i="2"/>
  <c r="Q3325" i="2"/>
  <c r="R3324" i="2"/>
  <c r="Q3324" i="2"/>
  <c r="R3323" i="2"/>
  <c r="Q3323" i="2"/>
  <c r="R3322" i="2"/>
  <c r="Q3322" i="2"/>
  <c r="R3321" i="2"/>
  <c r="Q3321" i="2"/>
  <c r="R3320" i="2"/>
  <c r="Q3320" i="2"/>
  <c r="R3319" i="2"/>
  <c r="Q3319" i="2"/>
  <c r="R3318" i="2"/>
  <c r="Q3318" i="2"/>
  <c r="R3317" i="2"/>
  <c r="Q3317" i="2"/>
  <c r="R3316" i="2"/>
  <c r="Q3316" i="2"/>
  <c r="R3315" i="2"/>
  <c r="Q3315" i="2"/>
  <c r="R3314" i="2"/>
  <c r="Q3314" i="2"/>
  <c r="R3313" i="2"/>
  <c r="Q3313" i="2"/>
  <c r="R3312" i="2"/>
  <c r="Q3312" i="2"/>
  <c r="R3311" i="2"/>
  <c r="Q3311" i="2"/>
  <c r="R3310" i="2"/>
  <c r="Q3310" i="2"/>
  <c r="R3309" i="2"/>
  <c r="Q3309" i="2"/>
  <c r="R3308" i="2"/>
  <c r="Q3308" i="2"/>
  <c r="R3307" i="2"/>
  <c r="Q3307" i="2"/>
  <c r="R3306" i="2"/>
  <c r="Q3306" i="2"/>
  <c r="R3305" i="2"/>
  <c r="Q3305" i="2"/>
  <c r="R3304" i="2"/>
  <c r="Q3304" i="2"/>
  <c r="R3303" i="2"/>
  <c r="Q3303" i="2"/>
  <c r="R3302" i="2"/>
  <c r="Q3302" i="2"/>
  <c r="R3301" i="2"/>
  <c r="Q3301" i="2"/>
  <c r="R3300" i="2"/>
  <c r="Q3300" i="2"/>
  <c r="R3299" i="2"/>
  <c r="Q3299" i="2"/>
  <c r="R3298" i="2"/>
  <c r="Q3298" i="2"/>
  <c r="R3297" i="2"/>
  <c r="Q3297" i="2"/>
  <c r="R3296" i="2"/>
  <c r="Q3296" i="2"/>
  <c r="R3295" i="2"/>
  <c r="Q3295" i="2"/>
  <c r="R3294" i="2"/>
  <c r="Q3294" i="2"/>
  <c r="R3293" i="2"/>
  <c r="Q3293" i="2"/>
  <c r="R3292" i="2"/>
  <c r="Q3292" i="2"/>
  <c r="R3291" i="2"/>
  <c r="Q3291" i="2"/>
  <c r="R3290" i="2"/>
  <c r="Q3290" i="2"/>
  <c r="R3289" i="2"/>
  <c r="Q3289" i="2"/>
  <c r="R3288" i="2"/>
  <c r="Q3288" i="2"/>
  <c r="R3287" i="2"/>
  <c r="Q3287" i="2"/>
  <c r="R3286" i="2"/>
  <c r="Q3286" i="2"/>
  <c r="R3285" i="2"/>
  <c r="Q3285" i="2"/>
  <c r="R3284" i="2"/>
  <c r="Q3284" i="2"/>
  <c r="R3283" i="2"/>
  <c r="Q3283" i="2"/>
  <c r="R3282" i="2"/>
  <c r="Q3282" i="2"/>
  <c r="R3281" i="2"/>
  <c r="Q3281" i="2"/>
  <c r="R3280" i="2"/>
  <c r="Q3280" i="2"/>
  <c r="R3279" i="2"/>
  <c r="Q3279" i="2"/>
  <c r="R3278" i="2"/>
  <c r="Q3278" i="2"/>
  <c r="R3277" i="2"/>
  <c r="Q3277" i="2"/>
  <c r="R3276" i="2"/>
  <c r="Q3276" i="2"/>
  <c r="R3275" i="2"/>
  <c r="Q3275" i="2"/>
  <c r="R3274" i="2"/>
  <c r="Q3274" i="2"/>
  <c r="R3273" i="2"/>
  <c r="Q3273" i="2"/>
  <c r="R3272" i="2"/>
  <c r="Q3272" i="2"/>
  <c r="R3271" i="2"/>
  <c r="Q3271" i="2"/>
  <c r="R3270" i="2"/>
  <c r="Q3270" i="2"/>
  <c r="R3269" i="2"/>
  <c r="Q3269" i="2"/>
  <c r="R3268" i="2"/>
  <c r="Q3268" i="2"/>
  <c r="R3267" i="2"/>
  <c r="Q3267" i="2"/>
  <c r="R3266" i="2"/>
  <c r="Q3266" i="2"/>
  <c r="R3265" i="2"/>
  <c r="Q3265" i="2"/>
  <c r="R3264" i="2"/>
  <c r="Q3264" i="2"/>
  <c r="R3263" i="2"/>
  <c r="Q3263" i="2"/>
  <c r="R3262" i="2"/>
  <c r="Q3262" i="2"/>
  <c r="R3261" i="2"/>
  <c r="Q3261" i="2"/>
  <c r="R3260" i="2"/>
  <c r="Q3260" i="2"/>
  <c r="R3259" i="2"/>
  <c r="Q3259" i="2"/>
  <c r="R3258" i="2"/>
  <c r="Q3258" i="2"/>
  <c r="R3257" i="2"/>
  <c r="Q3257" i="2"/>
  <c r="R3256" i="2"/>
  <c r="Q3256" i="2"/>
  <c r="R3255" i="2"/>
  <c r="Q3255" i="2"/>
  <c r="R3254" i="2"/>
  <c r="Q3254" i="2"/>
  <c r="R3253" i="2"/>
  <c r="Q3253" i="2"/>
  <c r="R3252" i="2"/>
  <c r="Q3252" i="2"/>
  <c r="R3251" i="2"/>
  <c r="Q3251" i="2"/>
  <c r="R3250" i="2"/>
  <c r="Q3250" i="2"/>
  <c r="R3249" i="2"/>
  <c r="Q3249" i="2"/>
  <c r="R3248" i="2"/>
  <c r="Q3248" i="2"/>
  <c r="R3247" i="2"/>
  <c r="Q3247" i="2"/>
  <c r="R3246" i="2"/>
  <c r="Q3246" i="2"/>
  <c r="R3245" i="2"/>
  <c r="Q3245" i="2"/>
  <c r="R3244" i="2"/>
  <c r="Q3244" i="2"/>
  <c r="R3243" i="2"/>
  <c r="Q3243" i="2"/>
  <c r="R3242" i="2"/>
  <c r="Q3242" i="2"/>
  <c r="R3241" i="2"/>
  <c r="Q3241" i="2"/>
  <c r="R3240" i="2"/>
  <c r="Q3240" i="2"/>
  <c r="R3239" i="2"/>
  <c r="Q3239" i="2"/>
  <c r="R3238" i="2"/>
  <c r="Q3238" i="2"/>
  <c r="R3237" i="2"/>
  <c r="Q3237" i="2"/>
  <c r="R3236" i="2"/>
  <c r="Q3236" i="2"/>
  <c r="R3235" i="2"/>
  <c r="Q3235" i="2"/>
  <c r="R3234" i="2"/>
  <c r="Q3234" i="2"/>
  <c r="R3233" i="2"/>
  <c r="Q3233" i="2"/>
  <c r="R3232" i="2"/>
  <c r="Q3232" i="2"/>
  <c r="R3231" i="2"/>
  <c r="Q3231" i="2"/>
  <c r="R3230" i="2"/>
  <c r="Q3230" i="2"/>
  <c r="R3229" i="2"/>
  <c r="Q3229" i="2"/>
  <c r="R3228" i="2"/>
  <c r="Q3228" i="2"/>
  <c r="R3227" i="2"/>
  <c r="Q3227" i="2"/>
  <c r="R3226" i="2"/>
  <c r="Q3226" i="2"/>
  <c r="R3225" i="2"/>
  <c r="Q3225" i="2"/>
  <c r="R3224" i="2"/>
  <c r="Q3224" i="2"/>
  <c r="R3223" i="2"/>
  <c r="Q3223" i="2"/>
  <c r="R3222" i="2"/>
  <c r="Q3222" i="2"/>
  <c r="R3221" i="2"/>
  <c r="Q3221" i="2"/>
  <c r="R3220" i="2"/>
  <c r="Q3220" i="2"/>
  <c r="R3219" i="2"/>
  <c r="Q3219" i="2"/>
  <c r="R3218" i="2"/>
  <c r="Q3218" i="2"/>
  <c r="R3217" i="2"/>
  <c r="Q3217" i="2"/>
  <c r="R3216" i="2"/>
  <c r="Q3216" i="2"/>
  <c r="R3215" i="2"/>
  <c r="Q3215" i="2"/>
  <c r="R3214" i="2"/>
  <c r="Q3214" i="2"/>
  <c r="R3213" i="2"/>
  <c r="Q3213" i="2"/>
  <c r="R3212" i="2"/>
  <c r="Q3212" i="2"/>
  <c r="R3211" i="2"/>
  <c r="Q3211" i="2"/>
  <c r="R3210" i="2"/>
  <c r="Q3210" i="2"/>
  <c r="R3209" i="2"/>
  <c r="Q3209" i="2"/>
  <c r="R3208" i="2"/>
  <c r="Q3208" i="2"/>
  <c r="R3207" i="2"/>
  <c r="Q3207" i="2"/>
  <c r="R3206" i="2"/>
  <c r="Q3206" i="2"/>
  <c r="R3205" i="2"/>
  <c r="Q3205" i="2"/>
  <c r="R3204" i="2"/>
  <c r="Q3204" i="2"/>
  <c r="R3203" i="2"/>
  <c r="Q3203" i="2"/>
  <c r="R3202" i="2"/>
  <c r="Q3202" i="2"/>
  <c r="R3201" i="2"/>
  <c r="Q3201" i="2"/>
  <c r="R3200" i="2"/>
  <c r="Q3200" i="2"/>
  <c r="R3199" i="2"/>
  <c r="Q3199" i="2"/>
  <c r="R3198" i="2"/>
  <c r="Q3198" i="2"/>
  <c r="R3197" i="2"/>
  <c r="Q3197" i="2"/>
  <c r="R3196" i="2"/>
  <c r="Q3196" i="2"/>
  <c r="R3195" i="2"/>
  <c r="Q3195" i="2"/>
  <c r="R3194" i="2"/>
  <c r="Q3194" i="2"/>
  <c r="R3193" i="2"/>
  <c r="Q3193" i="2"/>
  <c r="R3192" i="2"/>
  <c r="Q3192" i="2"/>
  <c r="R3191" i="2"/>
  <c r="Q3191" i="2"/>
  <c r="R3190" i="2"/>
  <c r="Q3190" i="2"/>
  <c r="R3189" i="2"/>
  <c r="Q3189" i="2"/>
  <c r="R3188" i="2"/>
  <c r="Q3188" i="2"/>
  <c r="R3187" i="2"/>
  <c r="Q3187" i="2"/>
  <c r="R3186" i="2"/>
  <c r="Q3186" i="2"/>
  <c r="R3185" i="2"/>
  <c r="Q3185" i="2"/>
  <c r="R3184" i="2"/>
  <c r="Q3184" i="2"/>
  <c r="R3183" i="2"/>
  <c r="Q3183" i="2"/>
  <c r="R3182" i="2"/>
  <c r="Q3182" i="2"/>
  <c r="R3181" i="2"/>
  <c r="Q3181" i="2"/>
  <c r="R3180" i="2"/>
  <c r="Q3180" i="2"/>
  <c r="R3179" i="2"/>
  <c r="Q3179" i="2"/>
  <c r="R3178" i="2"/>
  <c r="Q3178" i="2"/>
  <c r="R3177" i="2"/>
  <c r="Q3177" i="2"/>
  <c r="R3176" i="2"/>
  <c r="Q3176" i="2"/>
  <c r="R3175" i="2"/>
  <c r="Q3175" i="2"/>
  <c r="R3174" i="2"/>
  <c r="Q3174" i="2"/>
  <c r="R3173" i="2"/>
  <c r="Q3173" i="2"/>
  <c r="R3172" i="2"/>
  <c r="Q3172" i="2"/>
  <c r="R3171" i="2"/>
  <c r="Q3171" i="2"/>
  <c r="R3170" i="2"/>
  <c r="Q3170" i="2"/>
  <c r="R3169" i="2"/>
  <c r="Q3169" i="2"/>
  <c r="R3168" i="2"/>
  <c r="Q3168" i="2"/>
  <c r="R3167" i="2"/>
  <c r="Q3167" i="2"/>
  <c r="R3166" i="2"/>
  <c r="Q3166" i="2"/>
  <c r="R3165" i="2"/>
  <c r="Q3165" i="2"/>
  <c r="R3164" i="2"/>
  <c r="Q3164" i="2"/>
  <c r="R3163" i="2"/>
  <c r="Q3163" i="2"/>
  <c r="R3162" i="2"/>
  <c r="Q3162" i="2"/>
  <c r="R3161" i="2"/>
  <c r="Q3161" i="2"/>
  <c r="R3160" i="2"/>
  <c r="Q3160" i="2"/>
  <c r="R3159" i="2"/>
  <c r="Q3159" i="2"/>
  <c r="R3158" i="2"/>
  <c r="Q3158" i="2"/>
  <c r="R3157" i="2"/>
  <c r="Q3157" i="2"/>
  <c r="R3156" i="2"/>
  <c r="Q3156" i="2"/>
  <c r="R3155" i="2"/>
  <c r="Q3155" i="2"/>
  <c r="R3154" i="2"/>
  <c r="Q3154" i="2"/>
  <c r="R3153" i="2"/>
  <c r="Q3153" i="2"/>
  <c r="R3152" i="2"/>
  <c r="Q3152" i="2"/>
  <c r="R3151" i="2"/>
  <c r="Q3151" i="2"/>
  <c r="R3150" i="2"/>
  <c r="Q3150" i="2"/>
  <c r="R3149" i="2"/>
  <c r="Q3149" i="2"/>
  <c r="R3148" i="2"/>
  <c r="Q3148" i="2"/>
  <c r="R3147" i="2"/>
  <c r="Q3147" i="2"/>
  <c r="R3146" i="2"/>
  <c r="Q3146" i="2"/>
  <c r="R3145" i="2"/>
  <c r="Q3145" i="2"/>
  <c r="R3144" i="2"/>
  <c r="Q3144" i="2"/>
  <c r="R3143" i="2"/>
  <c r="Q3143" i="2"/>
  <c r="R3142" i="2"/>
  <c r="Q3142" i="2"/>
  <c r="R3141" i="2"/>
  <c r="Q3141" i="2"/>
  <c r="R3140" i="2"/>
  <c r="Q3140" i="2"/>
  <c r="R3139" i="2"/>
  <c r="Q3139" i="2"/>
  <c r="R3138" i="2"/>
  <c r="Q3138" i="2"/>
  <c r="R3137" i="2"/>
  <c r="Q3137" i="2"/>
  <c r="R3136" i="2"/>
  <c r="Q3136" i="2"/>
  <c r="R3135" i="2"/>
  <c r="Q3135" i="2"/>
  <c r="R3134" i="2"/>
  <c r="Q3134" i="2"/>
  <c r="R3133" i="2"/>
  <c r="Q3133" i="2"/>
  <c r="R3132" i="2"/>
  <c r="Q3132" i="2"/>
  <c r="R3131" i="2"/>
  <c r="Q3131" i="2"/>
  <c r="R3130" i="2"/>
  <c r="Q3130" i="2"/>
  <c r="R3129" i="2"/>
  <c r="Q3129" i="2"/>
  <c r="R3128" i="2"/>
  <c r="Q3128" i="2"/>
  <c r="R3127" i="2"/>
  <c r="Q3127" i="2"/>
  <c r="R3126" i="2"/>
  <c r="Q3126" i="2"/>
  <c r="R3125" i="2"/>
  <c r="Q3125" i="2"/>
  <c r="R3124" i="2"/>
  <c r="Q3124" i="2"/>
  <c r="R3123" i="2"/>
  <c r="Q3123" i="2"/>
  <c r="R3122" i="2"/>
  <c r="Q3122" i="2"/>
  <c r="R3121" i="2"/>
  <c r="Q3121" i="2"/>
  <c r="R3120" i="2"/>
  <c r="Q3120" i="2"/>
  <c r="R3119" i="2"/>
  <c r="Q3119" i="2"/>
  <c r="R3118" i="2"/>
  <c r="Q3118" i="2"/>
  <c r="R3117" i="2"/>
  <c r="Q3117" i="2"/>
  <c r="R3116" i="2"/>
  <c r="Q3116" i="2"/>
  <c r="R3115" i="2"/>
  <c r="Q3115" i="2"/>
  <c r="R3114" i="2"/>
  <c r="Q3114" i="2"/>
  <c r="R3113" i="2"/>
  <c r="Q3113" i="2"/>
  <c r="R3112" i="2"/>
  <c r="Q3112" i="2"/>
  <c r="R3111" i="2"/>
  <c r="Q3111" i="2"/>
  <c r="R3110" i="2"/>
  <c r="Q3110" i="2"/>
  <c r="R3109" i="2"/>
  <c r="Q3109" i="2"/>
  <c r="R3108" i="2"/>
  <c r="Q3108" i="2"/>
  <c r="R3107" i="2"/>
  <c r="Q3107" i="2"/>
  <c r="R3106" i="2"/>
  <c r="Q3106" i="2"/>
  <c r="R3105" i="2"/>
  <c r="Q3105" i="2"/>
  <c r="R3104" i="2"/>
  <c r="Q3104" i="2"/>
  <c r="R3103" i="2"/>
  <c r="Q3103" i="2"/>
  <c r="R3102" i="2"/>
  <c r="Q3102" i="2"/>
  <c r="R3101" i="2"/>
  <c r="Q3101" i="2"/>
  <c r="R3100" i="2"/>
  <c r="Q3100" i="2"/>
  <c r="R3099" i="2"/>
  <c r="Q3099" i="2"/>
  <c r="R3098" i="2"/>
  <c r="Q3098" i="2"/>
  <c r="R3097" i="2"/>
  <c r="Q3097" i="2"/>
  <c r="R3096" i="2"/>
  <c r="Q3096" i="2"/>
  <c r="R3095" i="2"/>
  <c r="Q3095" i="2"/>
  <c r="R3094" i="2"/>
  <c r="Q3094" i="2"/>
  <c r="R3093" i="2"/>
  <c r="Q3093" i="2"/>
  <c r="R3092" i="2"/>
  <c r="Q3092" i="2"/>
  <c r="R3091" i="2"/>
  <c r="Q3091" i="2"/>
  <c r="R3090" i="2"/>
  <c r="Q3090" i="2"/>
  <c r="R3089" i="2"/>
  <c r="Q3089" i="2"/>
  <c r="R3088" i="2"/>
  <c r="Q3088" i="2"/>
  <c r="R3087" i="2"/>
  <c r="Q3087" i="2"/>
  <c r="R3086" i="2"/>
  <c r="Q3086" i="2"/>
  <c r="R3085" i="2"/>
  <c r="Q3085" i="2"/>
  <c r="R3084" i="2"/>
  <c r="Q3084" i="2"/>
  <c r="R3083" i="2"/>
  <c r="Q3083" i="2"/>
  <c r="R3082" i="2"/>
  <c r="Q3082" i="2"/>
  <c r="R3081" i="2"/>
  <c r="Q3081" i="2"/>
  <c r="R3080" i="2"/>
  <c r="Q3080" i="2"/>
  <c r="R3079" i="2"/>
  <c r="Q3079" i="2"/>
  <c r="R3078" i="2"/>
  <c r="Q3078" i="2"/>
  <c r="R3077" i="2"/>
  <c r="Q3077" i="2"/>
  <c r="R3076" i="2"/>
  <c r="Q3076" i="2"/>
  <c r="R3075" i="2"/>
  <c r="Q3075" i="2"/>
  <c r="R3074" i="2"/>
  <c r="Q3074" i="2"/>
  <c r="R3073" i="2"/>
  <c r="Q3073" i="2"/>
  <c r="R3072" i="2"/>
  <c r="Q3072" i="2"/>
  <c r="R3071" i="2"/>
  <c r="Q3071" i="2"/>
  <c r="R3070" i="2"/>
  <c r="Q3070" i="2"/>
  <c r="R3069" i="2"/>
  <c r="Q3069" i="2"/>
  <c r="R3068" i="2"/>
  <c r="Q3068" i="2"/>
  <c r="R3067" i="2"/>
  <c r="Q3067" i="2"/>
  <c r="R3066" i="2"/>
  <c r="Q3066" i="2"/>
  <c r="R3065" i="2"/>
  <c r="Q3065" i="2"/>
  <c r="R3064" i="2"/>
  <c r="Q3064" i="2"/>
  <c r="R3063" i="2"/>
  <c r="Q3063" i="2"/>
  <c r="R3062" i="2"/>
  <c r="Q3062" i="2"/>
  <c r="R3061" i="2"/>
  <c r="Q3061" i="2"/>
  <c r="R3060" i="2"/>
  <c r="Q3060" i="2"/>
  <c r="R3059" i="2"/>
  <c r="Q3059" i="2"/>
  <c r="R3058" i="2"/>
  <c r="Q3058" i="2"/>
  <c r="R3057" i="2"/>
  <c r="Q3057" i="2"/>
  <c r="R3056" i="2"/>
  <c r="Q3056" i="2"/>
  <c r="R3055" i="2"/>
  <c r="Q3055" i="2"/>
  <c r="R3054" i="2"/>
  <c r="Q3054" i="2"/>
  <c r="R3053" i="2"/>
  <c r="Q3053" i="2"/>
  <c r="R3052" i="2"/>
  <c r="Q3052" i="2"/>
  <c r="R3051" i="2"/>
  <c r="Q3051" i="2"/>
  <c r="R3050" i="2"/>
  <c r="Q3050" i="2"/>
  <c r="R3049" i="2"/>
  <c r="Q3049" i="2"/>
  <c r="R3048" i="2"/>
  <c r="Q3048" i="2"/>
  <c r="R3047" i="2"/>
  <c r="Q3047" i="2"/>
  <c r="R3046" i="2"/>
  <c r="Q3046" i="2"/>
  <c r="R3045" i="2"/>
  <c r="Q3045" i="2"/>
  <c r="R3044" i="2"/>
  <c r="Q3044" i="2"/>
  <c r="R3043" i="2"/>
  <c r="Q3043" i="2"/>
  <c r="R3042" i="2"/>
  <c r="Q3042" i="2"/>
  <c r="R3041" i="2"/>
  <c r="Q3041" i="2"/>
  <c r="R3040" i="2"/>
  <c r="Q3040" i="2"/>
  <c r="R3039" i="2"/>
  <c r="Q3039" i="2"/>
  <c r="R3038" i="2"/>
  <c r="Q3038" i="2"/>
  <c r="R3037" i="2"/>
  <c r="Q3037" i="2"/>
  <c r="R3036" i="2"/>
  <c r="Q3036" i="2"/>
  <c r="R3035" i="2"/>
  <c r="Q3035" i="2"/>
  <c r="R3034" i="2"/>
  <c r="Q3034" i="2"/>
  <c r="R3033" i="2"/>
  <c r="Q3033" i="2"/>
  <c r="R3032" i="2"/>
  <c r="Q3032" i="2"/>
  <c r="R3031" i="2"/>
  <c r="Q3031" i="2"/>
  <c r="R3030" i="2"/>
  <c r="Q3030" i="2"/>
  <c r="R3029" i="2"/>
  <c r="Q3029" i="2"/>
  <c r="R3028" i="2"/>
  <c r="Q3028" i="2"/>
  <c r="R3027" i="2"/>
  <c r="Q3027" i="2"/>
  <c r="R3026" i="2"/>
  <c r="Q3026" i="2"/>
  <c r="R3025" i="2"/>
  <c r="Q3025" i="2"/>
  <c r="R3024" i="2"/>
  <c r="Q3024" i="2"/>
  <c r="R3023" i="2"/>
  <c r="Q3023" i="2"/>
  <c r="R3022" i="2"/>
  <c r="Q3022" i="2"/>
  <c r="R3021" i="2"/>
  <c r="Q3021" i="2"/>
  <c r="R3020" i="2"/>
  <c r="Q3020" i="2"/>
  <c r="R3019" i="2"/>
  <c r="Q3019" i="2"/>
  <c r="R3018" i="2"/>
  <c r="Q3018" i="2"/>
  <c r="R3017" i="2"/>
  <c r="Q3017" i="2"/>
  <c r="R3016" i="2"/>
  <c r="Q3016" i="2"/>
  <c r="R3015" i="2"/>
  <c r="Q3015" i="2"/>
  <c r="R3014" i="2"/>
  <c r="Q3014" i="2"/>
  <c r="R3013" i="2"/>
  <c r="Q3013" i="2"/>
  <c r="R3012" i="2"/>
  <c r="Q3012" i="2"/>
  <c r="R3011" i="2"/>
  <c r="Q3011" i="2"/>
  <c r="R3010" i="2"/>
  <c r="Q3010" i="2"/>
  <c r="R3009" i="2"/>
  <c r="Q3009" i="2"/>
  <c r="R3008" i="2"/>
  <c r="Q3008" i="2"/>
  <c r="R3007" i="2"/>
  <c r="Q3007" i="2"/>
  <c r="R3006" i="2"/>
  <c r="Q3006" i="2"/>
  <c r="R3005" i="2"/>
  <c r="Q3005" i="2"/>
  <c r="R3004" i="2"/>
  <c r="Q3004" i="2"/>
  <c r="R3003" i="2"/>
  <c r="Q3003" i="2"/>
  <c r="R3002" i="2"/>
  <c r="Q3002" i="2"/>
  <c r="R3001" i="2"/>
  <c r="Q3001" i="2"/>
  <c r="R3000" i="2"/>
  <c r="Q3000" i="2"/>
  <c r="R2999" i="2"/>
  <c r="Q2999" i="2"/>
  <c r="R2998" i="2"/>
  <c r="Q2998" i="2"/>
  <c r="R2997" i="2"/>
  <c r="Q2997" i="2"/>
  <c r="R2996" i="2"/>
  <c r="Q2996" i="2"/>
  <c r="R2995" i="2"/>
  <c r="Q2995" i="2"/>
  <c r="R2994" i="2"/>
  <c r="Q2994" i="2"/>
  <c r="R2993" i="2"/>
  <c r="Q2993" i="2"/>
  <c r="R2992" i="2"/>
  <c r="Q2992" i="2"/>
  <c r="R2991" i="2"/>
  <c r="Q2991" i="2"/>
  <c r="R2990" i="2"/>
  <c r="Q2990" i="2"/>
  <c r="R2989" i="2"/>
  <c r="Q2989" i="2"/>
  <c r="R2988" i="2"/>
  <c r="Q2988" i="2"/>
  <c r="R2987" i="2"/>
  <c r="Q2987" i="2"/>
  <c r="R2986" i="2"/>
  <c r="Q2986" i="2"/>
  <c r="R2985" i="2"/>
  <c r="Q2985" i="2"/>
  <c r="R2984" i="2"/>
  <c r="Q2984" i="2"/>
  <c r="R2983" i="2"/>
  <c r="Q2983" i="2"/>
  <c r="R2982" i="2"/>
  <c r="Q2982" i="2"/>
  <c r="R2981" i="2"/>
  <c r="Q2981" i="2"/>
  <c r="R2980" i="2"/>
  <c r="Q2980" i="2"/>
  <c r="R2979" i="2"/>
  <c r="Q2979" i="2"/>
  <c r="R2978" i="2"/>
  <c r="Q2978" i="2"/>
  <c r="R2977" i="2"/>
  <c r="Q2977" i="2"/>
  <c r="R2976" i="2"/>
  <c r="Q2976" i="2"/>
  <c r="R2975" i="2"/>
  <c r="Q2975" i="2"/>
  <c r="R2974" i="2"/>
  <c r="Q2974" i="2"/>
  <c r="R2973" i="2"/>
  <c r="Q2973" i="2"/>
  <c r="R2972" i="2"/>
  <c r="Q2972" i="2"/>
  <c r="R2971" i="2"/>
  <c r="Q2971" i="2"/>
  <c r="R2970" i="2"/>
  <c r="Q2970" i="2"/>
  <c r="R2969" i="2"/>
  <c r="Q2969" i="2"/>
  <c r="R2968" i="2"/>
  <c r="Q2968" i="2"/>
  <c r="R2967" i="2"/>
  <c r="Q2967" i="2"/>
  <c r="R2966" i="2"/>
  <c r="Q2966" i="2"/>
  <c r="R2965" i="2"/>
  <c r="Q2965" i="2"/>
  <c r="R2964" i="2"/>
  <c r="Q2964" i="2"/>
  <c r="R2963" i="2"/>
  <c r="Q2963" i="2"/>
  <c r="R2962" i="2"/>
  <c r="Q2962" i="2"/>
  <c r="R2961" i="2"/>
  <c r="Q2961" i="2"/>
  <c r="R2960" i="2"/>
  <c r="Q2960" i="2"/>
  <c r="R2959" i="2"/>
  <c r="Q2959" i="2"/>
  <c r="R2958" i="2"/>
  <c r="Q2958" i="2"/>
  <c r="R2957" i="2"/>
  <c r="Q2957" i="2"/>
  <c r="R2956" i="2"/>
  <c r="Q2956" i="2"/>
  <c r="R2955" i="2"/>
  <c r="Q2955" i="2"/>
  <c r="R2954" i="2"/>
  <c r="Q2954" i="2"/>
  <c r="R2953" i="2"/>
  <c r="Q2953" i="2"/>
  <c r="R2952" i="2"/>
  <c r="Q2952" i="2"/>
  <c r="R2951" i="2"/>
  <c r="Q2951" i="2"/>
  <c r="R2950" i="2"/>
  <c r="Q2950" i="2"/>
  <c r="R2949" i="2"/>
  <c r="Q2949" i="2"/>
  <c r="R2948" i="2"/>
  <c r="Q2948" i="2"/>
  <c r="R2947" i="2"/>
  <c r="Q2947" i="2"/>
  <c r="R2946" i="2"/>
  <c r="Q2946" i="2"/>
  <c r="R2945" i="2"/>
  <c r="Q2945" i="2"/>
  <c r="R2944" i="2"/>
  <c r="Q2944" i="2"/>
  <c r="R2943" i="2"/>
  <c r="Q2943" i="2"/>
  <c r="R2942" i="2"/>
  <c r="Q2942" i="2"/>
  <c r="R2941" i="2"/>
  <c r="Q2941" i="2"/>
  <c r="R2940" i="2"/>
  <c r="Q2940" i="2"/>
  <c r="R2939" i="2"/>
  <c r="Q2939" i="2"/>
  <c r="R2938" i="2"/>
  <c r="Q2938" i="2"/>
  <c r="R2937" i="2"/>
  <c r="Q2937" i="2"/>
  <c r="R2936" i="2"/>
  <c r="Q2936" i="2"/>
  <c r="R2935" i="2"/>
  <c r="Q2935" i="2"/>
  <c r="R2934" i="2"/>
  <c r="Q2934" i="2"/>
  <c r="R2933" i="2"/>
  <c r="Q2933" i="2"/>
  <c r="R2932" i="2"/>
  <c r="Q2932" i="2"/>
  <c r="R2931" i="2"/>
  <c r="Q2931" i="2"/>
  <c r="R2930" i="2"/>
  <c r="Q2930" i="2"/>
  <c r="R2929" i="2"/>
  <c r="Q2929" i="2"/>
  <c r="R2928" i="2"/>
  <c r="Q2928" i="2"/>
  <c r="R2927" i="2"/>
  <c r="Q2927" i="2"/>
  <c r="R2926" i="2"/>
  <c r="Q2926" i="2"/>
  <c r="R2925" i="2"/>
  <c r="Q2925" i="2"/>
  <c r="R2924" i="2"/>
  <c r="Q2924" i="2"/>
  <c r="R2923" i="2"/>
  <c r="Q2923" i="2"/>
  <c r="R2922" i="2"/>
  <c r="Q2922" i="2"/>
  <c r="R2921" i="2"/>
  <c r="Q2921" i="2"/>
  <c r="R2920" i="2"/>
  <c r="Q2920" i="2"/>
  <c r="R2919" i="2"/>
  <c r="Q2919" i="2"/>
  <c r="R2918" i="2"/>
  <c r="Q2918" i="2"/>
  <c r="R2917" i="2"/>
  <c r="Q2917" i="2"/>
  <c r="R2916" i="2"/>
  <c r="Q2916" i="2"/>
  <c r="R2915" i="2"/>
  <c r="Q2915" i="2"/>
  <c r="R2914" i="2"/>
  <c r="Q2914" i="2"/>
  <c r="R2913" i="2"/>
  <c r="Q2913" i="2"/>
  <c r="R2912" i="2"/>
  <c r="Q2912" i="2"/>
  <c r="R2911" i="2"/>
  <c r="Q2911" i="2"/>
  <c r="R2910" i="2"/>
  <c r="Q2910" i="2"/>
  <c r="R2909" i="2"/>
  <c r="Q2909" i="2"/>
  <c r="R2908" i="2"/>
  <c r="Q2908" i="2"/>
  <c r="R2907" i="2"/>
  <c r="Q2907" i="2"/>
  <c r="R2906" i="2"/>
  <c r="Q2906" i="2"/>
  <c r="R2905" i="2"/>
  <c r="Q2905" i="2"/>
  <c r="R2904" i="2"/>
  <c r="Q2904" i="2"/>
  <c r="R2903" i="2"/>
  <c r="Q2903" i="2"/>
  <c r="R2902" i="2"/>
  <c r="Q2902" i="2"/>
  <c r="R2901" i="2"/>
  <c r="Q2901" i="2"/>
  <c r="R2900" i="2"/>
  <c r="Q2900" i="2"/>
  <c r="R2899" i="2"/>
  <c r="Q2899" i="2"/>
  <c r="R2898" i="2"/>
  <c r="Q2898" i="2"/>
  <c r="R2897" i="2"/>
  <c r="Q2897" i="2"/>
  <c r="R2896" i="2"/>
  <c r="Q2896" i="2"/>
  <c r="R2895" i="2"/>
  <c r="Q2895" i="2"/>
  <c r="R2894" i="2"/>
  <c r="Q2894" i="2"/>
  <c r="R2893" i="2"/>
  <c r="Q2893" i="2"/>
  <c r="R2892" i="2"/>
  <c r="Q2892" i="2"/>
  <c r="R2891" i="2"/>
  <c r="Q2891" i="2"/>
  <c r="R2890" i="2"/>
  <c r="Q2890" i="2"/>
  <c r="R2889" i="2"/>
  <c r="Q2889" i="2"/>
  <c r="R2888" i="2"/>
  <c r="Q2888" i="2"/>
  <c r="R2887" i="2"/>
  <c r="Q2887" i="2"/>
  <c r="R2886" i="2"/>
  <c r="Q2886" i="2"/>
  <c r="R2885" i="2"/>
  <c r="Q2885" i="2"/>
  <c r="R2884" i="2"/>
  <c r="Q2884" i="2"/>
  <c r="R2883" i="2"/>
  <c r="Q2883" i="2"/>
  <c r="R2882" i="2"/>
  <c r="Q2882" i="2"/>
  <c r="R2881" i="2"/>
  <c r="Q2881" i="2"/>
  <c r="R2880" i="2"/>
  <c r="Q2880" i="2"/>
  <c r="R2879" i="2"/>
  <c r="Q2879" i="2"/>
  <c r="R2878" i="2"/>
  <c r="Q2878" i="2"/>
  <c r="R2877" i="2"/>
  <c r="Q2877" i="2"/>
  <c r="R2876" i="2"/>
  <c r="Q2876" i="2"/>
  <c r="R2875" i="2"/>
  <c r="Q2875" i="2"/>
  <c r="R2874" i="2"/>
  <c r="Q2874" i="2"/>
  <c r="R2873" i="2"/>
  <c r="Q2873" i="2"/>
  <c r="R2872" i="2"/>
  <c r="Q2872" i="2"/>
  <c r="R2871" i="2"/>
  <c r="Q2871" i="2"/>
  <c r="R2870" i="2"/>
  <c r="Q2870" i="2"/>
  <c r="R2869" i="2"/>
  <c r="Q2869" i="2"/>
  <c r="R2868" i="2"/>
  <c r="Q2868" i="2"/>
  <c r="R2867" i="2"/>
  <c r="Q2867" i="2"/>
  <c r="R2866" i="2"/>
  <c r="Q2866" i="2"/>
  <c r="R2865" i="2"/>
  <c r="Q2865" i="2"/>
  <c r="R2864" i="2"/>
  <c r="Q2864" i="2"/>
  <c r="R2863" i="2"/>
  <c r="Q2863" i="2"/>
  <c r="R2862" i="2"/>
  <c r="Q2862" i="2"/>
  <c r="R2861" i="2"/>
  <c r="Q2861" i="2"/>
  <c r="R2860" i="2"/>
  <c r="Q2860" i="2"/>
  <c r="R2859" i="2"/>
  <c r="Q2859" i="2"/>
  <c r="R2858" i="2"/>
  <c r="Q2858" i="2"/>
  <c r="R2857" i="2"/>
  <c r="Q2857" i="2"/>
  <c r="R2856" i="2"/>
  <c r="Q2856" i="2"/>
  <c r="R2855" i="2"/>
  <c r="Q2855" i="2"/>
  <c r="R2854" i="2"/>
  <c r="Q2854" i="2"/>
  <c r="R2853" i="2"/>
  <c r="Q2853" i="2"/>
  <c r="R2852" i="2"/>
  <c r="Q2852" i="2"/>
  <c r="R2851" i="2"/>
  <c r="Q2851" i="2"/>
  <c r="R2850" i="2"/>
  <c r="Q2850" i="2"/>
  <c r="R2849" i="2"/>
  <c r="Q2849" i="2"/>
  <c r="R2848" i="2"/>
  <c r="Q2848" i="2"/>
  <c r="R2847" i="2"/>
  <c r="Q2847" i="2"/>
  <c r="R2846" i="2"/>
  <c r="Q2846" i="2"/>
  <c r="R2845" i="2"/>
  <c r="Q2845" i="2"/>
  <c r="R2844" i="2"/>
  <c r="Q2844" i="2"/>
  <c r="R2843" i="2"/>
  <c r="Q2843" i="2"/>
  <c r="R2842" i="2"/>
  <c r="Q2842" i="2"/>
  <c r="R2841" i="2"/>
  <c r="Q2841" i="2"/>
  <c r="R2840" i="2"/>
  <c r="Q2840" i="2"/>
  <c r="R2839" i="2"/>
  <c r="Q2839" i="2"/>
  <c r="R2838" i="2"/>
  <c r="Q2838" i="2"/>
  <c r="R2837" i="2"/>
  <c r="Q2837" i="2"/>
  <c r="R2836" i="2"/>
  <c r="Q2836" i="2"/>
  <c r="R2835" i="2"/>
  <c r="Q2835" i="2"/>
  <c r="R2834" i="2"/>
  <c r="Q2834" i="2"/>
  <c r="R2833" i="2"/>
  <c r="Q2833" i="2"/>
  <c r="R2832" i="2"/>
  <c r="Q2832" i="2"/>
  <c r="R2831" i="2"/>
  <c r="Q2831" i="2"/>
  <c r="R2830" i="2"/>
  <c r="Q2830" i="2"/>
  <c r="R2829" i="2"/>
  <c r="Q2829" i="2"/>
  <c r="R2828" i="2"/>
  <c r="Q2828" i="2"/>
  <c r="R2827" i="2"/>
  <c r="Q2827" i="2"/>
  <c r="R2826" i="2"/>
  <c r="Q2826" i="2"/>
  <c r="R2825" i="2"/>
  <c r="Q2825" i="2"/>
  <c r="R2824" i="2"/>
  <c r="Q2824" i="2"/>
  <c r="R2823" i="2"/>
  <c r="Q2823" i="2"/>
  <c r="R2822" i="2"/>
  <c r="Q2822" i="2"/>
  <c r="R2821" i="2"/>
  <c r="Q2821" i="2"/>
  <c r="R2820" i="2"/>
  <c r="Q2820" i="2"/>
  <c r="R2819" i="2"/>
  <c r="Q2819" i="2"/>
  <c r="R2818" i="2"/>
  <c r="Q2818" i="2"/>
  <c r="R2817" i="2"/>
  <c r="Q2817" i="2"/>
  <c r="R2816" i="2"/>
  <c r="Q2816" i="2"/>
  <c r="R2815" i="2"/>
  <c r="Q2815" i="2"/>
  <c r="R2814" i="2"/>
  <c r="Q2814" i="2"/>
  <c r="R2813" i="2"/>
  <c r="Q2813" i="2"/>
  <c r="R2812" i="2"/>
  <c r="Q2812" i="2"/>
  <c r="R2811" i="2"/>
  <c r="Q2811" i="2"/>
  <c r="R2810" i="2"/>
  <c r="Q2810" i="2"/>
  <c r="R2809" i="2"/>
  <c r="Q2809" i="2"/>
  <c r="R2808" i="2"/>
  <c r="Q2808" i="2"/>
  <c r="R2807" i="2"/>
  <c r="Q2807" i="2"/>
  <c r="R2806" i="2"/>
  <c r="Q2806" i="2"/>
  <c r="R2805" i="2"/>
  <c r="Q2805" i="2"/>
  <c r="R2804" i="2"/>
  <c r="Q2804" i="2"/>
  <c r="R2803" i="2"/>
  <c r="Q2803" i="2"/>
  <c r="R2802" i="2"/>
  <c r="Q2802" i="2"/>
  <c r="R2801" i="2"/>
  <c r="Q2801" i="2"/>
  <c r="R2800" i="2"/>
  <c r="Q2800" i="2"/>
  <c r="R2799" i="2"/>
  <c r="Q2799" i="2"/>
  <c r="R2798" i="2"/>
  <c r="Q2798" i="2"/>
  <c r="R2797" i="2"/>
  <c r="Q2797" i="2"/>
  <c r="R2796" i="2"/>
  <c r="Q2796" i="2"/>
  <c r="R2795" i="2"/>
  <c r="Q2795" i="2"/>
  <c r="R2794" i="2"/>
  <c r="Q2794" i="2"/>
  <c r="R2793" i="2"/>
  <c r="Q2793" i="2"/>
  <c r="R2792" i="2"/>
  <c r="Q2792" i="2"/>
  <c r="R2791" i="2"/>
  <c r="Q2791" i="2"/>
  <c r="R2790" i="2"/>
  <c r="Q2790" i="2"/>
  <c r="R2789" i="2"/>
  <c r="Q2789" i="2"/>
  <c r="R2788" i="2"/>
  <c r="Q2788" i="2"/>
  <c r="R2787" i="2"/>
  <c r="Q2787" i="2"/>
  <c r="R2786" i="2"/>
  <c r="Q2786" i="2"/>
  <c r="R2785" i="2"/>
  <c r="Q2785" i="2"/>
  <c r="R2784" i="2"/>
  <c r="Q2784" i="2"/>
  <c r="R2783" i="2"/>
  <c r="Q2783" i="2"/>
  <c r="R2782" i="2"/>
  <c r="Q2782" i="2"/>
  <c r="R2781" i="2"/>
  <c r="Q2781" i="2"/>
  <c r="R2780" i="2"/>
  <c r="Q2780" i="2"/>
  <c r="R2779" i="2"/>
  <c r="Q2779" i="2"/>
  <c r="R2778" i="2"/>
  <c r="Q2778" i="2"/>
  <c r="R2777" i="2"/>
  <c r="Q2777" i="2"/>
  <c r="R2776" i="2"/>
  <c r="Q2776" i="2"/>
  <c r="R2775" i="2"/>
  <c r="Q2775" i="2"/>
  <c r="R2774" i="2"/>
  <c r="Q2774" i="2"/>
  <c r="R2773" i="2"/>
  <c r="Q2773" i="2"/>
  <c r="R2772" i="2"/>
  <c r="Q2772" i="2"/>
  <c r="R2771" i="2"/>
  <c r="Q2771" i="2"/>
  <c r="R2770" i="2"/>
  <c r="Q2770" i="2"/>
  <c r="R2769" i="2"/>
  <c r="Q2769" i="2"/>
  <c r="R2768" i="2"/>
  <c r="Q2768" i="2"/>
  <c r="R2767" i="2"/>
  <c r="Q2767" i="2"/>
  <c r="R2766" i="2"/>
  <c r="Q2766" i="2"/>
  <c r="R2765" i="2"/>
  <c r="Q2765" i="2"/>
  <c r="R2764" i="2"/>
  <c r="Q2764" i="2"/>
  <c r="R2763" i="2"/>
  <c r="Q2763" i="2"/>
  <c r="R2762" i="2"/>
  <c r="Q2762" i="2"/>
  <c r="R2761" i="2"/>
  <c r="Q2761" i="2"/>
  <c r="R2760" i="2"/>
  <c r="Q2760" i="2"/>
  <c r="R2759" i="2"/>
  <c r="Q2759" i="2"/>
  <c r="R2758" i="2"/>
  <c r="Q2758" i="2"/>
  <c r="R2757" i="2"/>
  <c r="Q2757" i="2"/>
  <c r="R2756" i="2"/>
  <c r="Q2756" i="2"/>
  <c r="R2755" i="2"/>
  <c r="Q2755" i="2"/>
  <c r="R2754" i="2"/>
  <c r="Q2754" i="2"/>
  <c r="R2753" i="2"/>
  <c r="Q2753" i="2"/>
  <c r="R2752" i="2"/>
  <c r="Q2752" i="2"/>
  <c r="R2751" i="2"/>
  <c r="Q2751" i="2"/>
  <c r="R2750" i="2"/>
  <c r="Q2750" i="2"/>
  <c r="R2749" i="2"/>
  <c r="Q2749" i="2"/>
  <c r="R2748" i="2"/>
  <c r="Q2748" i="2"/>
  <c r="R2747" i="2"/>
  <c r="Q2747" i="2"/>
  <c r="R2746" i="2"/>
  <c r="Q2746" i="2"/>
  <c r="R2745" i="2"/>
  <c r="Q2745" i="2"/>
  <c r="R2744" i="2"/>
  <c r="Q2744" i="2"/>
  <c r="R2743" i="2"/>
  <c r="Q2743" i="2"/>
  <c r="R2742" i="2"/>
  <c r="Q2742" i="2"/>
  <c r="R2741" i="2"/>
  <c r="Q2741" i="2"/>
  <c r="R2740" i="2"/>
  <c r="Q2740" i="2"/>
  <c r="R2739" i="2"/>
  <c r="Q2739" i="2"/>
  <c r="R2738" i="2"/>
  <c r="Q2738" i="2"/>
  <c r="R2737" i="2"/>
  <c r="Q2737" i="2"/>
  <c r="R2736" i="2"/>
  <c r="Q2736" i="2"/>
  <c r="R2735" i="2"/>
  <c r="Q2735" i="2"/>
  <c r="R2734" i="2"/>
  <c r="Q2734" i="2"/>
  <c r="R2733" i="2"/>
  <c r="Q2733" i="2"/>
  <c r="R2732" i="2"/>
  <c r="Q2732" i="2"/>
  <c r="R2731" i="2"/>
  <c r="Q2731" i="2"/>
  <c r="R2730" i="2"/>
  <c r="Q2730" i="2"/>
  <c r="R2729" i="2"/>
  <c r="Q2729" i="2"/>
  <c r="R2728" i="2"/>
  <c r="Q2728" i="2"/>
  <c r="R2727" i="2"/>
  <c r="Q2727" i="2"/>
  <c r="R2726" i="2"/>
  <c r="Q2726" i="2"/>
  <c r="R2725" i="2"/>
  <c r="Q2725" i="2"/>
  <c r="R2724" i="2"/>
  <c r="Q2724" i="2"/>
  <c r="R2723" i="2"/>
  <c r="Q2723" i="2"/>
  <c r="R2722" i="2"/>
  <c r="Q2722" i="2"/>
  <c r="R2721" i="2"/>
  <c r="Q2721" i="2"/>
  <c r="R2720" i="2"/>
  <c r="Q2720" i="2"/>
  <c r="R2719" i="2"/>
  <c r="Q2719" i="2"/>
  <c r="R2718" i="2"/>
  <c r="Q2718" i="2"/>
  <c r="R2717" i="2"/>
  <c r="Q2717" i="2"/>
  <c r="R2716" i="2"/>
  <c r="Q2716" i="2"/>
  <c r="R2715" i="2"/>
  <c r="Q2715" i="2"/>
  <c r="R2714" i="2"/>
  <c r="Q2714" i="2"/>
  <c r="R2713" i="2"/>
  <c r="Q2713" i="2"/>
  <c r="R2712" i="2"/>
  <c r="Q2712" i="2"/>
  <c r="R2711" i="2"/>
  <c r="Q2711" i="2"/>
  <c r="R2710" i="2"/>
  <c r="Q2710" i="2"/>
  <c r="R2709" i="2"/>
  <c r="Q2709" i="2"/>
  <c r="R2708" i="2"/>
  <c r="Q2708" i="2"/>
  <c r="R2707" i="2"/>
  <c r="Q2707" i="2"/>
  <c r="R2706" i="2"/>
  <c r="Q2706" i="2"/>
  <c r="R2705" i="2"/>
  <c r="Q2705" i="2"/>
  <c r="R2704" i="2"/>
  <c r="Q2704" i="2"/>
  <c r="R2703" i="2"/>
  <c r="Q2703" i="2"/>
  <c r="R2702" i="2"/>
  <c r="Q2702" i="2"/>
  <c r="R2701" i="2"/>
  <c r="Q2701" i="2"/>
  <c r="R2700" i="2"/>
  <c r="Q2700" i="2"/>
  <c r="R2699" i="2"/>
  <c r="Q2699" i="2"/>
  <c r="R2698" i="2"/>
  <c r="Q2698" i="2"/>
  <c r="R2697" i="2"/>
  <c r="Q2697" i="2"/>
  <c r="R2696" i="2"/>
  <c r="Q2696" i="2"/>
  <c r="R2695" i="2"/>
  <c r="Q2695" i="2"/>
  <c r="R2694" i="2"/>
  <c r="Q2694" i="2"/>
  <c r="R2693" i="2"/>
  <c r="Q2693" i="2"/>
  <c r="R2692" i="2"/>
  <c r="Q2692" i="2"/>
  <c r="R2691" i="2"/>
  <c r="Q2691" i="2"/>
  <c r="R2690" i="2"/>
  <c r="Q2690" i="2"/>
  <c r="R2689" i="2"/>
  <c r="Q2689" i="2"/>
  <c r="R2688" i="2"/>
  <c r="Q2688" i="2"/>
  <c r="R2687" i="2"/>
  <c r="Q2687" i="2"/>
  <c r="R2686" i="2"/>
  <c r="Q2686" i="2"/>
  <c r="R2685" i="2"/>
  <c r="Q2685" i="2"/>
  <c r="R2684" i="2"/>
  <c r="Q2684" i="2"/>
  <c r="R2683" i="2"/>
  <c r="Q2683" i="2"/>
  <c r="R2682" i="2"/>
  <c r="Q2682" i="2"/>
  <c r="R2681" i="2"/>
  <c r="Q2681" i="2"/>
  <c r="R2680" i="2"/>
  <c r="Q2680" i="2"/>
  <c r="R2679" i="2"/>
  <c r="Q2679" i="2"/>
  <c r="R2678" i="2"/>
  <c r="Q2678" i="2"/>
  <c r="R2677" i="2"/>
  <c r="Q2677" i="2"/>
  <c r="R2676" i="2"/>
  <c r="Q2676" i="2"/>
  <c r="R2675" i="2"/>
  <c r="Q2675" i="2"/>
  <c r="R2674" i="2"/>
  <c r="Q2674" i="2"/>
  <c r="R2673" i="2"/>
  <c r="Q2673" i="2"/>
  <c r="R2672" i="2"/>
  <c r="Q2672" i="2"/>
  <c r="R2671" i="2"/>
  <c r="Q2671" i="2"/>
  <c r="R2670" i="2"/>
  <c r="Q2670" i="2"/>
  <c r="R2669" i="2"/>
  <c r="Q2669" i="2"/>
  <c r="R2668" i="2"/>
  <c r="Q2668" i="2"/>
  <c r="R2667" i="2"/>
  <c r="Q2667" i="2"/>
  <c r="R2666" i="2"/>
  <c r="Q2666" i="2"/>
  <c r="R2665" i="2"/>
  <c r="Q2665" i="2"/>
  <c r="R2664" i="2"/>
  <c r="Q2664" i="2"/>
  <c r="R2663" i="2"/>
  <c r="Q2663" i="2"/>
  <c r="R2662" i="2"/>
  <c r="Q2662" i="2"/>
  <c r="R2661" i="2"/>
  <c r="Q2661" i="2"/>
  <c r="R2660" i="2"/>
  <c r="Q2660" i="2"/>
  <c r="R2659" i="2"/>
  <c r="Q2659" i="2"/>
  <c r="R2658" i="2"/>
  <c r="Q2658" i="2"/>
  <c r="R2657" i="2"/>
  <c r="Q2657" i="2"/>
  <c r="R2656" i="2"/>
  <c r="Q2656" i="2"/>
  <c r="R2655" i="2"/>
  <c r="Q2655" i="2"/>
  <c r="R2654" i="2"/>
  <c r="Q2654" i="2"/>
  <c r="R2653" i="2"/>
  <c r="Q2653" i="2"/>
  <c r="R2652" i="2"/>
  <c r="Q2652" i="2"/>
  <c r="R2651" i="2"/>
  <c r="Q2651" i="2"/>
  <c r="R2650" i="2"/>
  <c r="Q2650" i="2"/>
  <c r="R2649" i="2"/>
  <c r="Q2649" i="2"/>
  <c r="R2648" i="2"/>
  <c r="Q2648" i="2"/>
  <c r="R2647" i="2"/>
  <c r="Q2647" i="2"/>
  <c r="R2646" i="2"/>
  <c r="Q2646" i="2"/>
  <c r="R2645" i="2"/>
  <c r="Q2645" i="2"/>
  <c r="R2644" i="2"/>
  <c r="Q2644" i="2"/>
  <c r="R2643" i="2"/>
  <c r="Q2643" i="2"/>
  <c r="R2642" i="2"/>
  <c r="Q2642" i="2"/>
  <c r="R2641" i="2"/>
  <c r="Q2641" i="2"/>
  <c r="R2640" i="2"/>
  <c r="Q2640" i="2"/>
  <c r="R2639" i="2"/>
  <c r="Q2639" i="2"/>
  <c r="R2638" i="2"/>
  <c r="Q2638" i="2"/>
  <c r="R2637" i="2"/>
  <c r="Q2637" i="2"/>
  <c r="R2636" i="2"/>
  <c r="Q2636" i="2"/>
  <c r="R2635" i="2"/>
  <c r="Q2635" i="2"/>
  <c r="R2634" i="2"/>
  <c r="Q2634" i="2"/>
  <c r="R2633" i="2"/>
  <c r="Q2633" i="2"/>
  <c r="R2632" i="2"/>
  <c r="Q2632" i="2"/>
  <c r="R2631" i="2"/>
  <c r="Q2631" i="2"/>
  <c r="R2630" i="2"/>
  <c r="Q2630" i="2"/>
  <c r="R2629" i="2"/>
  <c r="Q2629" i="2"/>
  <c r="R2628" i="2"/>
  <c r="Q2628" i="2"/>
  <c r="R2627" i="2"/>
  <c r="Q2627" i="2"/>
  <c r="R2626" i="2"/>
  <c r="Q2626" i="2"/>
  <c r="R2625" i="2"/>
  <c r="Q2625" i="2"/>
  <c r="R2624" i="2"/>
  <c r="Q2624" i="2"/>
  <c r="R2623" i="2"/>
  <c r="Q2623" i="2"/>
  <c r="R2622" i="2"/>
  <c r="Q2622" i="2"/>
  <c r="R2621" i="2"/>
  <c r="Q2621" i="2"/>
  <c r="R2620" i="2"/>
  <c r="Q2620" i="2"/>
  <c r="R2619" i="2"/>
  <c r="Q2619" i="2"/>
  <c r="R2618" i="2"/>
  <c r="Q2618" i="2"/>
  <c r="R2617" i="2"/>
  <c r="Q2617" i="2"/>
  <c r="R2616" i="2"/>
  <c r="Q2616" i="2"/>
  <c r="R2615" i="2"/>
  <c r="Q2615" i="2"/>
  <c r="R2614" i="2"/>
  <c r="Q2614" i="2"/>
  <c r="R2613" i="2"/>
  <c r="Q2613" i="2"/>
  <c r="R2612" i="2"/>
  <c r="Q2612" i="2"/>
  <c r="R2611" i="2"/>
  <c r="Q2611" i="2"/>
  <c r="R2610" i="2"/>
  <c r="Q2610" i="2"/>
  <c r="R2609" i="2"/>
  <c r="Q2609" i="2"/>
  <c r="R2608" i="2"/>
  <c r="Q2608" i="2"/>
  <c r="R2607" i="2"/>
  <c r="Q2607" i="2"/>
  <c r="R2606" i="2"/>
  <c r="Q2606" i="2"/>
  <c r="R2605" i="2"/>
  <c r="Q2605" i="2"/>
  <c r="R2604" i="2"/>
  <c r="Q2604" i="2"/>
  <c r="R2603" i="2"/>
  <c r="Q2603" i="2"/>
  <c r="R2602" i="2"/>
  <c r="Q2602" i="2"/>
  <c r="R2601" i="2"/>
  <c r="Q2601" i="2"/>
  <c r="R2600" i="2"/>
  <c r="Q2600" i="2"/>
  <c r="R2599" i="2"/>
  <c r="Q2599" i="2"/>
  <c r="R2598" i="2"/>
  <c r="Q2598" i="2"/>
  <c r="R2597" i="2"/>
  <c r="Q2597" i="2"/>
  <c r="R2596" i="2"/>
  <c r="Q2596" i="2"/>
  <c r="R2595" i="2"/>
  <c r="Q2595" i="2"/>
  <c r="R2594" i="2"/>
  <c r="Q2594" i="2"/>
  <c r="R2593" i="2"/>
  <c r="Q2593" i="2"/>
  <c r="R2592" i="2"/>
  <c r="Q2592" i="2"/>
  <c r="R2591" i="2"/>
  <c r="Q2591" i="2"/>
  <c r="R2590" i="2"/>
  <c r="Q2590" i="2"/>
  <c r="R2589" i="2"/>
  <c r="Q2589" i="2"/>
  <c r="R2588" i="2"/>
  <c r="Q2588" i="2"/>
  <c r="R2587" i="2"/>
  <c r="Q2587" i="2"/>
  <c r="R2586" i="2"/>
  <c r="Q2586" i="2"/>
  <c r="R2585" i="2"/>
  <c r="Q2585" i="2"/>
  <c r="R2584" i="2"/>
  <c r="Q2584" i="2"/>
  <c r="R2583" i="2"/>
  <c r="Q2583" i="2"/>
  <c r="R2582" i="2"/>
  <c r="Q2582" i="2"/>
  <c r="R2581" i="2"/>
  <c r="Q2581" i="2"/>
  <c r="R2580" i="2"/>
  <c r="Q2580" i="2"/>
  <c r="R2579" i="2"/>
  <c r="Q2579" i="2"/>
  <c r="R2578" i="2"/>
  <c r="Q2578" i="2"/>
  <c r="R2577" i="2"/>
  <c r="Q2577" i="2"/>
  <c r="R2576" i="2"/>
  <c r="Q2576" i="2"/>
  <c r="R2575" i="2"/>
  <c r="Q2575" i="2"/>
  <c r="R2574" i="2"/>
  <c r="Q2574" i="2"/>
  <c r="R2573" i="2"/>
  <c r="Q2573" i="2"/>
  <c r="R2572" i="2"/>
  <c r="Q2572" i="2"/>
  <c r="R2571" i="2"/>
  <c r="Q2571" i="2"/>
  <c r="R2570" i="2"/>
  <c r="Q2570" i="2"/>
  <c r="R2569" i="2"/>
  <c r="Q2569" i="2"/>
  <c r="R2568" i="2"/>
  <c r="Q2568" i="2"/>
  <c r="R2567" i="2"/>
  <c r="Q2567" i="2"/>
  <c r="R2566" i="2"/>
  <c r="Q2566" i="2"/>
  <c r="R2565" i="2"/>
  <c r="Q2565" i="2"/>
  <c r="R2564" i="2"/>
  <c r="Q2564" i="2"/>
  <c r="R2563" i="2"/>
  <c r="Q2563" i="2"/>
  <c r="R2562" i="2"/>
  <c r="Q2562" i="2"/>
  <c r="R2561" i="2"/>
  <c r="Q2561" i="2"/>
  <c r="R2560" i="2"/>
  <c r="Q2560" i="2"/>
  <c r="R2559" i="2"/>
  <c r="Q2559" i="2"/>
  <c r="R2558" i="2"/>
  <c r="Q2558" i="2"/>
  <c r="R2557" i="2"/>
  <c r="Q2557" i="2"/>
  <c r="R2556" i="2"/>
  <c r="Q2556" i="2"/>
  <c r="R2555" i="2"/>
  <c r="Q2555" i="2"/>
  <c r="R2554" i="2"/>
  <c r="Q2554" i="2"/>
  <c r="R2553" i="2"/>
  <c r="Q2553" i="2"/>
  <c r="R2552" i="2"/>
  <c r="Q2552" i="2"/>
  <c r="R2551" i="2"/>
  <c r="Q2551" i="2"/>
  <c r="R2550" i="2"/>
  <c r="Q2550" i="2"/>
  <c r="R2549" i="2"/>
  <c r="Q2549" i="2"/>
  <c r="R2548" i="2"/>
  <c r="Q2548" i="2"/>
  <c r="R2547" i="2"/>
  <c r="Q2547" i="2"/>
  <c r="R2546" i="2"/>
  <c r="Q2546" i="2"/>
  <c r="R2545" i="2"/>
  <c r="Q2545" i="2"/>
  <c r="R2544" i="2"/>
  <c r="Q2544" i="2"/>
  <c r="R2543" i="2"/>
  <c r="Q2543" i="2"/>
  <c r="R2542" i="2"/>
  <c r="Q2542" i="2"/>
  <c r="R2541" i="2"/>
  <c r="Q2541" i="2"/>
  <c r="R2540" i="2"/>
  <c r="Q2540" i="2"/>
  <c r="R2539" i="2"/>
  <c r="Q2539" i="2"/>
  <c r="R2538" i="2"/>
  <c r="Q2538" i="2"/>
  <c r="R2537" i="2"/>
  <c r="Q2537" i="2"/>
  <c r="R2536" i="2"/>
  <c r="Q2536" i="2"/>
  <c r="R2535" i="2"/>
  <c r="Q2535" i="2"/>
  <c r="R2534" i="2"/>
  <c r="Q2534" i="2"/>
  <c r="R2533" i="2"/>
  <c r="Q2533" i="2"/>
  <c r="R2532" i="2"/>
  <c r="Q2532" i="2"/>
  <c r="R2531" i="2"/>
  <c r="Q2531" i="2"/>
  <c r="R2530" i="2"/>
  <c r="Q2530" i="2"/>
  <c r="R2529" i="2"/>
  <c r="Q2529" i="2"/>
  <c r="R2528" i="2"/>
  <c r="Q2528" i="2"/>
  <c r="R2527" i="2"/>
  <c r="Q2527" i="2"/>
  <c r="R2526" i="2"/>
  <c r="Q2526" i="2"/>
  <c r="R2525" i="2"/>
  <c r="Q2525" i="2"/>
  <c r="R2524" i="2"/>
  <c r="Q2524" i="2"/>
  <c r="R2523" i="2"/>
  <c r="Q2523" i="2"/>
  <c r="R2522" i="2"/>
  <c r="Q2522" i="2"/>
  <c r="R2521" i="2"/>
  <c r="Q2521" i="2"/>
  <c r="R2520" i="2"/>
  <c r="Q2520" i="2"/>
  <c r="R2519" i="2"/>
  <c r="Q2519" i="2"/>
  <c r="R2518" i="2"/>
  <c r="Q2518" i="2"/>
  <c r="R2517" i="2"/>
  <c r="Q2517" i="2"/>
  <c r="R2516" i="2"/>
  <c r="Q2516" i="2"/>
  <c r="R2515" i="2"/>
  <c r="Q2515" i="2"/>
  <c r="R2514" i="2"/>
  <c r="Q2514" i="2"/>
  <c r="R2513" i="2"/>
  <c r="Q2513" i="2"/>
  <c r="R2512" i="2"/>
  <c r="Q2512" i="2"/>
  <c r="R2511" i="2"/>
  <c r="Q2511" i="2"/>
  <c r="R2510" i="2"/>
  <c r="Q2510" i="2"/>
  <c r="R2509" i="2"/>
  <c r="Q2509" i="2"/>
  <c r="R2508" i="2"/>
  <c r="Q2508" i="2"/>
  <c r="R2507" i="2"/>
  <c r="Q2507" i="2"/>
  <c r="R2506" i="2"/>
  <c r="Q2506" i="2"/>
  <c r="R2505" i="2"/>
  <c r="Q2505" i="2"/>
  <c r="R2504" i="2"/>
  <c r="Q2504" i="2"/>
  <c r="R2503" i="2"/>
  <c r="Q2503" i="2"/>
  <c r="R2502" i="2"/>
  <c r="Q2502" i="2"/>
  <c r="R2501" i="2"/>
  <c r="Q2501" i="2"/>
  <c r="R2500" i="2"/>
  <c r="Q2500" i="2"/>
  <c r="R2499" i="2"/>
  <c r="Q2499" i="2"/>
  <c r="R2498" i="2"/>
  <c r="Q2498" i="2"/>
  <c r="R2497" i="2"/>
  <c r="Q2497" i="2"/>
  <c r="R2496" i="2"/>
  <c r="Q2496" i="2"/>
  <c r="R2495" i="2"/>
  <c r="Q2495" i="2"/>
  <c r="R2494" i="2"/>
  <c r="Q2494" i="2"/>
  <c r="R2493" i="2"/>
  <c r="Q2493" i="2"/>
  <c r="R2492" i="2"/>
  <c r="Q2492" i="2"/>
  <c r="R2491" i="2"/>
  <c r="Q2491" i="2"/>
  <c r="R2490" i="2"/>
  <c r="Q2490" i="2"/>
  <c r="R2489" i="2"/>
  <c r="Q2489" i="2"/>
  <c r="R2488" i="2"/>
  <c r="Q2488" i="2"/>
  <c r="R2487" i="2"/>
  <c r="Q2487" i="2"/>
  <c r="R2486" i="2"/>
  <c r="Q2486" i="2"/>
  <c r="R2485" i="2"/>
  <c r="Q2485" i="2"/>
  <c r="R2484" i="2"/>
  <c r="Q2484" i="2"/>
  <c r="R2483" i="2"/>
  <c r="Q2483" i="2"/>
  <c r="R2482" i="2"/>
  <c r="Q2482" i="2"/>
  <c r="R2481" i="2"/>
  <c r="Q2481" i="2"/>
  <c r="R2480" i="2"/>
  <c r="Q2480" i="2"/>
  <c r="R2479" i="2"/>
  <c r="Q2479" i="2"/>
  <c r="R2478" i="2"/>
  <c r="Q2478" i="2"/>
  <c r="R2477" i="2"/>
  <c r="Q2477" i="2"/>
  <c r="R2476" i="2"/>
  <c r="Q2476" i="2"/>
  <c r="R2475" i="2"/>
  <c r="Q2475" i="2"/>
  <c r="R2474" i="2"/>
  <c r="Q2474" i="2"/>
  <c r="R2473" i="2"/>
  <c r="Q2473" i="2"/>
  <c r="R2472" i="2"/>
  <c r="Q2472" i="2"/>
  <c r="R2471" i="2"/>
  <c r="Q2471" i="2"/>
  <c r="R2470" i="2"/>
  <c r="Q2470" i="2"/>
  <c r="R2469" i="2"/>
  <c r="Q2469" i="2"/>
  <c r="R2468" i="2"/>
  <c r="Q2468" i="2"/>
  <c r="R2467" i="2"/>
  <c r="Q2467" i="2"/>
  <c r="R2466" i="2"/>
  <c r="Q2466" i="2"/>
  <c r="R2465" i="2"/>
  <c r="Q2465" i="2"/>
  <c r="R2464" i="2"/>
  <c r="Q2464" i="2"/>
  <c r="R2463" i="2"/>
  <c r="Q2463" i="2"/>
  <c r="R2462" i="2"/>
  <c r="Q2462" i="2"/>
  <c r="R2461" i="2"/>
  <c r="Q2461" i="2"/>
  <c r="R2460" i="2"/>
  <c r="Q2460" i="2"/>
  <c r="R2459" i="2"/>
  <c r="Q2459" i="2"/>
  <c r="R2458" i="2"/>
  <c r="Q2458" i="2"/>
  <c r="R2457" i="2"/>
  <c r="Q2457" i="2"/>
  <c r="R2456" i="2"/>
  <c r="Q2456" i="2"/>
  <c r="R2455" i="2"/>
  <c r="Q2455" i="2"/>
  <c r="R2454" i="2"/>
  <c r="Q2454" i="2"/>
  <c r="R2453" i="2"/>
  <c r="Q2453" i="2"/>
  <c r="R2452" i="2"/>
  <c r="Q2452" i="2"/>
  <c r="R2451" i="2"/>
  <c r="Q2451" i="2"/>
  <c r="R2450" i="2"/>
  <c r="Q2450" i="2"/>
  <c r="R2449" i="2"/>
  <c r="Q2449" i="2"/>
  <c r="R2448" i="2"/>
  <c r="Q2448" i="2"/>
  <c r="R2447" i="2"/>
  <c r="Q2447" i="2"/>
  <c r="R2446" i="2"/>
  <c r="Q2446" i="2"/>
  <c r="R2445" i="2"/>
  <c r="Q2445" i="2"/>
  <c r="R2444" i="2"/>
  <c r="Q2444" i="2"/>
  <c r="R2443" i="2"/>
  <c r="Q2443" i="2"/>
  <c r="R2442" i="2"/>
  <c r="Q2442" i="2"/>
  <c r="R2441" i="2"/>
  <c r="Q2441" i="2"/>
  <c r="R2440" i="2"/>
  <c r="Q2440" i="2"/>
  <c r="R2439" i="2"/>
  <c r="Q2439" i="2"/>
  <c r="R2438" i="2"/>
  <c r="Q2438" i="2"/>
  <c r="R2437" i="2"/>
  <c r="Q2437" i="2"/>
  <c r="R2436" i="2"/>
  <c r="Q2436" i="2"/>
  <c r="R2435" i="2"/>
  <c r="Q2435" i="2"/>
  <c r="R2434" i="2"/>
  <c r="Q2434" i="2"/>
  <c r="R2433" i="2"/>
  <c r="Q2433" i="2"/>
  <c r="R2432" i="2"/>
  <c r="Q2432" i="2"/>
  <c r="R2431" i="2"/>
  <c r="Q2431" i="2"/>
  <c r="R2430" i="2"/>
  <c r="Q2430" i="2"/>
  <c r="R2429" i="2"/>
  <c r="Q2429" i="2"/>
  <c r="R2428" i="2"/>
  <c r="Q2428" i="2"/>
  <c r="R2427" i="2"/>
  <c r="Q2427" i="2"/>
  <c r="R2426" i="2"/>
  <c r="Q2426" i="2"/>
  <c r="R2425" i="2"/>
  <c r="Q2425" i="2"/>
  <c r="R2424" i="2"/>
  <c r="Q2424" i="2"/>
  <c r="R2423" i="2"/>
  <c r="Q2423" i="2"/>
  <c r="R2422" i="2"/>
  <c r="Q2422" i="2"/>
  <c r="R2421" i="2"/>
  <c r="Q2421" i="2"/>
  <c r="R2420" i="2"/>
  <c r="Q2420" i="2"/>
  <c r="R2419" i="2"/>
  <c r="Q2419" i="2"/>
  <c r="R2418" i="2"/>
  <c r="Q2418" i="2"/>
  <c r="R2417" i="2"/>
  <c r="Q2417" i="2"/>
  <c r="R2416" i="2"/>
  <c r="Q2416" i="2"/>
  <c r="R2415" i="2"/>
  <c r="Q2415" i="2"/>
  <c r="R2414" i="2"/>
  <c r="Q2414" i="2"/>
  <c r="R2413" i="2"/>
  <c r="Q2413" i="2"/>
  <c r="R2412" i="2"/>
  <c r="Q2412" i="2"/>
  <c r="R2411" i="2"/>
  <c r="Q2411" i="2"/>
  <c r="R2410" i="2"/>
  <c r="Q2410" i="2"/>
  <c r="R2409" i="2"/>
  <c r="Q2409" i="2"/>
  <c r="R2408" i="2"/>
  <c r="Q2408" i="2"/>
  <c r="R2407" i="2"/>
  <c r="Q2407" i="2"/>
  <c r="R2406" i="2"/>
  <c r="Q2406" i="2"/>
  <c r="R2405" i="2"/>
  <c r="Q2405" i="2"/>
  <c r="R2404" i="2"/>
  <c r="Q2404" i="2"/>
  <c r="R2403" i="2"/>
  <c r="Q2403" i="2"/>
  <c r="R2402" i="2"/>
  <c r="Q2402" i="2"/>
  <c r="R2401" i="2"/>
  <c r="Q2401" i="2"/>
  <c r="R2400" i="2"/>
  <c r="Q2400" i="2"/>
  <c r="R2399" i="2"/>
  <c r="Q2399" i="2"/>
  <c r="R2398" i="2"/>
  <c r="Q2398" i="2"/>
  <c r="R2397" i="2"/>
  <c r="Q2397" i="2"/>
  <c r="R2396" i="2"/>
  <c r="Q2396" i="2"/>
  <c r="R2395" i="2"/>
  <c r="Q2395" i="2"/>
  <c r="R2394" i="2"/>
  <c r="Q2394" i="2"/>
  <c r="R2393" i="2"/>
  <c r="Q2393" i="2"/>
  <c r="R2392" i="2"/>
  <c r="Q2392" i="2"/>
  <c r="R2391" i="2"/>
  <c r="Q2391" i="2"/>
  <c r="R2390" i="2"/>
  <c r="Q2390" i="2"/>
  <c r="R2389" i="2"/>
  <c r="Q2389" i="2"/>
  <c r="R2388" i="2"/>
  <c r="Q2388" i="2"/>
  <c r="R2387" i="2"/>
  <c r="Q2387" i="2"/>
  <c r="R2386" i="2"/>
  <c r="Q2386" i="2"/>
  <c r="R2385" i="2"/>
  <c r="Q2385" i="2"/>
  <c r="R2384" i="2"/>
  <c r="Q2384" i="2"/>
  <c r="R2383" i="2"/>
  <c r="Q2383" i="2"/>
  <c r="R2382" i="2"/>
  <c r="Q2382" i="2"/>
  <c r="R2381" i="2"/>
  <c r="Q2381" i="2"/>
  <c r="R2380" i="2"/>
  <c r="Q2380" i="2"/>
  <c r="R2379" i="2"/>
  <c r="Q2379" i="2"/>
  <c r="R2378" i="2"/>
  <c r="Q2378" i="2"/>
  <c r="R2377" i="2"/>
  <c r="Q2377" i="2"/>
  <c r="R2376" i="2"/>
  <c r="Q2376" i="2"/>
  <c r="R2375" i="2"/>
  <c r="Q2375" i="2"/>
  <c r="R2374" i="2"/>
  <c r="Q2374" i="2"/>
  <c r="R2373" i="2"/>
  <c r="Q2373" i="2"/>
  <c r="R2372" i="2"/>
  <c r="Q2372" i="2"/>
  <c r="R2371" i="2"/>
  <c r="Q2371" i="2"/>
  <c r="R2370" i="2"/>
  <c r="Q2370" i="2"/>
  <c r="R2369" i="2"/>
  <c r="Q2369" i="2"/>
  <c r="R2368" i="2"/>
  <c r="Q2368" i="2"/>
  <c r="R2367" i="2"/>
  <c r="Q2367" i="2"/>
  <c r="R2366" i="2"/>
  <c r="Q2366" i="2"/>
  <c r="R2365" i="2"/>
  <c r="Q2365" i="2"/>
  <c r="R2364" i="2"/>
  <c r="Q2364" i="2"/>
  <c r="R2363" i="2"/>
  <c r="Q2363" i="2"/>
  <c r="R2362" i="2"/>
  <c r="Q2362" i="2"/>
  <c r="R2361" i="2"/>
  <c r="Q2361" i="2"/>
  <c r="R2360" i="2"/>
  <c r="Q2360" i="2"/>
  <c r="R2359" i="2"/>
  <c r="Q2359" i="2"/>
  <c r="R2358" i="2"/>
  <c r="Q2358" i="2"/>
  <c r="R2357" i="2"/>
  <c r="Q2357" i="2"/>
  <c r="R2356" i="2"/>
  <c r="Q2356" i="2"/>
  <c r="R2355" i="2"/>
  <c r="Q2355" i="2"/>
  <c r="R2354" i="2"/>
  <c r="Q2354" i="2"/>
  <c r="R2353" i="2"/>
  <c r="Q2353" i="2"/>
  <c r="R2352" i="2"/>
  <c r="Q2352" i="2"/>
  <c r="R2351" i="2"/>
  <c r="Q2351" i="2"/>
  <c r="R2350" i="2"/>
  <c r="Q2350" i="2"/>
  <c r="R2349" i="2"/>
  <c r="Q2349" i="2"/>
  <c r="R2348" i="2"/>
  <c r="Q2348" i="2"/>
  <c r="R2347" i="2"/>
  <c r="Q2347" i="2"/>
  <c r="R2346" i="2"/>
  <c r="Q2346" i="2"/>
  <c r="R2345" i="2"/>
  <c r="Q2345" i="2"/>
  <c r="R2344" i="2"/>
  <c r="Q2344" i="2"/>
  <c r="R2343" i="2"/>
  <c r="Q2343" i="2"/>
  <c r="R2342" i="2"/>
  <c r="Q2342" i="2"/>
  <c r="R2341" i="2"/>
  <c r="Q2341" i="2"/>
  <c r="R2340" i="2"/>
  <c r="Q2340" i="2"/>
  <c r="R2339" i="2"/>
  <c r="Q2339" i="2"/>
  <c r="R2338" i="2"/>
  <c r="Q2338" i="2"/>
  <c r="R2337" i="2"/>
  <c r="Q2337" i="2"/>
  <c r="R2336" i="2"/>
  <c r="Q2336" i="2"/>
  <c r="R2335" i="2"/>
  <c r="Q2335" i="2"/>
  <c r="R2334" i="2"/>
  <c r="Q2334" i="2"/>
  <c r="R2333" i="2"/>
  <c r="Q2333" i="2"/>
  <c r="R2332" i="2"/>
  <c r="Q2332" i="2"/>
  <c r="R2331" i="2"/>
  <c r="Q2331" i="2"/>
  <c r="R2330" i="2"/>
  <c r="Q2330" i="2"/>
  <c r="R2329" i="2"/>
  <c r="Q2329" i="2"/>
  <c r="R2328" i="2"/>
  <c r="Q2328" i="2"/>
  <c r="R2327" i="2"/>
  <c r="Q2327" i="2"/>
  <c r="R2326" i="2"/>
  <c r="Q2326" i="2"/>
  <c r="R2325" i="2"/>
  <c r="Q2325" i="2"/>
  <c r="R2324" i="2"/>
  <c r="Q2324" i="2"/>
  <c r="R2323" i="2"/>
  <c r="Q2323" i="2"/>
  <c r="R2322" i="2"/>
  <c r="Q2322" i="2"/>
  <c r="R2321" i="2"/>
  <c r="Q2321" i="2"/>
  <c r="R2320" i="2"/>
  <c r="Q2320" i="2"/>
  <c r="R2319" i="2"/>
  <c r="Q2319" i="2"/>
  <c r="R2318" i="2"/>
  <c r="Q2318" i="2"/>
  <c r="R2317" i="2"/>
  <c r="Q2317" i="2"/>
  <c r="R2316" i="2"/>
  <c r="Q2316" i="2"/>
  <c r="R2315" i="2"/>
  <c r="Q2315" i="2"/>
  <c r="R2314" i="2"/>
  <c r="Q2314" i="2"/>
  <c r="R2313" i="2"/>
  <c r="Q2313" i="2"/>
  <c r="R2312" i="2"/>
  <c r="Q2312" i="2"/>
  <c r="R2311" i="2"/>
  <c r="Q2311" i="2"/>
  <c r="R2310" i="2"/>
  <c r="Q2310" i="2"/>
  <c r="R2309" i="2"/>
  <c r="Q2309" i="2"/>
  <c r="R2308" i="2"/>
  <c r="Q2308" i="2"/>
  <c r="R2307" i="2"/>
  <c r="Q2307" i="2"/>
  <c r="R2306" i="2"/>
  <c r="Q2306" i="2"/>
  <c r="R2305" i="2"/>
  <c r="Q2305" i="2"/>
  <c r="R2304" i="2"/>
  <c r="Q2304" i="2"/>
  <c r="R2303" i="2"/>
  <c r="Q2303" i="2"/>
  <c r="R2302" i="2"/>
  <c r="Q2302" i="2"/>
  <c r="R2301" i="2"/>
  <c r="Q2301" i="2"/>
  <c r="R2300" i="2"/>
  <c r="Q2300" i="2"/>
  <c r="R2299" i="2"/>
  <c r="Q2299" i="2"/>
  <c r="R2298" i="2"/>
  <c r="Q2298" i="2"/>
  <c r="R2297" i="2"/>
  <c r="Q2297" i="2"/>
  <c r="R2296" i="2"/>
  <c r="Q2296" i="2"/>
  <c r="R2295" i="2"/>
  <c r="Q2295" i="2"/>
  <c r="R2294" i="2"/>
  <c r="Q2294" i="2"/>
  <c r="R2293" i="2"/>
  <c r="Q2293" i="2"/>
  <c r="R2292" i="2"/>
  <c r="Q2292" i="2"/>
  <c r="R2291" i="2"/>
  <c r="Q2291" i="2"/>
  <c r="R2290" i="2"/>
  <c r="Q2290" i="2"/>
  <c r="R2289" i="2"/>
  <c r="Q2289" i="2"/>
  <c r="R2288" i="2"/>
  <c r="Q2288" i="2"/>
  <c r="R2287" i="2"/>
  <c r="Q2287" i="2"/>
  <c r="R2286" i="2"/>
  <c r="Q2286" i="2"/>
  <c r="R2285" i="2"/>
  <c r="Q2285" i="2"/>
  <c r="R2284" i="2"/>
  <c r="Q2284" i="2"/>
  <c r="R2283" i="2"/>
  <c r="Q2283" i="2"/>
  <c r="R2282" i="2"/>
  <c r="Q2282" i="2"/>
  <c r="R2281" i="2"/>
  <c r="Q2281" i="2"/>
  <c r="R2280" i="2"/>
  <c r="Q2280" i="2"/>
  <c r="R2279" i="2"/>
  <c r="Q2279" i="2"/>
  <c r="R2278" i="2"/>
  <c r="Q2278" i="2"/>
  <c r="R2277" i="2"/>
  <c r="Q2277" i="2"/>
  <c r="R2276" i="2"/>
  <c r="Q2276" i="2"/>
  <c r="R2275" i="2"/>
  <c r="Q2275" i="2"/>
  <c r="R2274" i="2"/>
  <c r="Q2274" i="2"/>
  <c r="R2273" i="2"/>
  <c r="Q2273" i="2"/>
  <c r="R2272" i="2"/>
  <c r="Q2272" i="2"/>
  <c r="R2271" i="2"/>
  <c r="Q2271" i="2"/>
  <c r="R2270" i="2"/>
  <c r="Q2270" i="2"/>
  <c r="R2269" i="2"/>
  <c r="Q2269" i="2"/>
  <c r="R2268" i="2"/>
  <c r="Q2268" i="2"/>
  <c r="R2267" i="2"/>
  <c r="Q2267" i="2"/>
  <c r="R2266" i="2"/>
  <c r="Q2266" i="2"/>
  <c r="R2265" i="2"/>
  <c r="Q2265" i="2"/>
  <c r="R2264" i="2"/>
  <c r="Q2264" i="2"/>
  <c r="R2263" i="2"/>
  <c r="Q2263" i="2"/>
  <c r="R2262" i="2"/>
  <c r="Q2262" i="2"/>
  <c r="R2261" i="2"/>
  <c r="Q2261" i="2"/>
  <c r="R2260" i="2"/>
  <c r="Q2260" i="2"/>
  <c r="R2259" i="2"/>
  <c r="Q2259" i="2"/>
  <c r="R2258" i="2"/>
  <c r="Q2258" i="2"/>
  <c r="R2257" i="2"/>
  <c r="Q2257" i="2"/>
  <c r="R2256" i="2"/>
  <c r="Q2256" i="2"/>
  <c r="R2255" i="2"/>
  <c r="Q2255" i="2"/>
  <c r="R2254" i="2"/>
  <c r="Q2254" i="2"/>
  <c r="R2253" i="2"/>
  <c r="Q2253" i="2"/>
  <c r="R2252" i="2"/>
  <c r="Q2252" i="2"/>
  <c r="R2251" i="2"/>
  <c r="Q2251" i="2"/>
  <c r="R2250" i="2"/>
  <c r="Q2250" i="2"/>
  <c r="R2249" i="2"/>
  <c r="Q2249" i="2"/>
  <c r="R2248" i="2"/>
  <c r="Q2248" i="2"/>
  <c r="R2247" i="2"/>
  <c r="Q2247" i="2"/>
  <c r="R2246" i="2"/>
  <c r="Q2246" i="2"/>
  <c r="R2245" i="2"/>
  <c r="Q2245" i="2"/>
  <c r="R2244" i="2"/>
  <c r="Q2244" i="2"/>
  <c r="R2243" i="2"/>
  <c r="Q2243" i="2"/>
  <c r="R2242" i="2"/>
  <c r="Q2242" i="2"/>
  <c r="R2241" i="2"/>
  <c r="Q2241" i="2"/>
  <c r="R2240" i="2"/>
  <c r="Q2240" i="2"/>
  <c r="R2239" i="2"/>
  <c r="Q2239" i="2"/>
  <c r="R2238" i="2"/>
  <c r="Q2238" i="2"/>
  <c r="R2237" i="2"/>
  <c r="Q2237" i="2"/>
  <c r="R2236" i="2"/>
  <c r="Q2236" i="2"/>
  <c r="R2235" i="2"/>
  <c r="Q2235" i="2"/>
  <c r="R2234" i="2"/>
  <c r="Q2234" i="2"/>
  <c r="R2233" i="2"/>
  <c r="Q2233" i="2"/>
  <c r="R2232" i="2"/>
  <c r="Q2232" i="2"/>
  <c r="R2231" i="2"/>
  <c r="Q2231" i="2"/>
  <c r="R2230" i="2"/>
  <c r="Q2230" i="2"/>
  <c r="R2229" i="2"/>
  <c r="Q2229" i="2"/>
  <c r="R2228" i="2"/>
  <c r="Q2228" i="2"/>
  <c r="R2227" i="2"/>
  <c r="Q2227" i="2"/>
  <c r="R2226" i="2"/>
  <c r="Q2226" i="2"/>
  <c r="R2225" i="2"/>
  <c r="Q2225" i="2"/>
  <c r="R2224" i="2"/>
  <c r="Q2224" i="2"/>
  <c r="R2223" i="2"/>
  <c r="Q2223" i="2"/>
  <c r="R2222" i="2"/>
  <c r="Q2222" i="2"/>
  <c r="R2221" i="2"/>
  <c r="Q2221" i="2"/>
  <c r="R2220" i="2"/>
  <c r="Q2220" i="2"/>
  <c r="R2219" i="2"/>
  <c r="Q2219" i="2"/>
  <c r="R2218" i="2"/>
  <c r="Q2218" i="2"/>
  <c r="R2217" i="2"/>
  <c r="Q2217" i="2"/>
  <c r="R2216" i="2"/>
  <c r="Q2216" i="2"/>
  <c r="R2215" i="2"/>
  <c r="Q2215" i="2"/>
  <c r="R2214" i="2"/>
  <c r="Q2214" i="2"/>
  <c r="R2213" i="2"/>
  <c r="Q2213" i="2"/>
  <c r="R2212" i="2"/>
  <c r="Q2212" i="2"/>
  <c r="R2211" i="2"/>
  <c r="Q2211" i="2"/>
  <c r="R2210" i="2"/>
  <c r="Q2210" i="2"/>
  <c r="R2209" i="2"/>
  <c r="Q2209" i="2"/>
  <c r="R2208" i="2"/>
  <c r="Q2208" i="2"/>
  <c r="R2207" i="2"/>
  <c r="Q2207" i="2"/>
  <c r="R2206" i="2"/>
  <c r="Q2206" i="2"/>
  <c r="R2205" i="2"/>
  <c r="Q2205" i="2"/>
  <c r="R2204" i="2"/>
  <c r="Q2204" i="2"/>
  <c r="R2203" i="2"/>
  <c r="Q2203" i="2"/>
  <c r="R2202" i="2"/>
  <c r="Q2202" i="2"/>
  <c r="R2201" i="2"/>
  <c r="Q2201" i="2"/>
  <c r="R2200" i="2"/>
  <c r="Q2200" i="2"/>
  <c r="R2199" i="2"/>
  <c r="Q2199" i="2"/>
  <c r="R2198" i="2"/>
  <c r="Q2198" i="2"/>
  <c r="R2197" i="2"/>
  <c r="Q2197" i="2"/>
  <c r="R2196" i="2"/>
  <c r="Q2196" i="2"/>
  <c r="R2195" i="2"/>
  <c r="Q2195" i="2"/>
  <c r="R2194" i="2"/>
  <c r="Q2194" i="2"/>
  <c r="R2193" i="2"/>
  <c r="Q2193" i="2"/>
  <c r="R2192" i="2"/>
  <c r="Q2192" i="2"/>
  <c r="R2191" i="2"/>
  <c r="Q2191" i="2"/>
  <c r="R2190" i="2"/>
  <c r="Q2190" i="2"/>
  <c r="R2189" i="2"/>
  <c r="Q2189" i="2"/>
  <c r="R2188" i="2"/>
  <c r="Q2188" i="2"/>
  <c r="R2187" i="2"/>
  <c r="Q2187" i="2"/>
  <c r="R2186" i="2"/>
  <c r="Q2186" i="2"/>
  <c r="R2185" i="2"/>
  <c r="Q2185" i="2"/>
  <c r="R2184" i="2"/>
  <c r="Q2184" i="2"/>
  <c r="R2183" i="2"/>
  <c r="Q2183" i="2"/>
  <c r="R2182" i="2"/>
  <c r="Q2182" i="2"/>
  <c r="R2181" i="2"/>
  <c r="Q2181" i="2"/>
  <c r="R2180" i="2"/>
  <c r="Q2180" i="2"/>
  <c r="R2179" i="2"/>
  <c r="Q2179" i="2"/>
  <c r="R2178" i="2"/>
  <c r="Q2178" i="2"/>
  <c r="R2177" i="2"/>
  <c r="Q2177" i="2"/>
  <c r="R2176" i="2"/>
  <c r="Q2176" i="2"/>
  <c r="R2175" i="2"/>
  <c r="Q2175" i="2"/>
  <c r="R2174" i="2"/>
  <c r="Q2174" i="2"/>
  <c r="R2173" i="2"/>
  <c r="Q2173" i="2"/>
  <c r="R2172" i="2"/>
  <c r="Q2172" i="2"/>
  <c r="R2171" i="2"/>
  <c r="Q2171" i="2"/>
  <c r="R2170" i="2"/>
  <c r="Q2170" i="2"/>
  <c r="R2169" i="2"/>
  <c r="Q2169" i="2"/>
  <c r="R2168" i="2"/>
  <c r="Q2168" i="2"/>
  <c r="R2167" i="2"/>
  <c r="Q2167" i="2"/>
  <c r="R2166" i="2"/>
  <c r="Q2166" i="2"/>
  <c r="R2165" i="2"/>
  <c r="Q2165" i="2"/>
  <c r="R2164" i="2"/>
  <c r="Q2164" i="2"/>
  <c r="R2163" i="2"/>
  <c r="Q2163" i="2"/>
  <c r="R2162" i="2"/>
  <c r="Q2162" i="2"/>
  <c r="R2161" i="2"/>
  <c r="Q2161" i="2"/>
  <c r="R2160" i="2"/>
  <c r="Q2160" i="2"/>
  <c r="R2159" i="2"/>
  <c r="Q2159" i="2"/>
  <c r="R2158" i="2"/>
  <c r="Q2158" i="2"/>
  <c r="R2157" i="2"/>
  <c r="Q2157" i="2"/>
  <c r="R2156" i="2"/>
  <c r="Q2156" i="2"/>
  <c r="R2155" i="2"/>
  <c r="Q2155" i="2"/>
  <c r="R2154" i="2"/>
  <c r="Q2154" i="2"/>
  <c r="R2153" i="2"/>
  <c r="Q2153" i="2"/>
  <c r="R2152" i="2"/>
  <c r="Q2152" i="2"/>
  <c r="R2151" i="2"/>
  <c r="Q2151" i="2"/>
  <c r="R2150" i="2"/>
  <c r="Q2150" i="2"/>
  <c r="R2149" i="2"/>
  <c r="Q2149" i="2"/>
  <c r="R2148" i="2"/>
  <c r="Q2148" i="2"/>
  <c r="R2147" i="2"/>
  <c r="Q2147" i="2"/>
  <c r="R2146" i="2"/>
  <c r="Q2146" i="2"/>
  <c r="R2145" i="2"/>
  <c r="Q2145" i="2"/>
  <c r="R2144" i="2"/>
  <c r="Q2144" i="2"/>
  <c r="R2143" i="2"/>
  <c r="Q2143" i="2"/>
  <c r="R2142" i="2"/>
  <c r="Q2142" i="2"/>
  <c r="R2141" i="2"/>
  <c r="Q2141" i="2"/>
  <c r="R2140" i="2"/>
  <c r="Q2140" i="2"/>
  <c r="R2139" i="2"/>
  <c r="Q2139" i="2"/>
  <c r="R2138" i="2"/>
  <c r="Q2138" i="2"/>
  <c r="R2137" i="2"/>
  <c r="Q2137" i="2"/>
  <c r="R2136" i="2"/>
  <c r="Q2136" i="2"/>
  <c r="R2135" i="2"/>
  <c r="Q2135" i="2"/>
  <c r="R2134" i="2"/>
  <c r="Q2134" i="2"/>
  <c r="R2133" i="2"/>
  <c r="Q2133" i="2"/>
  <c r="R2132" i="2"/>
  <c r="Q2132" i="2"/>
  <c r="R2131" i="2"/>
  <c r="Q2131" i="2"/>
  <c r="R2130" i="2"/>
  <c r="Q2130" i="2"/>
  <c r="R2129" i="2"/>
  <c r="Q2129" i="2"/>
  <c r="R2128" i="2"/>
  <c r="Q2128" i="2"/>
  <c r="R2127" i="2"/>
  <c r="Q2127" i="2"/>
  <c r="R2126" i="2"/>
  <c r="Q2126" i="2"/>
  <c r="R2125" i="2"/>
  <c r="Q2125" i="2"/>
  <c r="R2124" i="2"/>
  <c r="Q2124" i="2"/>
  <c r="R2123" i="2"/>
  <c r="Q2123" i="2"/>
  <c r="R2122" i="2"/>
  <c r="Q2122" i="2"/>
  <c r="R2121" i="2"/>
  <c r="Q2121" i="2"/>
  <c r="R2120" i="2"/>
  <c r="Q2120" i="2"/>
  <c r="R2119" i="2"/>
  <c r="Q2119" i="2"/>
  <c r="R2118" i="2"/>
  <c r="Q2118" i="2"/>
  <c r="R2117" i="2"/>
  <c r="Q2117" i="2"/>
  <c r="R2116" i="2"/>
  <c r="Q2116" i="2"/>
  <c r="R2115" i="2"/>
  <c r="Q2115" i="2"/>
  <c r="R2114" i="2"/>
  <c r="Q2114" i="2"/>
  <c r="R2113" i="2"/>
  <c r="Q2113" i="2"/>
  <c r="R2112" i="2"/>
  <c r="Q2112" i="2"/>
  <c r="R2111" i="2"/>
  <c r="Q2111" i="2"/>
  <c r="R2110" i="2"/>
  <c r="Q2110" i="2"/>
  <c r="R2109" i="2"/>
  <c r="Q2109" i="2"/>
  <c r="R2108" i="2"/>
  <c r="Q2108" i="2"/>
  <c r="R2107" i="2"/>
  <c r="Q2107" i="2"/>
  <c r="R2106" i="2"/>
  <c r="Q2106" i="2"/>
  <c r="R2105" i="2"/>
  <c r="Q2105" i="2"/>
  <c r="R2104" i="2"/>
  <c r="Q2104" i="2"/>
  <c r="R2103" i="2"/>
  <c r="Q2103" i="2"/>
  <c r="R2102" i="2"/>
  <c r="Q2102" i="2"/>
  <c r="R2101" i="2"/>
  <c r="Q2101" i="2"/>
  <c r="R2100" i="2"/>
  <c r="Q2100" i="2"/>
  <c r="R2099" i="2"/>
  <c r="Q2099" i="2"/>
  <c r="R2098" i="2"/>
  <c r="Q2098" i="2"/>
  <c r="R2097" i="2"/>
  <c r="Q2097" i="2"/>
  <c r="R2096" i="2"/>
  <c r="Q2096" i="2"/>
  <c r="R2095" i="2"/>
  <c r="Q2095" i="2"/>
  <c r="R2094" i="2"/>
  <c r="Q2094" i="2"/>
  <c r="R2093" i="2"/>
  <c r="Q2093" i="2"/>
  <c r="R2092" i="2"/>
  <c r="Q2092" i="2"/>
  <c r="R2091" i="2"/>
  <c r="Q2091" i="2"/>
  <c r="R2090" i="2"/>
  <c r="Q2090" i="2"/>
  <c r="R2089" i="2"/>
  <c r="Q2089" i="2"/>
  <c r="R2088" i="2"/>
  <c r="Q2088" i="2"/>
  <c r="R2087" i="2"/>
  <c r="Q2087" i="2"/>
  <c r="R2086" i="2"/>
  <c r="Q2086" i="2"/>
  <c r="R2085" i="2"/>
  <c r="Q2085" i="2"/>
  <c r="R2084" i="2"/>
  <c r="Q2084" i="2"/>
  <c r="R2083" i="2"/>
  <c r="Q2083" i="2"/>
  <c r="R2082" i="2"/>
  <c r="Q2082" i="2"/>
  <c r="R2081" i="2"/>
  <c r="Q2081" i="2"/>
  <c r="R2080" i="2"/>
  <c r="Q2080" i="2"/>
  <c r="R2079" i="2"/>
  <c r="Q2079" i="2"/>
  <c r="R2078" i="2"/>
  <c r="Q2078" i="2"/>
  <c r="R2077" i="2"/>
  <c r="Q2077" i="2"/>
  <c r="R2076" i="2"/>
  <c r="Q2076" i="2"/>
  <c r="R2075" i="2"/>
  <c r="Q2075" i="2"/>
  <c r="R2074" i="2"/>
  <c r="Q2074" i="2"/>
  <c r="R2073" i="2"/>
  <c r="Q2073" i="2"/>
  <c r="R2072" i="2"/>
  <c r="Q2072" i="2"/>
  <c r="R2071" i="2"/>
  <c r="Q2071" i="2"/>
  <c r="R2070" i="2"/>
  <c r="Q2070" i="2"/>
  <c r="R2069" i="2"/>
  <c r="Q2069" i="2"/>
  <c r="R2068" i="2"/>
  <c r="Q2068" i="2"/>
  <c r="R2067" i="2"/>
  <c r="Q2067" i="2"/>
  <c r="R2066" i="2"/>
  <c r="Q2066" i="2"/>
  <c r="R2065" i="2"/>
  <c r="Q2065" i="2"/>
  <c r="R2064" i="2"/>
  <c r="Q2064" i="2"/>
  <c r="R2063" i="2"/>
  <c r="Q2063" i="2"/>
  <c r="R2062" i="2"/>
  <c r="Q2062" i="2"/>
  <c r="R2061" i="2"/>
  <c r="Q2061" i="2"/>
  <c r="R2060" i="2"/>
  <c r="Q2060" i="2"/>
  <c r="R2059" i="2"/>
  <c r="Q2059" i="2"/>
  <c r="R2058" i="2"/>
  <c r="Q2058" i="2"/>
  <c r="R2057" i="2"/>
  <c r="Q2057" i="2"/>
  <c r="R2056" i="2"/>
  <c r="Q2056" i="2"/>
  <c r="R2055" i="2"/>
  <c r="Q2055" i="2"/>
  <c r="R2054" i="2"/>
  <c r="Q2054" i="2"/>
  <c r="R2053" i="2"/>
  <c r="Q2053" i="2"/>
  <c r="R2052" i="2"/>
  <c r="Q2052" i="2"/>
  <c r="R2051" i="2"/>
  <c r="Q2051" i="2"/>
  <c r="R2050" i="2"/>
  <c r="Q2050" i="2"/>
  <c r="R2049" i="2"/>
  <c r="Q2049" i="2"/>
  <c r="R2048" i="2"/>
  <c r="Q2048" i="2"/>
  <c r="R2047" i="2"/>
  <c r="Q2047" i="2"/>
  <c r="R2046" i="2"/>
  <c r="Q2046" i="2"/>
  <c r="R2045" i="2"/>
  <c r="Q2045" i="2"/>
  <c r="R2044" i="2"/>
  <c r="Q2044" i="2"/>
  <c r="R2043" i="2"/>
  <c r="Q2043" i="2"/>
  <c r="R2042" i="2"/>
  <c r="Q2042" i="2"/>
  <c r="R2041" i="2"/>
  <c r="Q2041" i="2"/>
  <c r="R2040" i="2"/>
  <c r="Q2040" i="2"/>
  <c r="R2039" i="2"/>
  <c r="Q2039" i="2"/>
  <c r="R2038" i="2"/>
  <c r="Q2038" i="2"/>
  <c r="R2037" i="2"/>
  <c r="Q2037" i="2"/>
  <c r="R2036" i="2"/>
  <c r="Q2036" i="2"/>
  <c r="R2035" i="2"/>
  <c r="Q2035" i="2"/>
  <c r="R2034" i="2"/>
  <c r="Q2034" i="2"/>
  <c r="R2033" i="2"/>
  <c r="Q2033" i="2"/>
  <c r="R2032" i="2"/>
  <c r="Q2032" i="2"/>
  <c r="R2031" i="2"/>
  <c r="Q2031" i="2"/>
  <c r="R2030" i="2"/>
  <c r="Q2030" i="2"/>
  <c r="R2029" i="2"/>
  <c r="Q2029" i="2"/>
  <c r="R2028" i="2"/>
  <c r="Q2028" i="2"/>
  <c r="R2027" i="2"/>
  <c r="Q2027" i="2"/>
  <c r="R2026" i="2"/>
  <c r="Q2026" i="2"/>
  <c r="R2025" i="2"/>
  <c r="Q2025" i="2"/>
  <c r="R2024" i="2"/>
  <c r="Q2024" i="2"/>
  <c r="R2023" i="2"/>
  <c r="Q2023" i="2"/>
  <c r="R2022" i="2"/>
  <c r="Q2022" i="2"/>
  <c r="R2021" i="2"/>
  <c r="Q2021" i="2"/>
  <c r="R2020" i="2"/>
  <c r="Q2020" i="2"/>
  <c r="R2019" i="2"/>
  <c r="Q2019" i="2"/>
  <c r="R2018" i="2"/>
  <c r="Q2018" i="2"/>
  <c r="R2017" i="2"/>
  <c r="Q2017" i="2"/>
  <c r="R2016" i="2"/>
  <c r="Q2016" i="2"/>
  <c r="R2015" i="2"/>
  <c r="Q2015" i="2"/>
  <c r="R2014" i="2"/>
  <c r="Q2014" i="2"/>
  <c r="R2013" i="2"/>
  <c r="Q2013" i="2"/>
  <c r="R2012" i="2"/>
  <c r="Q2012" i="2"/>
  <c r="R2011" i="2"/>
  <c r="Q2011" i="2"/>
  <c r="R2010" i="2"/>
  <c r="Q2010" i="2"/>
  <c r="R2009" i="2"/>
  <c r="Q2009" i="2"/>
  <c r="R2008" i="2"/>
  <c r="Q2008" i="2"/>
  <c r="R2007" i="2"/>
  <c r="Q2007" i="2"/>
  <c r="R2006" i="2"/>
  <c r="Q2006" i="2"/>
  <c r="R2005" i="2"/>
  <c r="Q2005" i="2"/>
  <c r="R2004" i="2"/>
  <c r="Q2004" i="2"/>
  <c r="R2003" i="2"/>
  <c r="Q2003" i="2"/>
  <c r="R2002" i="2"/>
  <c r="Q2002" i="2"/>
  <c r="R2001" i="2"/>
  <c r="Q2001" i="2"/>
  <c r="R2000" i="2"/>
  <c r="Q2000" i="2"/>
  <c r="R1999" i="2"/>
  <c r="Q1999" i="2"/>
  <c r="R1998" i="2"/>
  <c r="Q1998" i="2"/>
  <c r="R1997" i="2"/>
  <c r="Q1997" i="2"/>
  <c r="R1996" i="2"/>
  <c r="Q1996" i="2"/>
  <c r="R1995" i="2"/>
  <c r="Q1995" i="2"/>
  <c r="R1994" i="2"/>
  <c r="Q1994" i="2"/>
  <c r="R1993" i="2"/>
  <c r="Q1993" i="2"/>
  <c r="R1992" i="2"/>
  <c r="Q1992" i="2"/>
  <c r="R1991" i="2"/>
  <c r="Q1991" i="2"/>
  <c r="R1990" i="2"/>
  <c r="Q1990" i="2"/>
  <c r="R1989" i="2"/>
  <c r="Q1989" i="2"/>
  <c r="R1988" i="2"/>
  <c r="Q1988" i="2"/>
  <c r="R1987" i="2"/>
  <c r="Q1987" i="2"/>
  <c r="R1986" i="2"/>
  <c r="Q1986" i="2"/>
  <c r="R1985" i="2"/>
  <c r="Q1985" i="2"/>
  <c r="R1984" i="2"/>
  <c r="Q1984" i="2"/>
  <c r="R1983" i="2"/>
  <c r="Q1983" i="2"/>
  <c r="R1982" i="2"/>
  <c r="Q1982" i="2"/>
  <c r="R1981" i="2"/>
  <c r="Q1981" i="2"/>
  <c r="R1980" i="2"/>
  <c r="Q1980" i="2"/>
  <c r="R1979" i="2"/>
  <c r="Q1979" i="2"/>
  <c r="R1978" i="2"/>
  <c r="Q1978" i="2"/>
  <c r="R1977" i="2"/>
  <c r="Q1977" i="2"/>
  <c r="R1976" i="2"/>
  <c r="Q1976" i="2"/>
  <c r="R1975" i="2"/>
  <c r="Q1975" i="2"/>
  <c r="R1974" i="2"/>
  <c r="Q1974" i="2"/>
  <c r="R1973" i="2"/>
  <c r="Q1973" i="2"/>
  <c r="R1972" i="2"/>
  <c r="Q1972" i="2"/>
  <c r="R1971" i="2"/>
  <c r="Q1971" i="2"/>
  <c r="R1970" i="2"/>
  <c r="Q1970" i="2"/>
  <c r="R1969" i="2"/>
  <c r="Q1969" i="2"/>
  <c r="R1968" i="2"/>
  <c r="Q1968" i="2"/>
  <c r="R1967" i="2"/>
  <c r="Q1967" i="2"/>
  <c r="R1966" i="2"/>
  <c r="Q1966" i="2"/>
  <c r="R1965" i="2"/>
  <c r="Q1965" i="2"/>
  <c r="R1964" i="2"/>
  <c r="Q1964" i="2"/>
  <c r="R1963" i="2"/>
  <c r="Q1963" i="2"/>
  <c r="R1962" i="2"/>
  <c r="Q1962" i="2"/>
  <c r="R1961" i="2"/>
  <c r="Q1961" i="2"/>
  <c r="R1960" i="2"/>
  <c r="Q1960" i="2"/>
  <c r="R1959" i="2"/>
  <c r="Q1959" i="2"/>
  <c r="R1958" i="2"/>
  <c r="Q1958" i="2"/>
  <c r="R1957" i="2"/>
  <c r="Q1957" i="2"/>
  <c r="R1956" i="2"/>
  <c r="Q1956" i="2"/>
  <c r="R1955" i="2"/>
  <c r="Q1955" i="2"/>
  <c r="R1954" i="2"/>
  <c r="Q1954" i="2"/>
  <c r="R1953" i="2"/>
  <c r="Q1953" i="2"/>
  <c r="R1952" i="2"/>
  <c r="Q1952" i="2"/>
  <c r="R1951" i="2"/>
  <c r="Q1951" i="2"/>
  <c r="R1950" i="2"/>
  <c r="Q1950" i="2"/>
  <c r="R1949" i="2"/>
  <c r="Q1949" i="2"/>
  <c r="R1948" i="2"/>
  <c r="Q1948" i="2"/>
  <c r="R1947" i="2"/>
  <c r="Q1947" i="2"/>
  <c r="R1946" i="2"/>
  <c r="Q1946" i="2"/>
  <c r="R1945" i="2"/>
  <c r="Q1945" i="2"/>
  <c r="R1944" i="2"/>
  <c r="Q1944" i="2"/>
  <c r="R1943" i="2"/>
  <c r="Q1943" i="2"/>
  <c r="R1942" i="2"/>
  <c r="Q1942" i="2"/>
  <c r="R1941" i="2"/>
  <c r="Q1941" i="2"/>
  <c r="R1940" i="2"/>
  <c r="Q1940" i="2"/>
  <c r="R1939" i="2"/>
  <c r="Q1939" i="2"/>
  <c r="R1938" i="2"/>
  <c r="Q1938" i="2"/>
  <c r="R1937" i="2"/>
  <c r="Q1937" i="2"/>
  <c r="R1936" i="2"/>
  <c r="Q1936" i="2"/>
  <c r="R1935" i="2"/>
  <c r="Q1935" i="2"/>
  <c r="R1934" i="2"/>
  <c r="Q1934" i="2"/>
  <c r="R1933" i="2"/>
  <c r="Q1933" i="2"/>
  <c r="R1932" i="2"/>
  <c r="Q1932" i="2"/>
  <c r="R1931" i="2"/>
  <c r="Q1931" i="2"/>
  <c r="R1930" i="2"/>
  <c r="Q1930" i="2"/>
  <c r="R1929" i="2"/>
  <c r="Q1929" i="2"/>
  <c r="R1928" i="2"/>
  <c r="Q1928" i="2"/>
  <c r="R1927" i="2"/>
  <c r="Q1927" i="2"/>
  <c r="R1926" i="2"/>
  <c r="Q1926" i="2"/>
  <c r="R1925" i="2"/>
  <c r="Q1925" i="2"/>
  <c r="R1924" i="2"/>
  <c r="Q1924" i="2"/>
  <c r="R1923" i="2"/>
  <c r="Q1923" i="2"/>
  <c r="R1922" i="2"/>
  <c r="Q1922" i="2"/>
  <c r="R1921" i="2"/>
  <c r="Q1921" i="2"/>
  <c r="R1920" i="2"/>
  <c r="Q1920" i="2"/>
  <c r="R1919" i="2"/>
  <c r="Q1919" i="2"/>
  <c r="R1918" i="2"/>
  <c r="Q1918" i="2"/>
  <c r="R1917" i="2"/>
  <c r="Q1917" i="2"/>
  <c r="R1916" i="2"/>
  <c r="Q1916" i="2"/>
  <c r="R1915" i="2"/>
  <c r="Q1915" i="2"/>
  <c r="R1914" i="2"/>
  <c r="Q1914" i="2"/>
  <c r="R1913" i="2"/>
  <c r="Q1913" i="2"/>
  <c r="R1912" i="2"/>
  <c r="Q1912" i="2"/>
  <c r="R1911" i="2"/>
  <c r="Q1911" i="2"/>
  <c r="R1910" i="2"/>
  <c r="Q1910" i="2"/>
  <c r="R1909" i="2"/>
  <c r="Q1909" i="2"/>
  <c r="R1908" i="2"/>
  <c r="Q1908" i="2"/>
  <c r="R1907" i="2"/>
  <c r="Q1907" i="2"/>
  <c r="R1906" i="2"/>
  <c r="Q1906" i="2"/>
  <c r="R1905" i="2"/>
  <c r="Q1905" i="2"/>
  <c r="R1904" i="2"/>
  <c r="Q1904" i="2"/>
  <c r="R1903" i="2"/>
  <c r="Q1903" i="2"/>
  <c r="R1902" i="2"/>
  <c r="Q1902" i="2"/>
  <c r="R1901" i="2"/>
  <c r="Q1901" i="2"/>
  <c r="R1900" i="2"/>
  <c r="Q1900" i="2"/>
  <c r="R1899" i="2"/>
  <c r="Q1899" i="2"/>
  <c r="R1898" i="2"/>
  <c r="Q1898" i="2"/>
  <c r="R1897" i="2"/>
  <c r="Q1897" i="2"/>
  <c r="R1896" i="2"/>
  <c r="Q1896" i="2"/>
  <c r="R1895" i="2"/>
  <c r="Q1895" i="2"/>
  <c r="R1894" i="2"/>
  <c r="Q1894" i="2"/>
  <c r="R1893" i="2"/>
  <c r="Q1893" i="2"/>
  <c r="R1892" i="2"/>
  <c r="Q1892" i="2"/>
  <c r="R1891" i="2"/>
  <c r="Q1891" i="2"/>
  <c r="R1890" i="2"/>
  <c r="Q1890" i="2"/>
  <c r="R1889" i="2"/>
  <c r="Q1889" i="2"/>
  <c r="R1888" i="2"/>
  <c r="Q1888" i="2"/>
  <c r="R1887" i="2"/>
  <c r="Q1887" i="2"/>
  <c r="R1886" i="2"/>
  <c r="Q1886" i="2"/>
  <c r="R1885" i="2"/>
  <c r="Q1885" i="2"/>
  <c r="R1884" i="2"/>
  <c r="Q1884" i="2"/>
  <c r="R1883" i="2"/>
  <c r="Q1883" i="2"/>
  <c r="R1882" i="2"/>
  <c r="Q1882" i="2"/>
  <c r="R1881" i="2"/>
  <c r="Q1881" i="2"/>
  <c r="R1880" i="2"/>
  <c r="Q1880" i="2"/>
  <c r="R1879" i="2"/>
  <c r="Q1879" i="2"/>
  <c r="R1878" i="2"/>
  <c r="Q1878" i="2"/>
  <c r="R1877" i="2"/>
  <c r="Q1877" i="2"/>
  <c r="R1876" i="2"/>
  <c r="Q1876" i="2"/>
  <c r="R1875" i="2"/>
  <c r="Q1875" i="2"/>
  <c r="R1874" i="2"/>
  <c r="Q1874" i="2"/>
  <c r="R1873" i="2"/>
  <c r="Q1873" i="2"/>
  <c r="R1872" i="2"/>
  <c r="Q1872" i="2"/>
  <c r="R1871" i="2"/>
  <c r="Q1871" i="2"/>
  <c r="R1870" i="2"/>
  <c r="Q1870" i="2"/>
  <c r="R1869" i="2"/>
  <c r="Q1869" i="2"/>
  <c r="R1868" i="2"/>
  <c r="Q1868" i="2"/>
  <c r="R1867" i="2"/>
  <c r="Q1867" i="2"/>
  <c r="R1866" i="2"/>
  <c r="Q1866" i="2"/>
  <c r="R1865" i="2"/>
  <c r="Q1865" i="2"/>
  <c r="R1864" i="2"/>
  <c r="Q1864" i="2"/>
  <c r="R1863" i="2"/>
  <c r="Q1863" i="2"/>
  <c r="R1862" i="2"/>
  <c r="Q1862" i="2"/>
  <c r="R1861" i="2"/>
  <c r="Q1861" i="2"/>
  <c r="R1860" i="2"/>
  <c r="Q1860" i="2"/>
  <c r="R1859" i="2"/>
  <c r="Q1859" i="2"/>
  <c r="R1858" i="2"/>
  <c r="Q1858" i="2"/>
  <c r="R1857" i="2"/>
  <c r="Q1857" i="2"/>
  <c r="R1856" i="2"/>
  <c r="Q1856" i="2"/>
  <c r="R1855" i="2"/>
  <c r="Q1855" i="2"/>
  <c r="R1854" i="2"/>
  <c r="Q1854" i="2"/>
  <c r="R1853" i="2"/>
  <c r="Q1853" i="2"/>
  <c r="R1852" i="2"/>
  <c r="Q1852" i="2"/>
  <c r="R1851" i="2"/>
  <c r="Q1851" i="2"/>
  <c r="R1850" i="2"/>
  <c r="Q1850" i="2"/>
  <c r="R1849" i="2"/>
  <c r="Q1849" i="2"/>
  <c r="R1848" i="2"/>
  <c r="Q1848" i="2"/>
  <c r="R1847" i="2"/>
  <c r="Q1847" i="2"/>
  <c r="R1846" i="2"/>
  <c r="Q1846" i="2"/>
  <c r="R1845" i="2"/>
  <c r="Q1845" i="2"/>
  <c r="R1844" i="2"/>
  <c r="Q1844" i="2"/>
  <c r="R1843" i="2"/>
  <c r="Q1843" i="2"/>
  <c r="R1842" i="2"/>
  <c r="Q1842" i="2"/>
  <c r="R1841" i="2"/>
  <c r="Q1841" i="2"/>
  <c r="R1840" i="2"/>
  <c r="Q1840" i="2"/>
  <c r="R1839" i="2"/>
  <c r="Q1839" i="2"/>
  <c r="R1838" i="2"/>
  <c r="Q1838" i="2"/>
  <c r="R1837" i="2"/>
  <c r="Q1837" i="2"/>
  <c r="R1836" i="2"/>
  <c r="Q1836" i="2"/>
  <c r="R1835" i="2"/>
  <c r="Q1835" i="2"/>
  <c r="R1834" i="2"/>
  <c r="Q1834" i="2"/>
  <c r="R1833" i="2"/>
  <c r="Q1833" i="2"/>
  <c r="R1832" i="2"/>
  <c r="Q1832" i="2"/>
  <c r="R1831" i="2"/>
  <c r="Q1831" i="2"/>
  <c r="R1830" i="2"/>
  <c r="Q1830" i="2"/>
  <c r="R1829" i="2"/>
  <c r="Q1829" i="2"/>
  <c r="R1828" i="2"/>
  <c r="Q1828" i="2"/>
  <c r="R1827" i="2"/>
  <c r="Q1827" i="2"/>
  <c r="R1826" i="2"/>
  <c r="Q1826" i="2"/>
  <c r="R1825" i="2"/>
  <c r="Q1825" i="2"/>
  <c r="R1824" i="2"/>
  <c r="Q1824" i="2"/>
  <c r="R1823" i="2"/>
  <c r="Q1823" i="2"/>
  <c r="R1822" i="2"/>
  <c r="Q1822" i="2"/>
  <c r="R1821" i="2"/>
  <c r="Q1821" i="2"/>
  <c r="R1820" i="2"/>
  <c r="Q1820" i="2"/>
  <c r="R1819" i="2"/>
  <c r="Q1819" i="2"/>
  <c r="R1818" i="2"/>
  <c r="Q1818" i="2"/>
  <c r="R1817" i="2"/>
  <c r="Q1817" i="2"/>
  <c r="R1816" i="2"/>
  <c r="Q1816" i="2"/>
  <c r="R1815" i="2"/>
  <c r="Q1815" i="2"/>
  <c r="R1814" i="2"/>
  <c r="Q1814" i="2"/>
  <c r="R1813" i="2"/>
  <c r="Q1813" i="2"/>
  <c r="R1812" i="2"/>
  <c r="Q1812" i="2"/>
  <c r="R1811" i="2"/>
  <c r="Q1811" i="2"/>
  <c r="R1810" i="2"/>
  <c r="Q1810" i="2"/>
  <c r="R1809" i="2"/>
  <c r="Q1809" i="2"/>
  <c r="R1808" i="2"/>
  <c r="Q1808" i="2"/>
  <c r="R1807" i="2"/>
  <c r="Q1807" i="2"/>
  <c r="R1806" i="2"/>
  <c r="Q1806" i="2"/>
  <c r="R1805" i="2"/>
  <c r="Q1805" i="2"/>
  <c r="R1804" i="2"/>
  <c r="Q1804" i="2"/>
  <c r="R1803" i="2"/>
  <c r="Q1803" i="2"/>
  <c r="R1802" i="2"/>
  <c r="Q1802" i="2"/>
  <c r="R1801" i="2"/>
  <c r="Q1801" i="2"/>
  <c r="R1800" i="2"/>
  <c r="Q1800" i="2"/>
  <c r="R1799" i="2"/>
  <c r="Q1799" i="2"/>
  <c r="R1798" i="2"/>
  <c r="Q1798" i="2"/>
  <c r="R1797" i="2"/>
  <c r="Q1797" i="2"/>
  <c r="R1796" i="2"/>
  <c r="Q1796" i="2"/>
  <c r="R1795" i="2"/>
  <c r="Q1795" i="2"/>
  <c r="R1794" i="2"/>
  <c r="Q1794" i="2"/>
  <c r="R1793" i="2"/>
  <c r="Q1793" i="2"/>
  <c r="R1792" i="2"/>
  <c r="Q1792" i="2"/>
  <c r="R1791" i="2"/>
  <c r="Q1791" i="2"/>
  <c r="R1790" i="2"/>
  <c r="Q1790" i="2"/>
  <c r="R1789" i="2"/>
  <c r="Q1789" i="2"/>
  <c r="R1788" i="2"/>
  <c r="Q1788" i="2"/>
  <c r="R1787" i="2"/>
  <c r="Q1787" i="2"/>
  <c r="R1786" i="2"/>
  <c r="Q1786" i="2"/>
  <c r="R1785" i="2"/>
  <c r="Q1785" i="2"/>
  <c r="R1784" i="2"/>
  <c r="Q1784" i="2"/>
  <c r="R1783" i="2"/>
  <c r="Q1783" i="2"/>
  <c r="R1782" i="2"/>
  <c r="Q1782" i="2"/>
  <c r="R1781" i="2"/>
  <c r="Q1781" i="2"/>
  <c r="R1780" i="2"/>
  <c r="Q1780" i="2"/>
  <c r="R1779" i="2"/>
  <c r="Q1779" i="2"/>
  <c r="R1778" i="2"/>
  <c r="Q1778" i="2"/>
  <c r="R1777" i="2"/>
  <c r="Q1777" i="2"/>
  <c r="R1776" i="2"/>
  <c r="Q1776" i="2"/>
  <c r="R1775" i="2"/>
  <c r="Q1775" i="2"/>
  <c r="R1774" i="2"/>
  <c r="Q1774" i="2"/>
  <c r="R1773" i="2"/>
  <c r="Q1773" i="2"/>
  <c r="R1772" i="2"/>
  <c r="Q1772" i="2"/>
  <c r="R1771" i="2"/>
  <c r="Q1771" i="2"/>
  <c r="R1770" i="2"/>
  <c r="Q1770" i="2"/>
  <c r="R1769" i="2"/>
  <c r="Q1769" i="2"/>
  <c r="R1768" i="2"/>
  <c r="Q1768" i="2"/>
  <c r="R1767" i="2"/>
  <c r="Q1767" i="2"/>
  <c r="R1766" i="2"/>
  <c r="Q1766" i="2"/>
  <c r="R1765" i="2"/>
  <c r="Q1765" i="2"/>
  <c r="R1764" i="2"/>
  <c r="Q1764" i="2"/>
  <c r="R1763" i="2"/>
  <c r="Q1763" i="2"/>
  <c r="R1762" i="2"/>
  <c r="Q1762" i="2"/>
  <c r="R1761" i="2"/>
  <c r="Q1761" i="2"/>
  <c r="R1760" i="2"/>
  <c r="Q1760" i="2"/>
  <c r="R1759" i="2"/>
  <c r="Q1759" i="2"/>
  <c r="R1758" i="2"/>
  <c r="Q1758" i="2"/>
  <c r="R1757" i="2"/>
  <c r="Q1757" i="2"/>
  <c r="R1756" i="2"/>
  <c r="Q1756" i="2"/>
  <c r="R1755" i="2"/>
  <c r="Q1755" i="2"/>
  <c r="R1754" i="2"/>
  <c r="Q1754" i="2"/>
  <c r="R1753" i="2"/>
  <c r="Q1753" i="2"/>
  <c r="R1752" i="2"/>
  <c r="Q1752" i="2"/>
  <c r="R1751" i="2"/>
  <c r="Q1751" i="2"/>
  <c r="R1750" i="2"/>
  <c r="Q1750" i="2"/>
  <c r="R1749" i="2"/>
  <c r="Q1749" i="2"/>
  <c r="R1748" i="2"/>
  <c r="Q1748" i="2"/>
  <c r="R1747" i="2"/>
  <c r="Q1747" i="2"/>
  <c r="R1746" i="2"/>
  <c r="Q1746" i="2"/>
  <c r="R1745" i="2"/>
  <c r="Q1745" i="2"/>
  <c r="R1744" i="2"/>
  <c r="Q1744" i="2"/>
  <c r="R1743" i="2"/>
  <c r="Q1743" i="2"/>
  <c r="R1742" i="2"/>
  <c r="Q1742" i="2"/>
  <c r="R1741" i="2"/>
  <c r="Q1741" i="2"/>
  <c r="R1740" i="2"/>
  <c r="Q1740" i="2"/>
  <c r="R1739" i="2"/>
  <c r="Q1739" i="2"/>
  <c r="R1738" i="2"/>
  <c r="Q1738" i="2"/>
  <c r="R1737" i="2"/>
  <c r="Q1737" i="2"/>
  <c r="R1736" i="2"/>
  <c r="Q1736" i="2"/>
  <c r="R1735" i="2"/>
  <c r="Q1735" i="2"/>
  <c r="R1734" i="2"/>
  <c r="Q1734" i="2"/>
  <c r="R1733" i="2"/>
  <c r="Q1733" i="2"/>
  <c r="R1732" i="2"/>
  <c r="Q1732" i="2"/>
  <c r="R1731" i="2"/>
  <c r="Q1731" i="2"/>
  <c r="R1730" i="2"/>
  <c r="Q1730" i="2"/>
  <c r="R1729" i="2"/>
  <c r="Q1729" i="2"/>
  <c r="R1728" i="2"/>
  <c r="Q1728" i="2"/>
  <c r="R1727" i="2"/>
  <c r="Q1727" i="2"/>
  <c r="R1726" i="2"/>
  <c r="Q1726" i="2"/>
  <c r="R1725" i="2"/>
  <c r="Q1725" i="2"/>
  <c r="R1724" i="2"/>
  <c r="Q1724" i="2"/>
  <c r="R1723" i="2"/>
  <c r="Q1723" i="2"/>
  <c r="R1722" i="2"/>
  <c r="Q1722" i="2"/>
  <c r="R1721" i="2"/>
  <c r="Q1721" i="2"/>
  <c r="R1720" i="2"/>
  <c r="Q1720" i="2"/>
  <c r="R1719" i="2"/>
  <c r="Q1719" i="2"/>
  <c r="R1718" i="2"/>
  <c r="Q1718" i="2"/>
  <c r="R1717" i="2"/>
  <c r="Q1717" i="2"/>
  <c r="R1716" i="2"/>
  <c r="Q1716" i="2"/>
  <c r="R1715" i="2"/>
  <c r="Q1715" i="2"/>
  <c r="R1714" i="2"/>
  <c r="Q1714" i="2"/>
  <c r="R1713" i="2"/>
  <c r="Q1713" i="2"/>
  <c r="R1712" i="2"/>
  <c r="Q1712" i="2"/>
  <c r="R1711" i="2"/>
  <c r="Q1711" i="2"/>
  <c r="R1710" i="2"/>
  <c r="Q1710" i="2"/>
  <c r="R1709" i="2"/>
  <c r="Q1709" i="2"/>
  <c r="R1708" i="2"/>
  <c r="Q1708" i="2"/>
  <c r="R1707" i="2"/>
  <c r="Q1707" i="2"/>
  <c r="R1706" i="2"/>
  <c r="Q1706" i="2"/>
  <c r="R1705" i="2"/>
  <c r="Q1705" i="2"/>
  <c r="R1704" i="2"/>
  <c r="Q1704" i="2"/>
  <c r="R1703" i="2"/>
  <c r="Q1703" i="2"/>
  <c r="R1702" i="2"/>
  <c r="Q1702" i="2"/>
  <c r="R1701" i="2"/>
  <c r="Q1701" i="2"/>
  <c r="R1700" i="2"/>
  <c r="Q1700" i="2"/>
  <c r="R1699" i="2"/>
  <c r="Q1699" i="2"/>
  <c r="R1698" i="2"/>
  <c r="Q1698" i="2"/>
  <c r="R1697" i="2"/>
  <c r="Q1697" i="2"/>
  <c r="R1696" i="2"/>
  <c r="Q1696" i="2"/>
  <c r="R1695" i="2"/>
  <c r="Q1695" i="2"/>
  <c r="R1694" i="2"/>
  <c r="Q1694" i="2"/>
  <c r="R1693" i="2"/>
  <c r="Q1693" i="2"/>
  <c r="R1692" i="2"/>
  <c r="Q1692" i="2"/>
  <c r="R1691" i="2"/>
  <c r="Q1691" i="2"/>
  <c r="R1690" i="2"/>
  <c r="Q1690" i="2"/>
  <c r="R1689" i="2"/>
  <c r="Q1689" i="2"/>
  <c r="R1688" i="2"/>
  <c r="Q1688" i="2"/>
  <c r="R1687" i="2"/>
  <c r="Q1687" i="2"/>
  <c r="R1686" i="2"/>
  <c r="Q1686" i="2"/>
  <c r="R1685" i="2"/>
  <c r="Q1685" i="2"/>
  <c r="R1684" i="2"/>
  <c r="Q1684" i="2"/>
  <c r="R1683" i="2"/>
  <c r="Q1683" i="2"/>
  <c r="R1682" i="2"/>
  <c r="Q1682" i="2"/>
  <c r="R1681" i="2"/>
  <c r="Q1681" i="2"/>
  <c r="R1680" i="2"/>
  <c r="Q1680" i="2"/>
  <c r="R1679" i="2"/>
  <c r="Q1679" i="2"/>
  <c r="R1678" i="2"/>
  <c r="Q1678" i="2"/>
  <c r="R1677" i="2"/>
  <c r="Q1677" i="2"/>
  <c r="R1676" i="2"/>
  <c r="Q1676" i="2"/>
  <c r="R1675" i="2"/>
  <c r="Q1675" i="2"/>
  <c r="R1674" i="2"/>
  <c r="Q1674" i="2"/>
  <c r="R1673" i="2"/>
  <c r="Q1673" i="2"/>
  <c r="R1672" i="2"/>
  <c r="Q1672" i="2"/>
  <c r="R1671" i="2"/>
  <c r="Q1671" i="2"/>
  <c r="R1670" i="2"/>
  <c r="Q1670" i="2"/>
  <c r="R1669" i="2"/>
  <c r="Q1669" i="2"/>
  <c r="R1668" i="2"/>
  <c r="Q1668" i="2"/>
  <c r="R1667" i="2"/>
  <c r="Q1667" i="2"/>
  <c r="R1666" i="2"/>
  <c r="Q1666" i="2"/>
  <c r="R1665" i="2"/>
  <c r="Q1665" i="2"/>
  <c r="R1664" i="2"/>
  <c r="Q1664" i="2"/>
  <c r="R1663" i="2"/>
  <c r="Q1663" i="2"/>
  <c r="R1662" i="2"/>
  <c r="Q1662" i="2"/>
  <c r="R1661" i="2"/>
  <c r="Q1661" i="2"/>
  <c r="R1660" i="2"/>
  <c r="Q1660" i="2"/>
  <c r="R1659" i="2"/>
  <c r="Q1659" i="2"/>
  <c r="R1658" i="2"/>
  <c r="Q1658" i="2"/>
  <c r="R1657" i="2"/>
  <c r="Q1657" i="2"/>
  <c r="R1656" i="2"/>
  <c r="Q1656" i="2"/>
  <c r="R1655" i="2"/>
  <c r="Q1655" i="2"/>
  <c r="R1654" i="2"/>
  <c r="Q1654" i="2"/>
  <c r="R1653" i="2"/>
  <c r="Q1653" i="2"/>
  <c r="R1652" i="2"/>
  <c r="Q1652" i="2"/>
  <c r="R1651" i="2"/>
  <c r="Q1651" i="2"/>
  <c r="R1650" i="2"/>
  <c r="Q1650" i="2"/>
  <c r="R1649" i="2"/>
  <c r="Q1649" i="2"/>
  <c r="R1648" i="2"/>
  <c r="Q1648" i="2"/>
  <c r="R1647" i="2"/>
  <c r="Q1647" i="2"/>
  <c r="R1646" i="2"/>
  <c r="Q1646" i="2"/>
  <c r="R1645" i="2"/>
  <c r="Q1645" i="2"/>
  <c r="R1644" i="2"/>
  <c r="Q1644" i="2"/>
  <c r="R1643" i="2"/>
  <c r="Q1643" i="2"/>
  <c r="R1642" i="2"/>
  <c r="Q1642" i="2"/>
  <c r="R1641" i="2"/>
  <c r="Q1641" i="2"/>
  <c r="R1640" i="2"/>
  <c r="Q1640" i="2"/>
  <c r="R1639" i="2"/>
  <c r="Q1639" i="2"/>
  <c r="R1638" i="2"/>
  <c r="Q1638" i="2"/>
  <c r="R1637" i="2"/>
  <c r="Q1637" i="2"/>
  <c r="R1636" i="2"/>
  <c r="Q1636" i="2"/>
  <c r="R1635" i="2"/>
  <c r="Q1635" i="2"/>
  <c r="R1634" i="2"/>
  <c r="Q1634" i="2"/>
  <c r="R1633" i="2"/>
  <c r="Q1633" i="2"/>
  <c r="R1632" i="2"/>
  <c r="Q1632" i="2"/>
  <c r="R1631" i="2"/>
  <c r="Q1631" i="2"/>
  <c r="R1630" i="2"/>
  <c r="Q1630" i="2"/>
  <c r="R1629" i="2"/>
  <c r="Q1629" i="2"/>
  <c r="R1628" i="2"/>
  <c r="Q1628" i="2"/>
  <c r="R1627" i="2"/>
  <c r="Q1627" i="2"/>
  <c r="R1626" i="2"/>
  <c r="Q1626" i="2"/>
  <c r="R1625" i="2"/>
  <c r="Q1625" i="2"/>
  <c r="R1624" i="2"/>
  <c r="Q1624" i="2"/>
  <c r="R1623" i="2"/>
  <c r="Q1623" i="2"/>
  <c r="R1622" i="2"/>
  <c r="Q1622" i="2"/>
  <c r="R1621" i="2"/>
  <c r="Q1621" i="2"/>
  <c r="R1620" i="2"/>
  <c r="Q1620" i="2"/>
  <c r="R1619" i="2"/>
  <c r="Q1619" i="2"/>
  <c r="R1618" i="2"/>
  <c r="Q1618" i="2"/>
  <c r="R1617" i="2"/>
  <c r="Q1617" i="2"/>
  <c r="R1616" i="2"/>
  <c r="Q1616" i="2"/>
  <c r="R1615" i="2"/>
  <c r="Q1615" i="2"/>
  <c r="R1614" i="2"/>
  <c r="Q1614" i="2"/>
  <c r="R1613" i="2"/>
  <c r="Q1613" i="2"/>
  <c r="R1612" i="2"/>
  <c r="Q1612" i="2"/>
  <c r="R1611" i="2"/>
  <c r="Q1611" i="2"/>
  <c r="R1610" i="2"/>
  <c r="Q1610" i="2"/>
  <c r="R1609" i="2"/>
  <c r="Q1609" i="2"/>
  <c r="R1608" i="2"/>
  <c r="Q1608" i="2"/>
  <c r="R1607" i="2"/>
  <c r="Q1607" i="2"/>
  <c r="R1606" i="2"/>
  <c r="Q1606" i="2"/>
  <c r="R1605" i="2"/>
  <c r="Q1605" i="2"/>
  <c r="R1604" i="2"/>
  <c r="Q1604" i="2"/>
  <c r="R1603" i="2"/>
  <c r="Q1603" i="2"/>
  <c r="R1602" i="2"/>
  <c r="Q1602" i="2"/>
  <c r="R1601" i="2"/>
  <c r="Q1601" i="2"/>
  <c r="R1600" i="2"/>
  <c r="Q1600" i="2"/>
  <c r="R1599" i="2"/>
  <c r="Q1599" i="2"/>
  <c r="R1598" i="2"/>
  <c r="Q1598" i="2"/>
  <c r="R1597" i="2"/>
  <c r="Q1597" i="2"/>
  <c r="R1596" i="2"/>
  <c r="Q1596" i="2"/>
  <c r="R1595" i="2"/>
  <c r="Q1595" i="2"/>
  <c r="R1594" i="2"/>
  <c r="Q1594" i="2"/>
  <c r="R1593" i="2"/>
  <c r="Q1593" i="2"/>
  <c r="R1592" i="2"/>
  <c r="Q1592" i="2"/>
  <c r="R1591" i="2"/>
  <c r="Q1591" i="2"/>
  <c r="R1590" i="2"/>
  <c r="Q1590" i="2"/>
  <c r="R1589" i="2"/>
  <c r="Q1589" i="2"/>
  <c r="R1588" i="2"/>
  <c r="Q1588" i="2"/>
  <c r="R1587" i="2"/>
  <c r="Q1587" i="2"/>
  <c r="R1586" i="2"/>
  <c r="Q1586" i="2"/>
  <c r="R1585" i="2"/>
  <c r="Q1585" i="2"/>
  <c r="R1584" i="2"/>
  <c r="Q1584" i="2"/>
  <c r="R1583" i="2"/>
  <c r="Q1583" i="2"/>
  <c r="R1582" i="2"/>
  <c r="Q1582" i="2"/>
  <c r="R1581" i="2"/>
  <c r="Q1581" i="2"/>
  <c r="R1580" i="2"/>
  <c r="Q1580" i="2"/>
  <c r="R1579" i="2"/>
  <c r="Q1579" i="2"/>
  <c r="R1578" i="2"/>
  <c r="Q1578" i="2"/>
  <c r="R1577" i="2"/>
  <c r="Q1577" i="2"/>
  <c r="R1576" i="2"/>
  <c r="Q1576" i="2"/>
  <c r="R1575" i="2"/>
  <c r="Q1575" i="2"/>
  <c r="R1574" i="2"/>
  <c r="Q1574" i="2"/>
  <c r="R1573" i="2"/>
  <c r="Q1573" i="2"/>
  <c r="R1572" i="2"/>
  <c r="Q1572" i="2"/>
  <c r="R1571" i="2"/>
  <c r="Q1571" i="2"/>
  <c r="R1570" i="2"/>
  <c r="Q1570" i="2"/>
  <c r="R1569" i="2"/>
  <c r="Q1569" i="2"/>
  <c r="R1568" i="2"/>
  <c r="Q1568" i="2"/>
  <c r="R1567" i="2"/>
  <c r="Q1567" i="2"/>
  <c r="R1566" i="2"/>
  <c r="Q1566" i="2"/>
  <c r="R1565" i="2"/>
  <c r="Q1565" i="2"/>
  <c r="R1564" i="2"/>
  <c r="Q1564" i="2"/>
  <c r="R1563" i="2"/>
  <c r="Q1563" i="2"/>
  <c r="R1562" i="2"/>
  <c r="Q1562" i="2"/>
  <c r="R1561" i="2"/>
  <c r="Q1561" i="2"/>
  <c r="R1560" i="2"/>
  <c r="Q1560" i="2"/>
  <c r="R1559" i="2"/>
  <c r="Q1559" i="2"/>
  <c r="R1558" i="2"/>
  <c r="Q1558" i="2"/>
  <c r="R1557" i="2"/>
  <c r="Q1557" i="2"/>
  <c r="R1556" i="2"/>
  <c r="Q1556" i="2"/>
  <c r="R1555" i="2"/>
  <c r="Q1555" i="2"/>
  <c r="R1554" i="2"/>
  <c r="Q1554" i="2"/>
  <c r="R1553" i="2"/>
  <c r="Q1553" i="2"/>
  <c r="R1552" i="2"/>
  <c r="Q1552" i="2"/>
  <c r="R1551" i="2"/>
  <c r="Q1551" i="2"/>
  <c r="R1550" i="2"/>
  <c r="Q1550" i="2"/>
  <c r="R1549" i="2"/>
  <c r="Q1549" i="2"/>
  <c r="R1548" i="2"/>
  <c r="Q1548" i="2"/>
  <c r="R1547" i="2"/>
  <c r="Q1547" i="2"/>
  <c r="R1546" i="2"/>
  <c r="Q1546" i="2"/>
  <c r="R1545" i="2"/>
  <c r="Q1545" i="2"/>
  <c r="R1544" i="2"/>
  <c r="Q1544" i="2"/>
  <c r="R1543" i="2"/>
  <c r="Q1543" i="2"/>
  <c r="R1542" i="2"/>
  <c r="Q1542" i="2"/>
  <c r="R1541" i="2"/>
  <c r="Q1541" i="2"/>
  <c r="R1540" i="2"/>
  <c r="Q1540" i="2"/>
  <c r="R1539" i="2"/>
  <c r="Q1539" i="2"/>
  <c r="R1538" i="2"/>
  <c r="Q1538" i="2"/>
  <c r="R1537" i="2"/>
  <c r="Q1537" i="2"/>
  <c r="R1536" i="2"/>
  <c r="Q1536" i="2"/>
  <c r="R1535" i="2"/>
  <c r="Q1535" i="2"/>
  <c r="R1534" i="2"/>
  <c r="Q1534" i="2"/>
  <c r="R1533" i="2"/>
  <c r="Q1533" i="2"/>
  <c r="R1532" i="2"/>
  <c r="Q1532" i="2"/>
  <c r="R1531" i="2"/>
  <c r="Q1531" i="2"/>
  <c r="R1530" i="2"/>
  <c r="Q1530" i="2"/>
  <c r="R1529" i="2"/>
  <c r="Q1529" i="2"/>
  <c r="R1528" i="2"/>
  <c r="Q1528" i="2"/>
  <c r="R1527" i="2"/>
  <c r="Q1527" i="2"/>
  <c r="R1526" i="2"/>
  <c r="Q1526" i="2"/>
  <c r="R1525" i="2"/>
  <c r="Q1525" i="2"/>
  <c r="R1524" i="2"/>
  <c r="Q1524" i="2"/>
  <c r="R1523" i="2"/>
  <c r="Q1523" i="2"/>
  <c r="R1522" i="2"/>
  <c r="Q1522" i="2"/>
  <c r="R1521" i="2"/>
  <c r="Q1521" i="2"/>
  <c r="R1520" i="2"/>
  <c r="Q1520" i="2"/>
  <c r="R1519" i="2"/>
  <c r="Q1519" i="2"/>
  <c r="R1518" i="2"/>
  <c r="Q1518" i="2"/>
  <c r="R1517" i="2"/>
  <c r="Q1517" i="2"/>
  <c r="R1516" i="2"/>
  <c r="Q1516" i="2"/>
  <c r="R1515" i="2"/>
  <c r="Q1515" i="2"/>
  <c r="R1514" i="2"/>
  <c r="Q1514" i="2"/>
  <c r="R1513" i="2"/>
  <c r="Q1513" i="2"/>
  <c r="R1512" i="2"/>
  <c r="Q1512" i="2"/>
  <c r="R1511" i="2"/>
  <c r="Q1511" i="2"/>
  <c r="R1510" i="2"/>
  <c r="Q1510" i="2"/>
  <c r="R1509" i="2"/>
  <c r="Q1509" i="2"/>
  <c r="R1508" i="2"/>
  <c r="Q1508" i="2"/>
  <c r="R1507" i="2"/>
  <c r="Q1507" i="2"/>
  <c r="R1506" i="2"/>
  <c r="Q1506" i="2"/>
  <c r="R1505" i="2"/>
  <c r="Q1505" i="2"/>
  <c r="R1504" i="2"/>
  <c r="Q1504" i="2"/>
  <c r="R1503" i="2"/>
  <c r="Q1503" i="2"/>
  <c r="R1502" i="2"/>
  <c r="Q1502" i="2"/>
  <c r="R1501" i="2"/>
  <c r="Q1501" i="2"/>
  <c r="R1500" i="2"/>
  <c r="Q1500" i="2"/>
  <c r="R1499" i="2"/>
  <c r="Q1499" i="2"/>
  <c r="R1498" i="2"/>
  <c r="Q1498" i="2"/>
  <c r="R1497" i="2"/>
  <c r="Q1497" i="2"/>
  <c r="R1496" i="2"/>
  <c r="Q1496" i="2"/>
  <c r="R1495" i="2"/>
  <c r="Q1495" i="2"/>
  <c r="R1494" i="2"/>
  <c r="Q1494" i="2"/>
  <c r="R1493" i="2"/>
  <c r="Q1493" i="2"/>
  <c r="R1492" i="2"/>
  <c r="Q1492" i="2"/>
  <c r="R1491" i="2"/>
  <c r="Q1491" i="2"/>
  <c r="R1490" i="2"/>
  <c r="Q1490" i="2"/>
  <c r="R1489" i="2"/>
  <c r="Q1489" i="2"/>
  <c r="R1488" i="2"/>
  <c r="Q1488" i="2"/>
  <c r="R1487" i="2"/>
  <c r="Q1487" i="2"/>
  <c r="R1486" i="2"/>
  <c r="Q1486" i="2"/>
  <c r="R1485" i="2"/>
  <c r="Q1485" i="2"/>
  <c r="R1484" i="2"/>
  <c r="Q1484" i="2"/>
  <c r="R1483" i="2"/>
  <c r="Q1483" i="2"/>
  <c r="R1482" i="2"/>
  <c r="Q1482" i="2"/>
  <c r="R1481" i="2"/>
  <c r="Q1481" i="2"/>
  <c r="R1480" i="2"/>
  <c r="Q1480" i="2"/>
  <c r="R1479" i="2"/>
  <c r="Q1479" i="2"/>
  <c r="R1478" i="2"/>
  <c r="Q1478" i="2"/>
  <c r="R1477" i="2"/>
  <c r="Q1477" i="2"/>
  <c r="R1476" i="2"/>
  <c r="Q1476" i="2"/>
  <c r="R1475" i="2"/>
  <c r="Q1475" i="2"/>
  <c r="R1474" i="2"/>
  <c r="Q1474" i="2"/>
  <c r="R1473" i="2"/>
  <c r="Q1473" i="2"/>
  <c r="R1472" i="2"/>
  <c r="Q1472" i="2"/>
  <c r="R1471" i="2"/>
  <c r="Q1471" i="2"/>
  <c r="R1470" i="2"/>
  <c r="Q1470" i="2"/>
  <c r="R1469" i="2"/>
  <c r="Q1469" i="2"/>
  <c r="R1468" i="2"/>
  <c r="Q1468" i="2"/>
  <c r="R1467" i="2"/>
  <c r="Q1467" i="2"/>
  <c r="R1466" i="2"/>
  <c r="Q1466" i="2"/>
  <c r="R1465" i="2"/>
  <c r="Q1465" i="2"/>
  <c r="R1464" i="2"/>
  <c r="Q1464" i="2"/>
  <c r="R1463" i="2"/>
  <c r="Q1463" i="2"/>
  <c r="R1462" i="2"/>
  <c r="Q1462" i="2"/>
  <c r="R1461" i="2"/>
  <c r="Q1461" i="2"/>
  <c r="R1460" i="2"/>
  <c r="Q1460" i="2"/>
  <c r="R1459" i="2"/>
  <c r="Q1459" i="2"/>
  <c r="R1458" i="2"/>
  <c r="Q1458" i="2"/>
  <c r="R1457" i="2"/>
  <c r="Q1457" i="2"/>
  <c r="R1456" i="2"/>
  <c r="Q1456" i="2"/>
  <c r="R1455" i="2"/>
  <c r="Q1455" i="2"/>
  <c r="R1454" i="2"/>
  <c r="Q1454" i="2"/>
  <c r="R1453" i="2"/>
  <c r="Q1453" i="2"/>
  <c r="R1452" i="2"/>
  <c r="Q1452" i="2"/>
  <c r="R1451" i="2"/>
  <c r="Q1451" i="2"/>
  <c r="R1450" i="2"/>
  <c r="Q1450" i="2"/>
  <c r="R1449" i="2"/>
  <c r="Q1449" i="2"/>
  <c r="R1448" i="2"/>
  <c r="Q1448" i="2"/>
  <c r="R1447" i="2"/>
  <c r="Q1447" i="2"/>
  <c r="R1446" i="2"/>
  <c r="Q1446" i="2"/>
  <c r="R1445" i="2"/>
  <c r="Q1445" i="2"/>
  <c r="R1444" i="2"/>
  <c r="Q1444" i="2"/>
  <c r="R1443" i="2"/>
  <c r="Q1443" i="2"/>
  <c r="R1442" i="2"/>
  <c r="Q1442" i="2"/>
  <c r="R1441" i="2"/>
  <c r="Q1441" i="2"/>
  <c r="R1440" i="2"/>
  <c r="Q1440" i="2"/>
  <c r="R1439" i="2"/>
  <c r="Q1439" i="2"/>
  <c r="R1438" i="2"/>
  <c r="Q1438" i="2"/>
  <c r="R1437" i="2"/>
  <c r="Q1437" i="2"/>
  <c r="R1436" i="2"/>
  <c r="Q1436" i="2"/>
  <c r="R1435" i="2"/>
  <c r="Q1435" i="2"/>
  <c r="R1434" i="2"/>
  <c r="Q1434" i="2"/>
  <c r="R1433" i="2"/>
  <c r="Q1433" i="2"/>
  <c r="R1432" i="2"/>
  <c r="Q1432" i="2"/>
  <c r="R1431" i="2"/>
  <c r="Q1431" i="2"/>
  <c r="R1430" i="2"/>
  <c r="Q1430" i="2"/>
  <c r="R1429" i="2"/>
  <c r="Q1429" i="2"/>
  <c r="R1428" i="2"/>
  <c r="Q1428" i="2"/>
  <c r="R1427" i="2"/>
  <c r="Q1427" i="2"/>
  <c r="R1426" i="2"/>
  <c r="Q1426" i="2"/>
  <c r="R1425" i="2"/>
  <c r="Q1425" i="2"/>
  <c r="R1424" i="2"/>
  <c r="Q1424" i="2"/>
  <c r="R1423" i="2"/>
  <c r="Q1423" i="2"/>
  <c r="R1422" i="2"/>
  <c r="Q1422" i="2"/>
  <c r="R1421" i="2"/>
  <c r="Q1421" i="2"/>
  <c r="R1420" i="2"/>
  <c r="Q1420" i="2"/>
  <c r="R1419" i="2"/>
  <c r="Q1419" i="2"/>
  <c r="R1418" i="2"/>
  <c r="Q1418" i="2"/>
  <c r="R1417" i="2"/>
  <c r="Q1417" i="2"/>
  <c r="R1416" i="2"/>
  <c r="Q1416" i="2"/>
  <c r="R1415" i="2"/>
  <c r="Q1415" i="2"/>
  <c r="R1414" i="2"/>
  <c r="Q1414" i="2"/>
  <c r="R1413" i="2"/>
  <c r="Q1413" i="2"/>
  <c r="R1412" i="2"/>
  <c r="Q1412" i="2"/>
  <c r="R1411" i="2"/>
  <c r="Q1411" i="2"/>
  <c r="R1410" i="2"/>
  <c r="Q1410" i="2"/>
  <c r="R1409" i="2"/>
  <c r="Q1409" i="2"/>
  <c r="R1408" i="2"/>
  <c r="Q1408" i="2"/>
  <c r="R1407" i="2"/>
  <c r="Q1407" i="2"/>
  <c r="R1406" i="2"/>
  <c r="Q1406" i="2"/>
  <c r="R1405" i="2"/>
  <c r="Q1405" i="2"/>
  <c r="R1404" i="2"/>
  <c r="Q1404" i="2"/>
  <c r="R1403" i="2"/>
  <c r="Q1403" i="2"/>
  <c r="R1402" i="2"/>
  <c r="Q1402" i="2"/>
  <c r="R1401" i="2"/>
  <c r="Q1401" i="2"/>
  <c r="R1400" i="2"/>
  <c r="Q1400" i="2"/>
  <c r="R1399" i="2"/>
  <c r="Q1399" i="2"/>
  <c r="R1398" i="2"/>
  <c r="Q1398" i="2"/>
  <c r="R1397" i="2"/>
  <c r="Q1397" i="2"/>
  <c r="R1396" i="2"/>
  <c r="Q1396" i="2"/>
  <c r="R1395" i="2"/>
  <c r="Q1395" i="2"/>
  <c r="R1394" i="2"/>
  <c r="Q1394" i="2"/>
  <c r="R1393" i="2"/>
  <c r="Q1393" i="2"/>
  <c r="R1392" i="2"/>
  <c r="Q1392" i="2"/>
  <c r="R1391" i="2"/>
  <c r="Q1391" i="2"/>
  <c r="R1390" i="2"/>
  <c r="Q1390" i="2"/>
  <c r="R1389" i="2"/>
  <c r="Q1389" i="2"/>
  <c r="R1388" i="2"/>
  <c r="Q1388" i="2"/>
  <c r="R1387" i="2"/>
  <c r="Q1387" i="2"/>
  <c r="R1386" i="2"/>
  <c r="Q1386" i="2"/>
  <c r="R1385" i="2"/>
  <c r="Q1385" i="2"/>
  <c r="R1384" i="2"/>
  <c r="Q1384" i="2"/>
  <c r="R1383" i="2"/>
  <c r="Q1383" i="2"/>
  <c r="R1382" i="2"/>
  <c r="Q1382" i="2"/>
  <c r="R1381" i="2"/>
  <c r="Q1381" i="2"/>
  <c r="R1380" i="2"/>
  <c r="Q1380" i="2"/>
  <c r="R1379" i="2"/>
  <c r="Q1379" i="2"/>
  <c r="R1378" i="2"/>
  <c r="Q1378" i="2"/>
  <c r="R1377" i="2"/>
  <c r="Q1377" i="2"/>
  <c r="R1376" i="2"/>
  <c r="Q1376" i="2"/>
  <c r="R1375" i="2"/>
  <c r="Q1375" i="2"/>
  <c r="R1374" i="2"/>
  <c r="Q1374" i="2"/>
  <c r="R1373" i="2"/>
  <c r="Q1373" i="2"/>
  <c r="R1372" i="2"/>
  <c r="Q1372" i="2"/>
  <c r="R1371" i="2"/>
  <c r="Q1371" i="2"/>
  <c r="R1370" i="2"/>
  <c r="Q1370" i="2"/>
  <c r="R1369" i="2"/>
  <c r="Q1369" i="2"/>
  <c r="R1368" i="2"/>
  <c r="Q1368" i="2"/>
  <c r="R1367" i="2"/>
  <c r="Q1367" i="2"/>
  <c r="R1366" i="2"/>
  <c r="Q1366" i="2"/>
  <c r="R1365" i="2"/>
  <c r="Q1365" i="2"/>
  <c r="R1364" i="2"/>
  <c r="Q1364" i="2"/>
  <c r="R1363" i="2"/>
  <c r="Q1363" i="2"/>
  <c r="R1362" i="2"/>
  <c r="Q1362" i="2"/>
  <c r="R1361" i="2"/>
  <c r="Q1361" i="2"/>
  <c r="R1360" i="2"/>
  <c r="Q1360" i="2"/>
  <c r="R1359" i="2"/>
  <c r="Q1359" i="2"/>
  <c r="R1358" i="2"/>
  <c r="Q1358" i="2"/>
  <c r="R1357" i="2"/>
  <c r="Q1357" i="2"/>
  <c r="R1356" i="2"/>
  <c r="Q1356" i="2"/>
  <c r="R1355" i="2"/>
  <c r="Q1355" i="2"/>
  <c r="R1354" i="2"/>
  <c r="Q1354" i="2"/>
  <c r="R1353" i="2"/>
  <c r="Q1353" i="2"/>
  <c r="R1352" i="2"/>
  <c r="Q1352" i="2"/>
  <c r="R1351" i="2"/>
  <c r="Q1351" i="2"/>
  <c r="R1350" i="2"/>
  <c r="Q1350" i="2"/>
  <c r="R1349" i="2"/>
  <c r="Q1349" i="2"/>
  <c r="R1348" i="2"/>
  <c r="Q1348" i="2"/>
  <c r="R1347" i="2"/>
  <c r="Q1347" i="2"/>
  <c r="R1346" i="2"/>
  <c r="Q1346" i="2"/>
  <c r="R1345" i="2"/>
  <c r="Q1345" i="2"/>
  <c r="R1344" i="2"/>
  <c r="Q1344" i="2"/>
  <c r="R1343" i="2"/>
  <c r="Q1343" i="2"/>
  <c r="R1342" i="2"/>
  <c r="Q1342" i="2"/>
  <c r="R1341" i="2"/>
  <c r="Q1341" i="2"/>
  <c r="R1340" i="2"/>
  <c r="Q1340" i="2"/>
  <c r="R1339" i="2"/>
  <c r="Q1339" i="2"/>
  <c r="R1338" i="2"/>
  <c r="Q1338" i="2"/>
  <c r="R1337" i="2"/>
  <c r="Q1337" i="2"/>
  <c r="R1336" i="2"/>
  <c r="Q1336" i="2"/>
  <c r="R1335" i="2"/>
  <c r="Q1335" i="2"/>
  <c r="R1334" i="2"/>
  <c r="Q1334" i="2"/>
  <c r="R1333" i="2"/>
  <c r="Q1333" i="2"/>
  <c r="R1332" i="2"/>
  <c r="Q1332" i="2"/>
  <c r="R1331" i="2"/>
  <c r="Q1331" i="2"/>
  <c r="R1330" i="2"/>
  <c r="Q1330" i="2"/>
  <c r="R1329" i="2"/>
  <c r="Q1329" i="2"/>
  <c r="R1328" i="2"/>
  <c r="Q1328" i="2"/>
  <c r="R1327" i="2"/>
  <c r="Q1327" i="2"/>
  <c r="R1326" i="2"/>
  <c r="Q1326" i="2"/>
  <c r="R1325" i="2"/>
  <c r="Q1325" i="2"/>
  <c r="R1324" i="2"/>
  <c r="Q1324" i="2"/>
  <c r="R1323" i="2"/>
  <c r="Q1323" i="2"/>
  <c r="R1322" i="2"/>
  <c r="Q1322" i="2"/>
  <c r="R1321" i="2"/>
  <c r="Q1321" i="2"/>
  <c r="R1320" i="2"/>
  <c r="Q1320" i="2"/>
  <c r="R1319" i="2"/>
  <c r="Q1319" i="2"/>
  <c r="R1318" i="2"/>
  <c r="Q1318" i="2"/>
  <c r="R1317" i="2"/>
  <c r="Q1317" i="2"/>
  <c r="R1316" i="2"/>
  <c r="Q1316" i="2"/>
  <c r="R1315" i="2"/>
  <c r="Q1315" i="2"/>
  <c r="R1314" i="2"/>
  <c r="Q1314" i="2"/>
  <c r="R1313" i="2"/>
  <c r="Q1313" i="2"/>
  <c r="R1312" i="2"/>
  <c r="Q1312" i="2"/>
  <c r="R1311" i="2"/>
  <c r="Q1311" i="2"/>
  <c r="R1310" i="2"/>
  <c r="Q1310" i="2"/>
  <c r="R1309" i="2"/>
  <c r="Q1309" i="2"/>
  <c r="R1308" i="2"/>
  <c r="Q1308" i="2"/>
  <c r="R1307" i="2"/>
  <c r="Q1307" i="2"/>
  <c r="R1306" i="2"/>
  <c r="Q1306" i="2"/>
  <c r="R1305" i="2"/>
  <c r="Q1305" i="2"/>
  <c r="R1304" i="2"/>
  <c r="Q1304" i="2"/>
  <c r="R1303" i="2"/>
  <c r="Q1303" i="2"/>
  <c r="R1302" i="2"/>
  <c r="Q1302" i="2"/>
  <c r="R1301" i="2"/>
  <c r="Q1301" i="2"/>
  <c r="R1300" i="2"/>
  <c r="Q1300" i="2"/>
  <c r="R1299" i="2"/>
  <c r="Q1299" i="2"/>
  <c r="R1298" i="2"/>
  <c r="Q1298" i="2"/>
  <c r="R1297" i="2"/>
  <c r="Q1297" i="2"/>
  <c r="R1296" i="2"/>
  <c r="Q1296" i="2"/>
  <c r="R1295" i="2"/>
  <c r="Q1295" i="2"/>
  <c r="R1294" i="2"/>
  <c r="Q1294" i="2"/>
  <c r="R1293" i="2"/>
  <c r="Q1293" i="2"/>
  <c r="R1292" i="2"/>
  <c r="Q1292" i="2"/>
  <c r="R1291" i="2"/>
  <c r="Q1291" i="2"/>
  <c r="R1290" i="2"/>
  <c r="Q1290" i="2"/>
  <c r="R1289" i="2"/>
  <c r="Q1289" i="2"/>
  <c r="R1288" i="2"/>
  <c r="Q1288" i="2"/>
  <c r="R1287" i="2"/>
  <c r="Q1287" i="2"/>
  <c r="R1286" i="2"/>
  <c r="Q1286" i="2"/>
  <c r="R1285" i="2"/>
  <c r="Q1285" i="2"/>
  <c r="R1284" i="2"/>
  <c r="Q1284" i="2"/>
  <c r="R1283" i="2"/>
  <c r="Q1283" i="2"/>
  <c r="R1282" i="2"/>
  <c r="Q1282" i="2"/>
  <c r="R1281" i="2"/>
  <c r="Q1281" i="2"/>
  <c r="R1280" i="2"/>
  <c r="Q1280" i="2"/>
  <c r="R1279" i="2"/>
  <c r="Q1279" i="2"/>
  <c r="R1278" i="2"/>
  <c r="Q1278" i="2"/>
  <c r="R1277" i="2"/>
  <c r="Q1277" i="2"/>
  <c r="R1276" i="2"/>
  <c r="Q1276" i="2"/>
  <c r="R1275" i="2"/>
  <c r="Q1275" i="2"/>
  <c r="R1274" i="2"/>
  <c r="Q1274" i="2"/>
  <c r="R1273" i="2"/>
  <c r="Q1273" i="2"/>
  <c r="R1272" i="2"/>
  <c r="Q1272" i="2"/>
  <c r="R1271" i="2"/>
  <c r="Q1271" i="2"/>
  <c r="R1270" i="2"/>
  <c r="Q1270" i="2"/>
  <c r="R1269" i="2"/>
  <c r="Q1269" i="2"/>
  <c r="R1268" i="2"/>
  <c r="Q1268" i="2"/>
  <c r="R1267" i="2"/>
  <c r="Q1267" i="2"/>
  <c r="R1266" i="2"/>
  <c r="Q1266" i="2"/>
  <c r="R1265" i="2"/>
  <c r="Q1265" i="2"/>
  <c r="R1264" i="2"/>
  <c r="Q1264" i="2"/>
  <c r="R1263" i="2"/>
  <c r="Q1263" i="2"/>
  <c r="R1262" i="2"/>
  <c r="Q1262" i="2"/>
  <c r="R1261" i="2"/>
  <c r="Q1261" i="2"/>
  <c r="R1260" i="2"/>
  <c r="Q1260" i="2"/>
  <c r="R1259" i="2"/>
  <c r="Q1259" i="2"/>
  <c r="R1258" i="2"/>
  <c r="Q1258" i="2"/>
  <c r="R1257" i="2"/>
  <c r="Q1257" i="2"/>
  <c r="R1256" i="2"/>
  <c r="Q1256" i="2"/>
  <c r="R1255" i="2"/>
  <c r="Q1255" i="2"/>
  <c r="R1254" i="2"/>
  <c r="Q1254" i="2"/>
  <c r="R1253" i="2"/>
  <c r="Q1253" i="2"/>
  <c r="R1252" i="2"/>
  <c r="Q1252" i="2"/>
  <c r="R1251" i="2"/>
  <c r="Q1251" i="2"/>
  <c r="R1250" i="2"/>
  <c r="Q1250" i="2"/>
  <c r="R1249" i="2"/>
  <c r="Q1249" i="2"/>
  <c r="R1248" i="2"/>
  <c r="Q1248" i="2"/>
  <c r="R1247" i="2"/>
  <c r="Q1247" i="2"/>
  <c r="R1246" i="2"/>
  <c r="Q1246" i="2"/>
  <c r="R1245" i="2"/>
  <c r="Q1245" i="2"/>
  <c r="R1244" i="2"/>
  <c r="Q1244" i="2"/>
  <c r="R1243" i="2"/>
  <c r="Q1243" i="2"/>
  <c r="R1242" i="2"/>
  <c r="Q1242" i="2"/>
  <c r="R1241" i="2"/>
  <c r="Q1241" i="2"/>
  <c r="R1240" i="2"/>
  <c r="Q1240" i="2"/>
  <c r="R1239" i="2"/>
  <c r="Q1239" i="2"/>
  <c r="R1238" i="2"/>
  <c r="Q1238" i="2"/>
  <c r="R1237" i="2"/>
  <c r="Q1237" i="2"/>
  <c r="R1236" i="2"/>
  <c r="Q1236" i="2"/>
  <c r="R1235" i="2"/>
  <c r="Q1235" i="2"/>
  <c r="R1234" i="2"/>
  <c r="Q1234" i="2"/>
  <c r="R1233" i="2"/>
  <c r="Q1233" i="2"/>
  <c r="R1232" i="2"/>
  <c r="Q1232" i="2"/>
  <c r="R1231" i="2"/>
  <c r="Q1231" i="2"/>
  <c r="R1230" i="2"/>
  <c r="Q1230" i="2"/>
  <c r="R1229" i="2"/>
  <c r="Q1229" i="2"/>
  <c r="R1228" i="2"/>
  <c r="Q1228" i="2"/>
  <c r="R1227" i="2"/>
  <c r="Q1227" i="2"/>
  <c r="R1226" i="2"/>
  <c r="Q1226" i="2"/>
  <c r="R1225" i="2"/>
  <c r="Q1225" i="2"/>
  <c r="R1224" i="2"/>
  <c r="Q1224" i="2"/>
  <c r="R1223" i="2"/>
  <c r="Q1223" i="2"/>
  <c r="R1222" i="2"/>
  <c r="Q1222" i="2"/>
  <c r="R1221" i="2"/>
  <c r="Q1221" i="2"/>
  <c r="R1220" i="2"/>
  <c r="Q1220" i="2"/>
  <c r="R1219" i="2"/>
  <c r="Q1219" i="2"/>
  <c r="R1218" i="2"/>
  <c r="Q1218" i="2"/>
  <c r="R1217" i="2"/>
  <c r="Q1217" i="2"/>
  <c r="R1216" i="2"/>
  <c r="Q1216" i="2"/>
  <c r="R1215" i="2"/>
  <c r="Q1215" i="2"/>
  <c r="R1214" i="2"/>
  <c r="Q1214" i="2"/>
  <c r="R1213" i="2"/>
  <c r="Q1213" i="2"/>
  <c r="R1212" i="2"/>
  <c r="Q1212" i="2"/>
  <c r="R1211" i="2"/>
  <c r="Q1211" i="2"/>
  <c r="R1210" i="2"/>
  <c r="Q1210" i="2"/>
  <c r="R1209" i="2"/>
  <c r="Q1209" i="2"/>
  <c r="R1208" i="2"/>
  <c r="Q1208" i="2"/>
  <c r="R1207" i="2"/>
  <c r="Q1207" i="2"/>
  <c r="R1206" i="2"/>
  <c r="Q1206" i="2"/>
  <c r="R1205" i="2"/>
  <c r="Q1205" i="2"/>
  <c r="R1204" i="2"/>
  <c r="Q1204" i="2"/>
  <c r="R1203" i="2"/>
  <c r="Q1203" i="2"/>
  <c r="R1202" i="2"/>
  <c r="Q1202" i="2"/>
  <c r="R1201" i="2"/>
  <c r="Q1201" i="2"/>
  <c r="R1200" i="2"/>
  <c r="Q1200" i="2"/>
  <c r="R1199" i="2"/>
  <c r="Q1199" i="2"/>
  <c r="R1198" i="2"/>
  <c r="Q1198" i="2"/>
  <c r="R1197" i="2"/>
  <c r="Q1197" i="2"/>
  <c r="R1196" i="2"/>
  <c r="Q1196" i="2"/>
  <c r="R1195" i="2"/>
  <c r="Q1195" i="2"/>
  <c r="R1194" i="2"/>
  <c r="Q1194" i="2"/>
  <c r="R1193" i="2"/>
  <c r="Q1193" i="2"/>
  <c r="R1192" i="2"/>
  <c r="Q1192" i="2"/>
  <c r="R1191" i="2"/>
  <c r="Q1191" i="2"/>
  <c r="R1190" i="2"/>
  <c r="Q1190" i="2"/>
  <c r="R1189" i="2"/>
  <c r="Q1189" i="2"/>
  <c r="R1188" i="2"/>
  <c r="Q1188" i="2"/>
  <c r="R1187" i="2"/>
  <c r="Q1187" i="2"/>
  <c r="R1186" i="2"/>
  <c r="Q1186" i="2"/>
  <c r="R1185" i="2"/>
  <c r="Q1185" i="2"/>
  <c r="R1184" i="2"/>
  <c r="Q1184" i="2"/>
  <c r="R1183" i="2"/>
  <c r="Q1183" i="2"/>
  <c r="R1182" i="2"/>
  <c r="Q1182" i="2"/>
  <c r="R1181" i="2"/>
  <c r="Q1181" i="2"/>
  <c r="R1180" i="2"/>
  <c r="Q1180" i="2"/>
  <c r="R1179" i="2"/>
  <c r="Q1179" i="2"/>
  <c r="R1178" i="2"/>
  <c r="Q1178" i="2"/>
  <c r="R1177" i="2"/>
  <c r="Q1177" i="2"/>
  <c r="R1176" i="2"/>
  <c r="Q1176" i="2"/>
  <c r="R1175" i="2"/>
  <c r="Q1175" i="2"/>
  <c r="R1174" i="2"/>
  <c r="Q1174" i="2"/>
  <c r="R1173" i="2"/>
  <c r="Q1173" i="2"/>
  <c r="R1172" i="2"/>
  <c r="Q1172" i="2"/>
  <c r="R1171" i="2"/>
  <c r="Q1171" i="2"/>
  <c r="R1170" i="2"/>
  <c r="Q1170" i="2"/>
  <c r="R1169" i="2"/>
  <c r="Q1169" i="2"/>
  <c r="R1168" i="2"/>
  <c r="Q1168" i="2"/>
  <c r="R1167" i="2"/>
  <c r="Q1167" i="2"/>
  <c r="R1166" i="2"/>
  <c r="Q1166" i="2"/>
  <c r="R1165" i="2"/>
  <c r="Q1165" i="2"/>
  <c r="R1164" i="2"/>
  <c r="Q1164" i="2"/>
  <c r="R1163" i="2"/>
  <c r="Q1163" i="2"/>
  <c r="R1162" i="2"/>
  <c r="Q1162" i="2"/>
  <c r="R1161" i="2"/>
  <c r="Q1161" i="2"/>
  <c r="R1160" i="2"/>
  <c r="Q1160" i="2"/>
  <c r="R1159" i="2"/>
  <c r="Q1159" i="2"/>
  <c r="R1158" i="2"/>
  <c r="Q1158" i="2"/>
  <c r="R1157" i="2"/>
  <c r="Q1157" i="2"/>
  <c r="R1156" i="2"/>
  <c r="Q1156" i="2"/>
  <c r="R1155" i="2"/>
  <c r="Q1155" i="2"/>
  <c r="R1154" i="2"/>
  <c r="Q1154" i="2"/>
  <c r="R1153" i="2"/>
  <c r="Q1153" i="2"/>
  <c r="R1152" i="2"/>
  <c r="Q1152" i="2"/>
  <c r="R1151" i="2"/>
  <c r="Q1151" i="2"/>
  <c r="R1150" i="2"/>
  <c r="Q1150" i="2"/>
  <c r="R1149" i="2"/>
  <c r="Q1149" i="2"/>
  <c r="R1148" i="2"/>
  <c r="Q1148" i="2"/>
  <c r="R1147" i="2"/>
  <c r="Q1147" i="2"/>
  <c r="R1146" i="2"/>
  <c r="Q1146" i="2"/>
  <c r="R1145" i="2"/>
  <c r="Q1145" i="2"/>
  <c r="R1144" i="2"/>
  <c r="Q1144" i="2"/>
  <c r="R1143" i="2"/>
  <c r="Q1143" i="2"/>
  <c r="R1142" i="2"/>
  <c r="Q1142" i="2"/>
  <c r="R1141" i="2"/>
  <c r="Q1141" i="2"/>
  <c r="R1140" i="2"/>
  <c r="Q1140" i="2"/>
  <c r="R1139" i="2"/>
  <c r="Q1139" i="2"/>
  <c r="R1138" i="2"/>
  <c r="Q1138" i="2"/>
  <c r="R1137" i="2"/>
  <c r="Q1137" i="2"/>
  <c r="R1136" i="2"/>
  <c r="Q1136" i="2"/>
  <c r="R1135" i="2"/>
  <c r="Q1135" i="2"/>
  <c r="R1134" i="2"/>
  <c r="Q1134" i="2"/>
  <c r="R1133" i="2"/>
  <c r="Q1133" i="2"/>
  <c r="R1132" i="2"/>
  <c r="Q1132" i="2"/>
  <c r="R1131" i="2"/>
  <c r="Q1131" i="2"/>
  <c r="R1130" i="2"/>
  <c r="Q1130" i="2"/>
  <c r="R1129" i="2"/>
  <c r="Q1129" i="2"/>
  <c r="R1128" i="2"/>
  <c r="Q1128" i="2"/>
  <c r="R1127" i="2"/>
  <c r="Q1127" i="2"/>
  <c r="R1126" i="2"/>
  <c r="Q1126" i="2"/>
  <c r="R1125" i="2"/>
  <c r="Q1125" i="2"/>
  <c r="R1124" i="2"/>
  <c r="Q1124" i="2"/>
  <c r="R1123" i="2"/>
  <c r="Q1123" i="2"/>
  <c r="R1122" i="2"/>
  <c r="Q1122" i="2"/>
  <c r="R1121" i="2"/>
  <c r="Q1121" i="2"/>
  <c r="R1120" i="2"/>
  <c r="Q1120" i="2"/>
  <c r="R1119" i="2"/>
  <c r="Q1119" i="2"/>
  <c r="R1118" i="2"/>
  <c r="Q1118" i="2"/>
  <c r="R1117" i="2"/>
  <c r="Q1117" i="2"/>
  <c r="R1116" i="2"/>
  <c r="Q1116" i="2"/>
  <c r="R1115" i="2"/>
  <c r="Q1115" i="2"/>
  <c r="R1114" i="2"/>
  <c r="Q1114" i="2"/>
  <c r="R1113" i="2"/>
  <c r="Q1113" i="2"/>
  <c r="R1112" i="2"/>
  <c r="Q1112" i="2"/>
  <c r="R1111" i="2"/>
  <c r="Q1111" i="2"/>
  <c r="R1110" i="2"/>
  <c r="Q1110" i="2"/>
  <c r="R1109" i="2"/>
  <c r="Q1109" i="2"/>
  <c r="R1108" i="2"/>
  <c r="Q1108" i="2"/>
  <c r="R1107" i="2"/>
  <c r="Q1107" i="2"/>
  <c r="R1106" i="2"/>
  <c r="Q1106" i="2"/>
  <c r="R1105" i="2"/>
  <c r="Q1105" i="2"/>
  <c r="R1104" i="2"/>
  <c r="Q1104" i="2"/>
  <c r="R1103" i="2"/>
  <c r="Q1103" i="2"/>
  <c r="R1102" i="2"/>
  <c r="Q1102" i="2"/>
  <c r="R1101" i="2"/>
  <c r="Q1101" i="2"/>
  <c r="R1100" i="2"/>
  <c r="Q1100" i="2"/>
  <c r="R1099" i="2"/>
  <c r="Q1099" i="2"/>
  <c r="R1098" i="2"/>
  <c r="Q1098" i="2"/>
  <c r="R1097" i="2"/>
  <c r="Q1097" i="2"/>
  <c r="R1096" i="2"/>
  <c r="Q1096" i="2"/>
  <c r="R1095" i="2"/>
  <c r="Q1095" i="2"/>
  <c r="R1094" i="2"/>
  <c r="Q1094" i="2"/>
  <c r="R1093" i="2"/>
  <c r="Q1093" i="2"/>
  <c r="R1092" i="2"/>
  <c r="Q1092" i="2"/>
  <c r="R1091" i="2"/>
  <c r="Q1091" i="2"/>
  <c r="R1090" i="2"/>
  <c r="Q1090" i="2"/>
  <c r="R1089" i="2"/>
  <c r="Q1089" i="2"/>
  <c r="R1088" i="2"/>
  <c r="Q1088" i="2"/>
  <c r="R1087" i="2"/>
  <c r="Q1087" i="2"/>
  <c r="R1086" i="2"/>
  <c r="Q1086" i="2"/>
  <c r="R1085" i="2"/>
  <c r="Q1085" i="2"/>
  <c r="R1084" i="2"/>
  <c r="Q1084" i="2"/>
  <c r="R1083" i="2"/>
  <c r="Q1083" i="2"/>
  <c r="R1082" i="2"/>
  <c r="Q1082" i="2"/>
  <c r="R1081" i="2"/>
  <c r="Q1081" i="2"/>
  <c r="R1080" i="2"/>
  <c r="Q1080" i="2"/>
  <c r="R1079" i="2"/>
  <c r="Q1079" i="2"/>
  <c r="R1078" i="2"/>
  <c r="Q1078" i="2"/>
  <c r="R1077" i="2"/>
  <c r="Q1077" i="2"/>
  <c r="R1076" i="2"/>
  <c r="Q1076" i="2"/>
  <c r="R1075" i="2"/>
  <c r="Q1075" i="2"/>
  <c r="R1074" i="2"/>
  <c r="Q1074" i="2"/>
  <c r="R1073" i="2"/>
  <c r="Q1073" i="2"/>
  <c r="R1072" i="2"/>
  <c r="Q1072" i="2"/>
  <c r="R1071" i="2"/>
  <c r="Q1071" i="2"/>
  <c r="R1070" i="2"/>
  <c r="Q1070" i="2"/>
  <c r="R1069" i="2"/>
  <c r="Q1069" i="2"/>
  <c r="R1068" i="2"/>
  <c r="Q1068" i="2"/>
  <c r="R1067" i="2"/>
  <c r="Q1067" i="2"/>
  <c r="R1066" i="2"/>
  <c r="Q1066" i="2"/>
  <c r="R1065" i="2"/>
  <c r="Q1065" i="2"/>
  <c r="R1064" i="2"/>
  <c r="Q1064" i="2"/>
  <c r="R1063" i="2"/>
  <c r="Q1063" i="2"/>
  <c r="R1062" i="2"/>
  <c r="Q1062" i="2"/>
  <c r="R1061" i="2"/>
  <c r="Q1061" i="2"/>
  <c r="R1060" i="2"/>
  <c r="Q1060" i="2"/>
  <c r="R1059" i="2"/>
  <c r="Q1059" i="2"/>
  <c r="R1058" i="2"/>
  <c r="Q1058" i="2"/>
  <c r="R1057" i="2"/>
  <c r="Q1057" i="2"/>
  <c r="R1056" i="2"/>
  <c r="Q1056" i="2"/>
  <c r="R1055" i="2"/>
  <c r="Q1055" i="2"/>
  <c r="R1054" i="2"/>
  <c r="Q1054" i="2"/>
  <c r="R1053" i="2"/>
  <c r="Q1053" i="2"/>
  <c r="R1052" i="2"/>
  <c r="Q1052" i="2"/>
  <c r="R1051" i="2"/>
  <c r="Q1051" i="2"/>
  <c r="R1050" i="2"/>
  <c r="Q1050" i="2"/>
  <c r="R1049" i="2"/>
  <c r="Q1049" i="2"/>
  <c r="R1048" i="2"/>
  <c r="Q1048" i="2"/>
  <c r="R1047" i="2"/>
  <c r="Q1047" i="2"/>
  <c r="R1046" i="2"/>
  <c r="Q1046" i="2"/>
  <c r="R1045" i="2"/>
  <c r="Q1045" i="2"/>
  <c r="R1044" i="2"/>
  <c r="Q1044" i="2"/>
  <c r="R1043" i="2"/>
  <c r="Q1043" i="2"/>
  <c r="R1042" i="2"/>
  <c r="Q1042" i="2"/>
  <c r="R1041" i="2"/>
  <c r="Q1041" i="2"/>
  <c r="R1040" i="2"/>
  <c r="Q1040" i="2"/>
  <c r="R1039" i="2"/>
  <c r="Q1039" i="2"/>
  <c r="R1038" i="2"/>
  <c r="Q1038" i="2"/>
  <c r="R1037" i="2"/>
  <c r="Q1037" i="2"/>
  <c r="R1036" i="2"/>
  <c r="Q1036" i="2"/>
  <c r="R1035" i="2"/>
  <c r="Q1035" i="2"/>
  <c r="R1034" i="2"/>
  <c r="Q1034" i="2"/>
  <c r="R1033" i="2"/>
  <c r="Q1033" i="2"/>
  <c r="R1032" i="2"/>
  <c r="Q1032" i="2"/>
  <c r="R1031" i="2"/>
  <c r="Q1031" i="2"/>
  <c r="R1030" i="2"/>
  <c r="Q1030" i="2"/>
  <c r="R1029" i="2"/>
  <c r="Q1029" i="2"/>
  <c r="R1028" i="2"/>
  <c r="Q1028" i="2"/>
  <c r="R1027" i="2"/>
  <c r="Q1027" i="2"/>
  <c r="R1026" i="2"/>
  <c r="Q1026" i="2"/>
  <c r="R1025" i="2"/>
  <c r="Q1025" i="2"/>
  <c r="R1024" i="2"/>
  <c r="Q1024" i="2"/>
  <c r="R1023" i="2"/>
  <c r="Q1023" i="2"/>
  <c r="R1022" i="2"/>
  <c r="Q1022" i="2"/>
  <c r="R1021" i="2"/>
  <c r="Q1021" i="2"/>
  <c r="R1020" i="2"/>
  <c r="Q1020" i="2"/>
  <c r="R1019" i="2"/>
  <c r="Q1019" i="2"/>
  <c r="R1018" i="2"/>
  <c r="Q1018" i="2"/>
  <c r="R1017" i="2"/>
  <c r="Q1017" i="2"/>
  <c r="R1016" i="2"/>
  <c r="Q1016" i="2"/>
  <c r="R1015" i="2"/>
  <c r="Q1015" i="2"/>
  <c r="R1014" i="2"/>
  <c r="Q1014" i="2"/>
  <c r="R1013" i="2"/>
  <c r="Q1013" i="2"/>
  <c r="R1012" i="2"/>
  <c r="Q1012" i="2"/>
  <c r="R1011" i="2"/>
  <c r="Q1011" i="2"/>
  <c r="R1010" i="2"/>
  <c r="Q1010" i="2"/>
  <c r="R1009" i="2"/>
  <c r="Q1009" i="2"/>
  <c r="R1008" i="2"/>
  <c r="Q1008" i="2"/>
  <c r="R1007" i="2"/>
  <c r="Q1007" i="2"/>
  <c r="R1006" i="2"/>
  <c r="Q1006" i="2"/>
  <c r="R1005" i="2"/>
  <c r="Q1005" i="2"/>
  <c r="R1004" i="2"/>
  <c r="Q1004" i="2"/>
  <c r="R1003" i="2"/>
  <c r="Q1003" i="2"/>
  <c r="R1002" i="2"/>
  <c r="Q1002" i="2"/>
  <c r="R1001" i="2"/>
  <c r="Q1001" i="2"/>
  <c r="R1000" i="2"/>
  <c r="Q1000" i="2"/>
  <c r="R999" i="2"/>
  <c r="Q999" i="2"/>
  <c r="R998" i="2"/>
  <c r="Q998" i="2"/>
  <c r="R997" i="2"/>
  <c r="Q997" i="2"/>
  <c r="R996" i="2"/>
  <c r="Q996" i="2"/>
  <c r="R995" i="2"/>
  <c r="Q995" i="2"/>
  <c r="R994" i="2"/>
  <c r="Q994" i="2"/>
  <c r="R993" i="2"/>
  <c r="Q993" i="2"/>
  <c r="R992" i="2"/>
  <c r="Q992" i="2"/>
  <c r="R991" i="2"/>
  <c r="Q991" i="2"/>
  <c r="R990" i="2"/>
  <c r="Q990" i="2"/>
  <c r="R989" i="2"/>
  <c r="Q989" i="2"/>
  <c r="R988" i="2"/>
  <c r="Q988" i="2"/>
  <c r="R987" i="2"/>
  <c r="Q987" i="2"/>
  <c r="R986" i="2"/>
  <c r="Q986" i="2"/>
  <c r="R985" i="2"/>
  <c r="Q985" i="2"/>
  <c r="R984" i="2"/>
  <c r="Q984" i="2"/>
  <c r="R983" i="2"/>
  <c r="Q983" i="2"/>
  <c r="R982" i="2"/>
  <c r="Q982" i="2"/>
  <c r="R981" i="2"/>
  <c r="Q981" i="2"/>
  <c r="R980" i="2"/>
  <c r="Q980" i="2"/>
  <c r="R979" i="2"/>
  <c r="Q979" i="2"/>
  <c r="R978" i="2"/>
  <c r="Q978" i="2"/>
  <c r="R977" i="2"/>
  <c r="Q977" i="2"/>
  <c r="R976" i="2"/>
  <c r="Q976" i="2"/>
  <c r="R975" i="2"/>
  <c r="Q975" i="2"/>
  <c r="R974" i="2"/>
  <c r="Q974" i="2"/>
  <c r="R973" i="2"/>
  <c r="Q973" i="2"/>
  <c r="R972" i="2"/>
  <c r="Q972" i="2"/>
  <c r="R971" i="2"/>
  <c r="Q971" i="2"/>
  <c r="R970" i="2"/>
  <c r="Q970" i="2"/>
  <c r="R969" i="2"/>
  <c r="Q969" i="2"/>
  <c r="R968" i="2"/>
  <c r="Q968" i="2"/>
  <c r="R967" i="2"/>
  <c r="Q967" i="2"/>
  <c r="R966" i="2"/>
  <c r="Q966" i="2"/>
  <c r="R965" i="2"/>
  <c r="Q965" i="2"/>
  <c r="R964" i="2"/>
  <c r="Q964" i="2"/>
  <c r="R963" i="2"/>
  <c r="Q963" i="2"/>
  <c r="R962" i="2"/>
  <c r="Q962" i="2"/>
  <c r="R961" i="2"/>
  <c r="Q961" i="2"/>
  <c r="R960" i="2"/>
  <c r="Q960" i="2"/>
  <c r="R959" i="2"/>
  <c r="Q959" i="2"/>
  <c r="R958" i="2"/>
  <c r="Q958" i="2"/>
  <c r="R957" i="2"/>
  <c r="Q957" i="2"/>
  <c r="R956" i="2"/>
  <c r="Q956" i="2"/>
  <c r="R955" i="2"/>
  <c r="Q955" i="2"/>
  <c r="R954" i="2"/>
  <c r="Q954" i="2"/>
  <c r="R953" i="2"/>
  <c r="Q953" i="2"/>
  <c r="R952" i="2"/>
  <c r="Q952" i="2"/>
  <c r="R951" i="2"/>
  <c r="Q951" i="2"/>
  <c r="R950" i="2"/>
  <c r="Q950" i="2"/>
  <c r="R949" i="2"/>
  <c r="Q949" i="2"/>
  <c r="R948" i="2"/>
  <c r="Q948" i="2"/>
  <c r="R947" i="2"/>
  <c r="Q947" i="2"/>
  <c r="R946" i="2"/>
  <c r="Q946" i="2"/>
  <c r="R945" i="2"/>
  <c r="Q945" i="2"/>
  <c r="R944" i="2"/>
  <c r="Q944" i="2"/>
  <c r="R943" i="2"/>
  <c r="Q943" i="2"/>
  <c r="R942" i="2"/>
  <c r="Q942" i="2"/>
  <c r="R941" i="2"/>
  <c r="Q941" i="2"/>
  <c r="R940" i="2"/>
  <c r="Q940" i="2"/>
  <c r="R939" i="2"/>
  <c r="Q939" i="2"/>
  <c r="R938" i="2"/>
  <c r="Q938" i="2"/>
  <c r="R937" i="2"/>
  <c r="Q937" i="2"/>
  <c r="R936" i="2"/>
  <c r="Q936" i="2"/>
  <c r="R935" i="2"/>
  <c r="Q935" i="2"/>
  <c r="R934" i="2"/>
  <c r="Q934" i="2"/>
  <c r="R933" i="2"/>
  <c r="Q933" i="2"/>
  <c r="R932" i="2"/>
  <c r="Q932" i="2"/>
  <c r="R931" i="2"/>
  <c r="Q931" i="2"/>
  <c r="R930" i="2"/>
  <c r="Q930" i="2"/>
  <c r="R929" i="2"/>
  <c r="Q929" i="2"/>
  <c r="R928" i="2"/>
  <c r="Q928" i="2"/>
  <c r="R927" i="2"/>
  <c r="Q927" i="2"/>
  <c r="R926" i="2"/>
  <c r="Q926" i="2"/>
  <c r="R925" i="2"/>
  <c r="Q925" i="2"/>
  <c r="R924" i="2"/>
  <c r="Q924" i="2"/>
  <c r="R923" i="2"/>
  <c r="Q923" i="2"/>
  <c r="R922" i="2"/>
  <c r="Q922" i="2"/>
  <c r="R921" i="2"/>
  <c r="Q921" i="2"/>
  <c r="R920" i="2"/>
  <c r="Q920" i="2"/>
  <c r="R919" i="2"/>
  <c r="Q919" i="2"/>
  <c r="R918" i="2"/>
  <c r="Q918" i="2"/>
  <c r="R917" i="2"/>
  <c r="Q917" i="2"/>
  <c r="R916" i="2"/>
  <c r="Q916" i="2"/>
  <c r="R915" i="2"/>
  <c r="Q915" i="2"/>
  <c r="R914" i="2"/>
  <c r="Q914" i="2"/>
  <c r="R913" i="2"/>
  <c r="Q913" i="2"/>
  <c r="R912" i="2"/>
  <c r="Q912" i="2"/>
  <c r="R911" i="2"/>
  <c r="Q911" i="2"/>
  <c r="R910" i="2"/>
  <c r="Q910" i="2"/>
  <c r="R909" i="2"/>
  <c r="Q909" i="2"/>
  <c r="R908" i="2"/>
  <c r="Q908" i="2"/>
  <c r="R907" i="2"/>
  <c r="Q907" i="2"/>
  <c r="R906" i="2"/>
  <c r="Q906" i="2"/>
  <c r="R905" i="2"/>
  <c r="Q905" i="2"/>
  <c r="R904" i="2"/>
  <c r="Q904" i="2"/>
  <c r="R903" i="2"/>
  <c r="Q903" i="2"/>
  <c r="R902" i="2"/>
  <c r="Q902" i="2"/>
  <c r="R901" i="2"/>
  <c r="Q901" i="2"/>
  <c r="R900" i="2"/>
  <c r="Q900" i="2"/>
  <c r="R899" i="2"/>
  <c r="Q899" i="2"/>
  <c r="R898" i="2"/>
  <c r="Q898" i="2"/>
  <c r="R897" i="2"/>
  <c r="Q897" i="2"/>
  <c r="R896" i="2"/>
  <c r="Q896" i="2"/>
  <c r="R895" i="2"/>
  <c r="Q895" i="2"/>
  <c r="R894" i="2"/>
  <c r="Q894" i="2"/>
  <c r="R893" i="2"/>
  <c r="Q893" i="2"/>
  <c r="R892" i="2"/>
  <c r="Q892" i="2"/>
  <c r="R891" i="2"/>
  <c r="Q891" i="2"/>
  <c r="R890" i="2"/>
  <c r="Q890" i="2"/>
  <c r="R889" i="2"/>
  <c r="Q889" i="2"/>
  <c r="R888" i="2"/>
  <c r="Q888" i="2"/>
  <c r="R887" i="2"/>
  <c r="Q887" i="2"/>
  <c r="R886" i="2"/>
  <c r="Q886" i="2"/>
  <c r="R885" i="2"/>
  <c r="Q885" i="2"/>
  <c r="R884" i="2"/>
  <c r="Q884" i="2"/>
  <c r="R883" i="2"/>
  <c r="Q883" i="2"/>
  <c r="R882" i="2"/>
  <c r="Q882" i="2"/>
  <c r="R881" i="2"/>
  <c r="Q881" i="2"/>
  <c r="R880" i="2"/>
  <c r="Q880" i="2"/>
  <c r="R879" i="2"/>
  <c r="Q879" i="2"/>
  <c r="R878" i="2"/>
  <c r="Q878" i="2"/>
  <c r="R877" i="2"/>
  <c r="Q877" i="2"/>
  <c r="R876" i="2"/>
  <c r="Q876" i="2"/>
  <c r="R875" i="2"/>
  <c r="Q875" i="2"/>
  <c r="R874" i="2"/>
  <c r="Q874" i="2"/>
  <c r="R873" i="2"/>
  <c r="Q873" i="2"/>
  <c r="R872" i="2"/>
  <c r="Q872" i="2"/>
  <c r="R871" i="2"/>
  <c r="Q871" i="2"/>
  <c r="R870" i="2"/>
  <c r="Q870" i="2"/>
  <c r="R869" i="2"/>
  <c r="Q869" i="2"/>
  <c r="R868" i="2"/>
  <c r="Q868" i="2"/>
  <c r="R867" i="2"/>
  <c r="Q867" i="2"/>
  <c r="R866" i="2"/>
  <c r="Q866" i="2"/>
  <c r="R865" i="2"/>
  <c r="Q865" i="2"/>
  <c r="R864" i="2"/>
  <c r="Q864" i="2"/>
  <c r="R863" i="2"/>
  <c r="Q863" i="2"/>
  <c r="R862" i="2"/>
  <c r="Q862" i="2"/>
  <c r="R861" i="2"/>
  <c r="Q861" i="2"/>
  <c r="R860" i="2"/>
  <c r="Q860" i="2"/>
  <c r="R859" i="2"/>
  <c r="Q859" i="2"/>
  <c r="R858" i="2"/>
  <c r="Q858" i="2"/>
  <c r="R857" i="2"/>
  <c r="Q857" i="2"/>
  <c r="R856" i="2"/>
  <c r="Q856" i="2"/>
  <c r="R855" i="2"/>
  <c r="Q855" i="2"/>
  <c r="R854" i="2"/>
  <c r="Q854" i="2"/>
  <c r="R853" i="2"/>
  <c r="Q853" i="2"/>
  <c r="R852" i="2"/>
  <c r="Q852" i="2"/>
  <c r="R851" i="2"/>
  <c r="Q851" i="2"/>
  <c r="R850" i="2"/>
  <c r="Q850" i="2"/>
  <c r="R849" i="2"/>
  <c r="Q849" i="2"/>
  <c r="R848" i="2"/>
  <c r="Q848" i="2"/>
  <c r="R847" i="2"/>
  <c r="Q847" i="2"/>
  <c r="R846" i="2"/>
  <c r="Q846" i="2"/>
  <c r="R845" i="2"/>
  <c r="Q845" i="2"/>
  <c r="R844" i="2"/>
  <c r="Q844" i="2"/>
  <c r="R843" i="2"/>
  <c r="Q843" i="2"/>
  <c r="R842" i="2"/>
  <c r="Q842" i="2"/>
  <c r="R841" i="2"/>
  <c r="Q841" i="2"/>
  <c r="R840" i="2"/>
  <c r="Q840" i="2"/>
  <c r="R839" i="2"/>
  <c r="Q839" i="2"/>
  <c r="R838" i="2"/>
  <c r="Q838" i="2"/>
  <c r="R837" i="2"/>
  <c r="Q837" i="2"/>
  <c r="R836" i="2"/>
  <c r="Q836" i="2"/>
  <c r="R835" i="2"/>
  <c r="Q835" i="2"/>
  <c r="R834" i="2"/>
  <c r="Q834" i="2"/>
  <c r="R833" i="2"/>
  <c r="Q833" i="2"/>
  <c r="R832" i="2"/>
  <c r="Q832" i="2"/>
  <c r="R831" i="2"/>
  <c r="Q831" i="2"/>
  <c r="R830" i="2"/>
  <c r="Q830" i="2"/>
  <c r="R829" i="2"/>
  <c r="Q829" i="2"/>
  <c r="R828" i="2"/>
  <c r="Q828" i="2"/>
  <c r="R827" i="2"/>
  <c r="Q827" i="2"/>
  <c r="R826" i="2"/>
  <c r="Q826" i="2"/>
  <c r="R825" i="2"/>
  <c r="Q825" i="2"/>
  <c r="R824" i="2"/>
  <c r="Q824" i="2"/>
  <c r="R823" i="2"/>
  <c r="Q823" i="2"/>
  <c r="R822" i="2"/>
  <c r="Q822" i="2"/>
  <c r="R821" i="2"/>
  <c r="Q821" i="2"/>
  <c r="R820" i="2"/>
  <c r="Q820" i="2"/>
  <c r="R819" i="2"/>
  <c r="Q819" i="2"/>
  <c r="R818" i="2"/>
  <c r="Q818" i="2"/>
  <c r="R817" i="2"/>
  <c r="Q817" i="2"/>
  <c r="R816" i="2"/>
  <c r="Q816" i="2"/>
  <c r="R815" i="2"/>
  <c r="Q815" i="2"/>
  <c r="R814" i="2"/>
  <c r="Q814" i="2"/>
  <c r="R813" i="2"/>
  <c r="Q813" i="2"/>
  <c r="R812" i="2"/>
  <c r="Q812" i="2"/>
  <c r="R811" i="2"/>
  <c r="Q811" i="2"/>
  <c r="R810" i="2"/>
  <c r="Q810" i="2"/>
  <c r="R809" i="2"/>
  <c r="Q809" i="2"/>
  <c r="R808" i="2"/>
  <c r="Q808" i="2"/>
  <c r="R807" i="2"/>
  <c r="Q807" i="2"/>
  <c r="R806" i="2"/>
  <c r="Q806" i="2"/>
  <c r="R805" i="2"/>
  <c r="Q805" i="2"/>
  <c r="R804" i="2"/>
  <c r="Q804" i="2"/>
  <c r="R803" i="2"/>
  <c r="Q803" i="2"/>
  <c r="R802" i="2"/>
  <c r="Q802" i="2"/>
  <c r="R801" i="2"/>
  <c r="Q801" i="2"/>
  <c r="R800" i="2"/>
  <c r="Q800" i="2"/>
  <c r="R799" i="2"/>
  <c r="Q799" i="2"/>
  <c r="R798" i="2"/>
  <c r="Q798" i="2"/>
  <c r="R797" i="2"/>
  <c r="Q797" i="2"/>
  <c r="R796" i="2"/>
  <c r="Q796" i="2"/>
  <c r="R795" i="2"/>
  <c r="Q795" i="2"/>
  <c r="R794" i="2"/>
  <c r="Q794" i="2"/>
  <c r="R793" i="2"/>
  <c r="Q793" i="2"/>
  <c r="R792" i="2"/>
  <c r="Q792" i="2"/>
  <c r="R791" i="2"/>
  <c r="Q791" i="2"/>
  <c r="R790" i="2"/>
  <c r="Q790" i="2"/>
  <c r="R789" i="2"/>
  <c r="Q789" i="2"/>
  <c r="R788" i="2"/>
  <c r="Q788" i="2"/>
  <c r="R787" i="2"/>
  <c r="Q787" i="2"/>
  <c r="R786" i="2"/>
  <c r="Q786" i="2"/>
  <c r="R785" i="2"/>
  <c r="Q785" i="2"/>
  <c r="R784" i="2"/>
  <c r="Q784" i="2"/>
  <c r="R783" i="2"/>
  <c r="Q783" i="2"/>
  <c r="R782" i="2"/>
  <c r="Q782" i="2"/>
  <c r="R781" i="2"/>
  <c r="Q781" i="2"/>
  <c r="R780" i="2"/>
  <c r="Q780" i="2"/>
  <c r="R779" i="2"/>
  <c r="Q779" i="2"/>
  <c r="R778" i="2"/>
  <c r="Q778" i="2"/>
  <c r="R777" i="2"/>
  <c r="Q777" i="2"/>
  <c r="R776" i="2"/>
  <c r="Q776" i="2"/>
  <c r="R775" i="2"/>
  <c r="Q775" i="2"/>
  <c r="R774" i="2"/>
  <c r="Q774" i="2"/>
  <c r="R773" i="2"/>
  <c r="Q773" i="2"/>
  <c r="R772" i="2"/>
  <c r="Q772" i="2"/>
  <c r="R771" i="2"/>
  <c r="Q771" i="2"/>
  <c r="R770" i="2"/>
  <c r="Q770" i="2"/>
  <c r="R769" i="2"/>
  <c r="Q769" i="2"/>
  <c r="R768" i="2"/>
  <c r="Q768" i="2"/>
  <c r="R767" i="2"/>
  <c r="Q767" i="2"/>
  <c r="R766" i="2"/>
  <c r="Q766" i="2"/>
  <c r="R765" i="2"/>
  <c r="Q765" i="2"/>
  <c r="R764" i="2"/>
  <c r="Q764" i="2"/>
  <c r="R763" i="2"/>
  <c r="Q763" i="2"/>
  <c r="R762" i="2"/>
  <c r="Q762" i="2"/>
  <c r="R761" i="2"/>
  <c r="Q761" i="2"/>
  <c r="R760" i="2"/>
  <c r="Q760" i="2"/>
  <c r="R759" i="2"/>
  <c r="Q759" i="2"/>
  <c r="R758" i="2"/>
  <c r="Q758" i="2"/>
  <c r="R757" i="2"/>
  <c r="Q757" i="2"/>
  <c r="R756" i="2"/>
  <c r="Q756" i="2"/>
  <c r="R755" i="2"/>
  <c r="Q755" i="2"/>
  <c r="R754" i="2"/>
  <c r="Q754" i="2"/>
  <c r="R753" i="2"/>
  <c r="Q753" i="2"/>
  <c r="R752" i="2"/>
  <c r="Q752" i="2"/>
  <c r="R751" i="2"/>
  <c r="Q751" i="2"/>
  <c r="R750" i="2"/>
  <c r="Q750" i="2"/>
  <c r="R749" i="2"/>
  <c r="Q749" i="2"/>
  <c r="R748" i="2"/>
  <c r="Q748" i="2"/>
  <c r="R747" i="2"/>
  <c r="Q747" i="2"/>
  <c r="R746" i="2"/>
  <c r="Q746" i="2"/>
  <c r="R745" i="2"/>
  <c r="Q745" i="2"/>
  <c r="R744" i="2"/>
  <c r="Q744" i="2"/>
  <c r="R743" i="2"/>
  <c r="Q743" i="2"/>
  <c r="R742" i="2"/>
  <c r="Q742" i="2"/>
  <c r="R741" i="2"/>
  <c r="Q741" i="2"/>
  <c r="R740" i="2"/>
  <c r="Q740" i="2"/>
  <c r="R739" i="2"/>
  <c r="Q739" i="2"/>
  <c r="R738" i="2"/>
  <c r="Q738" i="2"/>
  <c r="R737" i="2"/>
  <c r="Q737" i="2"/>
  <c r="R736" i="2"/>
  <c r="Q736" i="2"/>
  <c r="R735" i="2"/>
  <c r="Q735" i="2"/>
  <c r="R734" i="2"/>
  <c r="Q734" i="2"/>
  <c r="R733" i="2"/>
  <c r="Q733" i="2"/>
  <c r="R732" i="2"/>
  <c r="Q732" i="2"/>
  <c r="R731" i="2"/>
  <c r="Q731" i="2"/>
  <c r="R730" i="2"/>
  <c r="Q730" i="2"/>
  <c r="R729" i="2"/>
  <c r="Q729" i="2"/>
  <c r="R728" i="2"/>
  <c r="Q728" i="2"/>
  <c r="R727" i="2"/>
  <c r="Q727" i="2"/>
  <c r="R726" i="2"/>
  <c r="Q726" i="2"/>
  <c r="R725" i="2"/>
  <c r="Q725" i="2"/>
  <c r="R724" i="2"/>
  <c r="Q724" i="2"/>
  <c r="R723" i="2"/>
  <c r="Q723" i="2"/>
  <c r="R722" i="2"/>
  <c r="Q722" i="2"/>
  <c r="R721" i="2"/>
  <c r="Q721" i="2"/>
  <c r="R720" i="2"/>
  <c r="Q720" i="2"/>
  <c r="R719" i="2"/>
  <c r="Q719" i="2"/>
  <c r="R718" i="2"/>
  <c r="Q718" i="2"/>
  <c r="R717" i="2"/>
  <c r="Q717" i="2"/>
  <c r="R716" i="2"/>
  <c r="Q716" i="2"/>
  <c r="R715" i="2"/>
  <c r="Q715" i="2"/>
  <c r="R714" i="2"/>
  <c r="Q714" i="2"/>
  <c r="R713" i="2"/>
  <c r="Q713" i="2"/>
  <c r="R712" i="2"/>
  <c r="Q712" i="2"/>
  <c r="R711" i="2"/>
  <c r="Q711" i="2"/>
  <c r="R710" i="2"/>
  <c r="Q710" i="2"/>
  <c r="R709" i="2"/>
  <c r="Q709" i="2"/>
  <c r="R708" i="2"/>
  <c r="Q708" i="2"/>
  <c r="R707" i="2"/>
  <c r="Q707" i="2"/>
  <c r="R706" i="2"/>
  <c r="Q706" i="2"/>
  <c r="R705" i="2"/>
  <c r="Q705" i="2"/>
  <c r="R704" i="2"/>
  <c r="Q704" i="2"/>
  <c r="R703" i="2"/>
  <c r="Q703" i="2"/>
  <c r="R702" i="2"/>
  <c r="Q702" i="2"/>
  <c r="R701" i="2"/>
  <c r="Q701" i="2"/>
  <c r="R700" i="2"/>
  <c r="Q700" i="2"/>
  <c r="R699" i="2"/>
  <c r="Q699" i="2"/>
  <c r="R698" i="2"/>
  <c r="Q698" i="2"/>
  <c r="R697" i="2"/>
  <c r="Q697" i="2"/>
  <c r="R696" i="2"/>
  <c r="Q696" i="2"/>
  <c r="R695" i="2"/>
  <c r="Q695" i="2"/>
  <c r="R694" i="2"/>
  <c r="Q694" i="2"/>
  <c r="R693" i="2"/>
  <c r="Q693" i="2"/>
  <c r="R692" i="2"/>
  <c r="Q692" i="2"/>
  <c r="R691" i="2"/>
  <c r="Q691" i="2"/>
  <c r="R690" i="2"/>
  <c r="Q690" i="2"/>
  <c r="R689" i="2"/>
  <c r="Q689" i="2"/>
  <c r="R688" i="2"/>
  <c r="Q688" i="2"/>
  <c r="R687" i="2"/>
  <c r="Q687" i="2"/>
  <c r="R686" i="2"/>
  <c r="Q686" i="2"/>
  <c r="R685" i="2"/>
  <c r="Q685" i="2"/>
  <c r="R684" i="2"/>
  <c r="Q684" i="2"/>
  <c r="R683" i="2"/>
  <c r="Q683" i="2"/>
  <c r="R682" i="2"/>
  <c r="Q682" i="2"/>
  <c r="R681" i="2"/>
  <c r="Q681" i="2"/>
  <c r="R680" i="2"/>
  <c r="Q680" i="2"/>
  <c r="R679" i="2"/>
  <c r="Q679" i="2"/>
  <c r="R678" i="2"/>
  <c r="Q678" i="2"/>
  <c r="R677" i="2"/>
  <c r="Q677" i="2"/>
  <c r="R676" i="2"/>
  <c r="Q676" i="2"/>
  <c r="R675" i="2"/>
  <c r="Q675" i="2"/>
  <c r="R674" i="2"/>
  <c r="Q674" i="2"/>
  <c r="R673" i="2"/>
  <c r="Q673" i="2"/>
  <c r="R672" i="2"/>
  <c r="Q672" i="2"/>
  <c r="R671" i="2"/>
  <c r="Q671" i="2"/>
  <c r="R670" i="2"/>
  <c r="Q670" i="2"/>
  <c r="R669" i="2"/>
  <c r="Q669" i="2"/>
  <c r="R668" i="2"/>
  <c r="Q668" i="2"/>
  <c r="R667" i="2"/>
  <c r="Q667" i="2"/>
  <c r="R666" i="2"/>
  <c r="Q666" i="2"/>
  <c r="R665" i="2"/>
  <c r="Q665" i="2"/>
  <c r="R664" i="2"/>
  <c r="Q664" i="2"/>
  <c r="R663" i="2"/>
  <c r="Q663" i="2"/>
  <c r="R662" i="2"/>
  <c r="Q662" i="2"/>
  <c r="R661" i="2"/>
  <c r="Q661" i="2"/>
  <c r="R660" i="2"/>
  <c r="Q660" i="2"/>
  <c r="R659" i="2"/>
  <c r="Q659" i="2"/>
  <c r="R658" i="2"/>
  <c r="Q658" i="2"/>
  <c r="R657" i="2"/>
  <c r="Q657" i="2"/>
  <c r="R656" i="2"/>
  <c r="Q656" i="2"/>
  <c r="R655" i="2"/>
  <c r="Q655" i="2"/>
  <c r="R654" i="2"/>
  <c r="Q654" i="2"/>
  <c r="R653" i="2"/>
  <c r="Q653" i="2"/>
  <c r="R652" i="2"/>
  <c r="Q652" i="2"/>
  <c r="R651" i="2"/>
  <c r="Q651" i="2"/>
  <c r="R650" i="2"/>
  <c r="Q650" i="2"/>
  <c r="R649" i="2"/>
  <c r="Q649" i="2"/>
  <c r="R648" i="2"/>
  <c r="Q648" i="2"/>
  <c r="R647" i="2"/>
  <c r="Q647" i="2"/>
  <c r="R646" i="2"/>
  <c r="Q646" i="2"/>
  <c r="R645" i="2"/>
  <c r="Q645" i="2"/>
  <c r="R644" i="2"/>
  <c r="Q644" i="2"/>
  <c r="R643" i="2"/>
  <c r="Q643" i="2"/>
  <c r="R642" i="2"/>
  <c r="Q642" i="2"/>
  <c r="R641" i="2"/>
  <c r="Q641" i="2"/>
  <c r="R640" i="2"/>
  <c r="Q640" i="2"/>
  <c r="R639" i="2"/>
  <c r="Q639" i="2"/>
  <c r="R638" i="2"/>
  <c r="Q638" i="2"/>
  <c r="R637" i="2"/>
  <c r="Q637" i="2"/>
  <c r="R636" i="2"/>
  <c r="Q636" i="2"/>
  <c r="R635" i="2"/>
  <c r="Q635" i="2"/>
  <c r="R634" i="2"/>
  <c r="Q634" i="2"/>
  <c r="R633" i="2"/>
  <c r="Q633" i="2"/>
  <c r="R632" i="2"/>
  <c r="Q632" i="2"/>
  <c r="R631" i="2"/>
  <c r="Q631" i="2"/>
  <c r="R630" i="2"/>
  <c r="Q630" i="2"/>
  <c r="R629" i="2"/>
  <c r="Q629" i="2"/>
  <c r="R628" i="2"/>
  <c r="Q628" i="2"/>
  <c r="R627" i="2"/>
  <c r="Q627" i="2"/>
  <c r="R626" i="2"/>
  <c r="Q626" i="2"/>
  <c r="R625" i="2"/>
  <c r="Q625" i="2"/>
  <c r="R624" i="2"/>
  <c r="Q624" i="2"/>
  <c r="R623" i="2"/>
  <c r="Q623" i="2"/>
  <c r="R622" i="2"/>
  <c r="Q622" i="2"/>
  <c r="R621" i="2"/>
  <c r="Q621" i="2"/>
  <c r="R620" i="2"/>
  <c r="Q620" i="2"/>
  <c r="R619" i="2"/>
  <c r="Q619" i="2"/>
  <c r="R618" i="2"/>
  <c r="Q618" i="2"/>
  <c r="R617" i="2"/>
  <c r="Q617" i="2"/>
  <c r="R616" i="2"/>
  <c r="Q616" i="2"/>
  <c r="R615" i="2"/>
  <c r="Q615" i="2"/>
  <c r="R614" i="2"/>
  <c r="Q614" i="2"/>
  <c r="R613" i="2"/>
  <c r="Q613" i="2"/>
  <c r="R612" i="2"/>
  <c r="Q612" i="2"/>
  <c r="R611" i="2"/>
  <c r="Q611" i="2"/>
  <c r="R610" i="2"/>
  <c r="Q610" i="2"/>
  <c r="R609" i="2"/>
  <c r="Q609" i="2"/>
  <c r="R608" i="2"/>
  <c r="Q608" i="2"/>
  <c r="R607" i="2"/>
  <c r="Q607" i="2"/>
  <c r="R606" i="2"/>
  <c r="Q606" i="2"/>
  <c r="R605" i="2"/>
  <c r="Q605" i="2"/>
  <c r="R604" i="2"/>
  <c r="Q604" i="2"/>
  <c r="R603" i="2"/>
  <c r="Q603" i="2"/>
  <c r="R602" i="2"/>
  <c r="Q602" i="2"/>
  <c r="R601" i="2"/>
  <c r="Q601" i="2"/>
  <c r="R600" i="2"/>
  <c r="Q600" i="2"/>
  <c r="R599" i="2"/>
  <c r="Q599" i="2"/>
  <c r="R598" i="2"/>
  <c r="Q598" i="2"/>
  <c r="R597" i="2"/>
  <c r="Q597" i="2"/>
  <c r="R596" i="2"/>
  <c r="Q596" i="2"/>
  <c r="R595" i="2"/>
  <c r="Q595" i="2"/>
  <c r="R594" i="2"/>
  <c r="Q594" i="2"/>
  <c r="R593" i="2"/>
  <c r="Q593" i="2"/>
  <c r="R592" i="2"/>
  <c r="Q592" i="2"/>
  <c r="R591" i="2"/>
  <c r="Q591" i="2"/>
  <c r="R590" i="2"/>
  <c r="Q590" i="2"/>
  <c r="R589" i="2"/>
  <c r="Q589" i="2"/>
  <c r="R588" i="2"/>
  <c r="Q588" i="2"/>
  <c r="R587" i="2"/>
  <c r="Q587" i="2"/>
  <c r="R586" i="2"/>
  <c r="Q586" i="2"/>
  <c r="R585" i="2"/>
  <c r="Q585" i="2"/>
  <c r="R584" i="2"/>
  <c r="Q584" i="2"/>
  <c r="R583" i="2"/>
  <c r="Q583" i="2"/>
  <c r="R582" i="2"/>
  <c r="Q582" i="2"/>
  <c r="R581" i="2"/>
  <c r="Q581" i="2"/>
  <c r="R580" i="2"/>
  <c r="Q580" i="2"/>
  <c r="R579" i="2"/>
  <c r="Q579" i="2"/>
  <c r="R578" i="2"/>
  <c r="Q578" i="2"/>
  <c r="R577" i="2"/>
  <c r="Q577" i="2"/>
  <c r="R576" i="2"/>
  <c r="Q576" i="2"/>
  <c r="R575" i="2"/>
  <c r="Q575" i="2"/>
  <c r="R574" i="2"/>
  <c r="Q574" i="2"/>
  <c r="R573" i="2"/>
  <c r="Q573" i="2"/>
  <c r="R572" i="2"/>
  <c r="Q572" i="2"/>
  <c r="R571" i="2"/>
  <c r="Q571" i="2"/>
  <c r="R570" i="2"/>
  <c r="Q570" i="2"/>
  <c r="R569" i="2"/>
  <c r="Q569" i="2"/>
  <c r="R568" i="2"/>
  <c r="Q568" i="2"/>
  <c r="R567" i="2"/>
  <c r="Q567" i="2"/>
  <c r="R566" i="2"/>
  <c r="Q566" i="2"/>
  <c r="R565" i="2"/>
  <c r="Q565" i="2"/>
  <c r="R564" i="2"/>
  <c r="Q564" i="2"/>
  <c r="R563" i="2"/>
  <c r="Q563" i="2"/>
  <c r="R562" i="2"/>
  <c r="Q562" i="2"/>
  <c r="R561" i="2"/>
  <c r="Q561" i="2"/>
  <c r="R560" i="2"/>
  <c r="Q560" i="2"/>
  <c r="R559" i="2"/>
  <c r="Q559" i="2"/>
  <c r="R558" i="2"/>
  <c r="Q558" i="2"/>
  <c r="R557" i="2"/>
  <c r="Q557" i="2"/>
  <c r="R556" i="2"/>
  <c r="Q556" i="2"/>
  <c r="R555" i="2"/>
  <c r="Q555" i="2"/>
  <c r="R554" i="2"/>
  <c r="Q554" i="2"/>
  <c r="R553" i="2"/>
  <c r="Q553" i="2"/>
  <c r="R552" i="2"/>
  <c r="Q552" i="2"/>
  <c r="R551" i="2"/>
  <c r="Q551" i="2"/>
  <c r="R550" i="2"/>
  <c r="Q550" i="2"/>
  <c r="R549" i="2"/>
  <c r="Q549" i="2"/>
  <c r="R548" i="2"/>
  <c r="Q548" i="2"/>
  <c r="R547" i="2"/>
  <c r="Q547" i="2"/>
  <c r="R546" i="2"/>
  <c r="Q546" i="2"/>
  <c r="R545" i="2"/>
  <c r="Q545" i="2"/>
  <c r="R544" i="2"/>
  <c r="Q544" i="2"/>
  <c r="R543" i="2"/>
  <c r="Q543" i="2"/>
  <c r="R542" i="2"/>
  <c r="Q542" i="2"/>
  <c r="R541" i="2"/>
  <c r="Q541" i="2"/>
  <c r="R540" i="2"/>
  <c r="Q540" i="2"/>
  <c r="R539" i="2"/>
  <c r="Q539" i="2"/>
  <c r="R538" i="2"/>
  <c r="Q538" i="2"/>
  <c r="R537" i="2"/>
  <c r="Q537" i="2"/>
  <c r="R536" i="2"/>
  <c r="Q536" i="2"/>
  <c r="R535" i="2"/>
  <c r="Q535" i="2"/>
  <c r="R534" i="2"/>
  <c r="Q534" i="2"/>
  <c r="R533" i="2"/>
  <c r="Q533" i="2"/>
  <c r="R532" i="2"/>
  <c r="Q532" i="2"/>
  <c r="R531" i="2"/>
  <c r="Q531" i="2"/>
  <c r="R530" i="2"/>
  <c r="Q530" i="2"/>
  <c r="R529" i="2"/>
  <c r="Q529" i="2"/>
  <c r="R528" i="2"/>
  <c r="Q528" i="2"/>
  <c r="R527" i="2"/>
  <c r="Q527" i="2"/>
  <c r="R526" i="2"/>
  <c r="Q526" i="2"/>
  <c r="R525" i="2"/>
  <c r="Q525" i="2"/>
  <c r="R524" i="2"/>
  <c r="Q524" i="2"/>
  <c r="R523" i="2"/>
  <c r="Q523" i="2"/>
  <c r="R522" i="2"/>
  <c r="Q522" i="2"/>
  <c r="R521" i="2"/>
  <c r="Q521" i="2"/>
  <c r="R520" i="2"/>
  <c r="Q520" i="2"/>
  <c r="R519" i="2"/>
  <c r="Q519" i="2"/>
  <c r="R518" i="2"/>
  <c r="Q518" i="2"/>
  <c r="R517" i="2"/>
  <c r="Q517" i="2"/>
  <c r="R516" i="2"/>
  <c r="Q516" i="2"/>
  <c r="R515" i="2"/>
  <c r="Q515" i="2"/>
  <c r="R514" i="2"/>
  <c r="Q514" i="2"/>
  <c r="R513" i="2"/>
  <c r="Q513" i="2"/>
  <c r="R512" i="2"/>
  <c r="Q512" i="2"/>
  <c r="R511" i="2"/>
  <c r="Q511" i="2"/>
  <c r="R510" i="2"/>
  <c r="Q510" i="2"/>
  <c r="R509" i="2"/>
  <c r="Q509" i="2"/>
  <c r="R508" i="2"/>
  <c r="Q508" i="2"/>
  <c r="R507" i="2"/>
  <c r="Q507" i="2"/>
  <c r="R506" i="2"/>
  <c r="Q506" i="2"/>
  <c r="R505" i="2"/>
  <c r="Q505" i="2"/>
  <c r="R504" i="2"/>
  <c r="Q504" i="2"/>
  <c r="R503" i="2"/>
  <c r="Q503" i="2"/>
  <c r="R502" i="2"/>
  <c r="Q502" i="2"/>
  <c r="R501" i="2"/>
  <c r="Q501" i="2"/>
  <c r="R500" i="2"/>
  <c r="Q500" i="2"/>
  <c r="R499" i="2"/>
  <c r="Q499" i="2"/>
  <c r="R498" i="2"/>
  <c r="Q498" i="2"/>
  <c r="R497" i="2"/>
  <c r="Q497" i="2"/>
  <c r="R496" i="2"/>
  <c r="Q496" i="2"/>
  <c r="R495" i="2"/>
  <c r="Q495" i="2"/>
  <c r="R494" i="2"/>
  <c r="Q494" i="2"/>
  <c r="R493" i="2"/>
  <c r="Q493" i="2"/>
  <c r="R492" i="2"/>
  <c r="Q492" i="2"/>
  <c r="R491" i="2"/>
  <c r="Q491" i="2"/>
  <c r="R490" i="2"/>
  <c r="Q490" i="2"/>
  <c r="R489" i="2"/>
  <c r="Q489" i="2"/>
  <c r="R488" i="2"/>
  <c r="Q488" i="2"/>
  <c r="R487" i="2"/>
  <c r="Q487" i="2"/>
  <c r="R486" i="2"/>
  <c r="Q486" i="2"/>
  <c r="R485" i="2"/>
  <c r="Q485" i="2"/>
  <c r="R484" i="2"/>
  <c r="Q484" i="2"/>
  <c r="R483" i="2"/>
  <c r="Q483" i="2"/>
  <c r="R482" i="2"/>
  <c r="Q482" i="2"/>
  <c r="R481" i="2"/>
  <c r="Q481" i="2"/>
  <c r="R480" i="2"/>
  <c r="Q480" i="2"/>
  <c r="R479" i="2"/>
  <c r="Q479" i="2"/>
  <c r="R478" i="2"/>
  <c r="Q478" i="2"/>
  <c r="R477" i="2"/>
  <c r="Q477" i="2"/>
  <c r="R476" i="2"/>
  <c r="Q476" i="2"/>
  <c r="R475" i="2"/>
  <c r="Q475" i="2"/>
  <c r="R474" i="2"/>
  <c r="Q474" i="2"/>
  <c r="R473" i="2"/>
  <c r="Q473" i="2"/>
  <c r="R472" i="2"/>
  <c r="Q472" i="2"/>
  <c r="R471" i="2"/>
  <c r="Q471" i="2"/>
  <c r="R470" i="2"/>
  <c r="Q470" i="2"/>
  <c r="R469" i="2"/>
  <c r="Q469" i="2"/>
  <c r="R468" i="2"/>
  <c r="Q468" i="2"/>
  <c r="R467" i="2"/>
  <c r="Q467" i="2"/>
  <c r="R466" i="2"/>
  <c r="Q466" i="2"/>
  <c r="R465" i="2"/>
  <c r="Q465" i="2"/>
  <c r="R464" i="2"/>
  <c r="Q464" i="2"/>
  <c r="R463" i="2"/>
  <c r="Q463" i="2"/>
  <c r="R462" i="2"/>
  <c r="Q462" i="2"/>
  <c r="R461" i="2"/>
  <c r="Q461" i="2"/>
  <c r="R460" i="2"/>
  <c r="Q460" i="2"/>
  <c r="R459" i="2"/>
  <c r="Q459" i="2"/>
  <c r="R458" i="2"/>
  <c r="Q458" i="2"/>
  <c r="R457" i="2"/>
  <c r="Q457" i="2"/>
  <c r="R456" i="2"/>
  <c r="Q456" i="2"/>
  <c r="R455" i="2"/>
  <c r="Q455" i="2"/>
  <c r="R454" i="2"/>
  <c r="Q454" i="2"/>
  <c r="R453" i="2"/>
  <c r="Q453" i="2"/>
  <c r="R452" i="2"/>
  <c r="Q452" i="2"/>
  <c r="R451" i="2"/>
  <c r="Q451" i="2"/>
  <c r="R450" i="2"/>
  <c r="Q450" i="2"/>
  <c r="R449" i="2"/>
  <c r="Q449" i="2"/>
  <c r="R448" i="2"/>
  <c r="Q448" i="2"/>
  <c r="R447" i="2"/>
  <c r="Q447" i="2"/>
  <c r="R446" i="2"/>
  <c r="Q446" i="2"/>
  <c r="R445" i="2"/>
  <c r="Q445" i="2"/>
  <c r="R444" i="2"/>
  <c r="Q444" i="2"/>
  <c r="R443" i="2"/>
  <c r="Q443" i="2"/>
  <c r="R442" i="2"/>
  <c r="Q442" i="2"/>
  <c r="R441" i="2"/>
  <c r="Q441" i="2"/>
  <c r="R440" i="2"/>
  <c r="Q440" i="2"/>
  <c r="R439" i="2"/>
  <c r="Q439" i="2"/>
  <c r="R438" i="2"/>
  <c r="Q438" i="2"/>
  <c r="R437" i="2"/>
  <c r="Q437" i="2"/>
  <c r="R436" i="2"/>
  <c r="Q436" i="2"/>
  <c r="R435" i="2"/>
  <c r="Q435" i="2"/>
  <c r="R434" i="2"/>
  <c r="Q434" i="2"/>
  <c r="R433" i="2"/>
  <c r="Q433" i="2"/>
  <c r="R432" i="2"/>
  <c r="Q432" i="2"/>
  <c r="R431" i="2"/>
  <c r="Q431" i="2"/>
  <c r="R430" i="2"/>
  <c r="Q430" i="2"/>
  <c r="R429" i="2"/>
  <c r="Q429" i="2"/>
  <c r="R428" i="2"/>
  <c r="Q428" i="2"/>
  <c r="R427" i="2"/>
  <c r="Q427" i="2"/>
  <c r="R426" i="2"/>
  <c r="Q426" i="2"/>
  <c r="R425" i="2"/>
  <c r="Q425" i="2"/>
  <c r="R424" i="2"/>
  <c r="Q424" i="2"/>
  <c r="R423" i="2"/>
  <c r="Q423" i="2"/>
  <c r="R422" i="2"/>
  <c r="Q422" i="2"/>
  <c r="R421" i="2"/>
  <c r="Q421" i="2"/>
  <c r="R420" i="2"/>
  <c r="Q420" i="2"/>
  <c r="R419" i="2"/>
  <c r="Q419" i="2"/>
  <c r="R418" i="2"/>
  <c r="Q418" i="2"/>
  <c r="R417" i="2"/>
  <c r="Q417" i="2"/>
  <c r="R416" i="2"/>
  <c r="Q416" i="2"/>
  <c r="R415" i="2"/>
  <c r="Q415" i="2"/>
  <c r="R414" i="2"/>
  <c r="Q414" i="2"/>
  <c r="R413" i="2"/>
  <c r="Q413" i="2"/>
  <c r="R412" i="2"/>
  <c r="Q412" i="2"/>
  <c r="R411" i="2"/>
  <c r="Q411" i="2"/>
  <c r="R410" i="2"/>
  <c r="Q410" i="2"/>
  <c r="R409" i="2"/>
  <c r="Q409" i="2"/>
  <c r="R408" i="2"/>
  <c r="Q408" i="2"/>
  <c r="R407" i="2"/>
  <c r="Q407" i="2"/>
  <c r="R406" i="2"/>
  <c r="Q406" i="2"/>
  <c r="R405" i="2"/>
  <c r="Q405" i="2"/>
  <c r="R404" i="2"/>
  <c r="Q404" i="2"/>
  <c r="R403" i="2"/>
  <c r="Q403" i="2"/>
  <c r="R402" i="2"/>
  <c r="Q402" i="2"/>
  <c r="R401" i="2"/>
  <c r="Q401" i="2"/>
  <c r="R400" i="2"/>
  <c r="Q400" i="2"/>
  <c r="R399" i="2"/>
  <c r="Q399" i="2"/>
  <c r="R398" i="2"/>
  <c r="Q398" i="2"/>
  <c r="R397" i="2"/>
  <c r="Q397" i="2"/>
  <c r="R396" i="2"/>
  <c r="Q396" i="2"/>
  <c r="R395" i="2"/>
  <c r="Q395" i="2"/>
  <c r="R394" i="2"/>
  <c r="Q394" i="2"/>
  <c r="R393" i="2"/>
  <c r="Q393" i="2"/>
  <c r="R392" i="2"/>
  <c r="Q392" i="2"/>
  <c r="R391" i="2"/>
  <c r="Q391" i="2"/>
  <c r="R390" i="2"/>
  <c r="Q390" i="2"/>
  <c r="R389" i="2"/>
  <c r="Q389" i="2"/>
  <c r="R388" i="2"/>
  <c r="Q388" i="2"/>
  <c r="R387" i="2"/>
  <c r="Q387" i="2"/>
  <c r="R386" i="2"/>
  <c r="Q386" i="2"/>
  <c r="R385" i="2"/>
  <c r="Q385" i="2"/>
  <c r="R384" i="2"/>
  <c r="Q384" i="2"/>
  <c r="R383" i="2"/>
  <c r="Q383" i="2"/>
  <c r="R382" i="2"/>
  <c r="Q382" i="2"/>
  <c r="R381" i="2"/>
  <c r="Q381" i="2"/>
  <c r="R380" i="2"/>
  <c r="Q380" i="2"/>
  <c r="R379" i="2"/>
  <c r="Q379" i="2"/>
  <c r="R378" i="2"/>
  <c r="Q378" i="2"/>
  <c r="R377" i="2"/>
  <c r="Q377" i="2"/>
  <c r="R376" i="2"/>
  <c r="Q376" i="2"/>
  <c r="R375" i="2"/>
  <c r="Q375" i="2"/>
  <c r="R374" i="2"/>
  <c r="Q374" i="2"/>
  <c r="R373" i="2"/>
  <c r="Q373" i="2"/>
  <c r="R372" i="2"/>
  <c r="Q372" i="2"/>
  <c r="R371" i="2"/>
  <c r="Q371" i="2"/>
  <c r="R370" i="2"/>
  <c r="Q370" i="2"/>
  <c r="R369" i="2"/>
  <c r="Q369" i="2"/>
  <c r="R368" i="2"/>
  <c r="Q368" i="2"/>
  <c r="R367" i="2"/>
  <c r="Q367" i="2"/>
  <c r="R366" i="2"/>
  <c r="Q366" i="2"/>
  <c r="R365" i="2"/>
  <c r="Q365" i="2"/>
  <c r="R364" i="2"/>
  <c r="Q364" i="2"/>
  <c r="R363" i="2"/>
  <c r="Q363" i="2"/>
  <c r="R362" i="2"/>
  <c r="Q362" i="2"/>
  <c r="R361" i="2"/>
  <c r="Q361" i="2"/>
  <c r="R360" i="2"/>
  <c r="Q360" i="2"/>
  <c r="R359" i="2"/>
  <c r="Q359" i="2"/>
  <c r="R358" i="2"/>
  <c r="Q358" i="2"/>
  <c r="R357" i="2"/>
  <c r="Q357" i="2"/>
  <c r="R356" i="2"/>
  <c r="Q356" i="2"/>
  <c r="R355" i="2"/>
  <c r="Q355" i="2"/>
  <c r="R354" i="2"/>
  <c r="Q354" i="2"/>
  <c r="R353" i="2"/>
  <c r="Q353" i="2"/>
  <c r="R352" i="2"/>
  <c r="Q352" i="2"/>
  <c r="R351" i="2"/>
  <c r="Q351" i="2"/>
  <c r="R350" i="2"/>
  <c r="Q350" i="2"/>
  <c r="R349" i="2"/>
  <c r="Q349" i="2"/>
  <c r="R348" i="2"/>
  <c r="Q348" i="2"/>
  <c r="R347" i="2"/>
  <c r="Q347" i="2"/>
  <c r="R346" i="2"/>
  <c r="Q346" i="2"/>
  <c r="R345" i="2"/>
  <c r="Q345" i="2"/>
  <c r="R344" i="2"/>
  <c r="Q344" i="2"/>
  <c r="R343" i="2"/>
  <c r="Q343" i="2"/>
  <c r="R342" i="2"/>
  <c r="Q342" i="2"/>
  <c r="R341" i="2"/>
  <c r="Q341" i="2"/>
  <c r="R340" i="2"/>
  <c r="Q340" i="2"/>
  <c r="R339" i="2"/>
  <c r="Q339" i="2"/>
  <c r="R338" i="2"/>
  <c r="Q338" i="2"/>
  <c r="R337" i="2"/>
  <c r="Q337" i="2"/>
  <c r="R336" i="2"/>
  <c r="Q336" i="2"/>
  <c r="R335" i="2"/>
  <c r="Q335" i="2"/>
  <c r="R334" i="2"/>
  <c r="Q334" i="2"/>
  <c r="R333" i="2"/>
  <c r="Q333" i="2"/>
  <c r="R332" i="2"/>
  <c r="Q332" i="2"/>
  <c r="R331" i="2"/>
  <c r="Q331" i="2"/>
  <c r="R330" i="2"/>
  <c r="Q330" i="2"/>
  <c r="R329" i="2"/>
  <c r="Q329" i="2"/>
  <c r="R328" i="2"/>
  <c r="Q328" i="2"/>
  <c r="R327" i="2"/>
  <c r="Q327" i="2"/>
  <c r="R326" i="2"/>
  <c r="Q326" i="2"/>
  <c r="R325" i="2"/>
  <c r="Q325" i="2"/>
  <c r="R324" i="2"/>
  <c r="Q324" i="2"/>
  <c r="R323" i="2"/>
  <c r="Q323" i="2"/>
  <c r="R322" i="2"/>
  <c r="Q322" i="2"/>
  <c r="R321" i="2"/>
  <c r="Q321" i="2"/>
  <c r="R320" i="2"/>
  <c r="Q320" i="2"/>
  <c r="R319" i="2"/>
  <c r="Q319" i="2"/>
  <c r="R318" i="2"/>
  <c r="Q318" i="2"/>
  <c r="R317" i="2"/>
  <c r="Q317" i="2"/>
  <c r="R316" i="2"/>
  <c r="Q316" i="2"/>
  <c r="R315" i="2"/>
  <c r="Q315" i="2"/>
  <c r="R314" i="2"/>
  <c r="Q314" i="2"/>
  <c r="R313" i="2"/>
  <c r="Q313" i="2"/>
  <c r="R312" i="2"/>
  <c r="Q312" i="2"/>
  <c r="R311" i="2"/>
  <c r="Q311" i="2"/>
  <c r="R310" i="2"/>
  <c r="Q310" i="2"/>
  <c r="R309" i="2"/>
  <c r="Q309" i="2"/>
  <c r="R308" i="2"/>
  <c r="Q308" i="2"/>
  <c r="R307" i="2"/>
  <c r="Q307" i="2"/>
  <c r="R306" i="2"/>
  <c r="Q306" i="2"/>
  <c r="R305" i="2"/>
  <c r="Q305" i="2"/>
  <c r="R304" i="2"/>
  <c r="Q304" i="2"/>
  <c r="R303" i="2"/>
  <c r="Q303" i="2"/>
  <c r="R302" i="2"/>
  <c r="Q302" i="2"/>
  <c r="R301" i="2"/>
  <c r="Q301" i="2"/>
  <c r="R300" i="2"/>
  <c r="Q300" i="2"/>
  <c r="R299" i="2"/>
  <c r="Q299" i="2"/>
  <c r="R298" i="2"/>
  <c r="Q298" i="2"/>
  <c r="R297" i="2"/>
  <c r="Q297" i="2"/>
  <c r="R296" i="2"/>
  <c r="Q296" i="2"/>
  <c r="R295" i="2"/>
  <c r="Q295" i="2"/>
  <c r="R294" i="2"/>
  <c r="Q294" i="2"/>
  <c r="R293" i="2"/>
  <c r="Q293" i="2"/>
  <c r="R292" i="2"/>
  <c r="Q292" i="2"/>
  <c r="R291" i="2"/>
  <c r="Q291" i="2"/>
  <c r="R290" i="2"/>
  <c r="Q290" i="2"/>
  <c r="R289" i="2"/>
  <c r="Q289" i="2"/>
  <c r="R288" i="2"/>
  <c r="Q288" i="2"/>
  <c r="R287" i="2"/>
  <c r="Q287" i="2"/>
  <c r="R286" i="2"/>
  <c r="Q286" i="2"/>
  <c r="R285" i="2"/>
  <c r="Q285" i="2"/>
  <c r="R284" i="2"/>
  <c r="Q284" i="2"/>
  <c r="R283" i="2"/>
  <c r="Q283" i="2"/>
  <c r="R282" i="2"/>
  <c r="Q282" i="2"/>
  <c r="R281" i="2"/>
  <c r="Q281" i="2"/>
  <c r="R280" i="2"/>
  <c r="Q280" i="2"/>
  <c r="R279" i="2"/>
  <c r="Q279" i="2"/>
  <c r="R278" i="2"/>
  <c r="Q278" i="2"/>
  <c r="R277" i="2"/>
  <c r="Q277" i="2"/>
  <c r="R276" i="2"/>
  <c r="Q276" i="2"/>
  <c r="R275" i="2"/>
  <c r="Q275" i="2"/>
  <c r="R274" i="2"/>
  <c r="Q274" i="2"/>
  <c r="R273" i="2"/>
  <c r="Q273" i="2"/>
  <c r="R272" i="2"/>
  <c r="Q272" i="2"/>
  <c r="R271" i="2"/>
  <c r="Q271" i="2"/>
  <c r="R270" i="2"/>
  <c r="Q270" i="2"/>
  <c r="R269" i="2"/>
  <c r="Q269" i="2"/>
  <c r="R268" i="2"/>
  <c r="Q268" i="2"/>
  <c r="R267" i="2"/>
  <c r="Q267" i="2"/>
  <c r="R266" i="2"/>
  <c r="Q266" i="2"/>
  <c r="R265" i="2"/>
  <c r="Q265" i="2"/>
  <c r="R264" i="2"/>
  <c r="Q264" i="2"/>
  <c r="R263" i="2"/>
  <c r="Q263" i="2"/>
  <c r="R262" i="2"/>
  <c r="Q262" i="2"/>
  <c r="R261" i="2"/>
  <c r="Q261" i="2"/>
  <c r="R260" i="2"/>
  <c r="Q260" i="2"/>
  <c r="R259" i="2"/>
  <c r="Q259" i="2"/>
  <c r="R258" i="2"/>
  <c r="Q258" i="2"/>
  <c r="R257" i="2"/>
  <c r="Q257" i="2"/>
  <c r="R256" i="2"/>
  <c r="Q256" i="2"/>
  <c r="R255" i="2"/>
  <c r="Q255" i="2"/>
  <c r="R254" i="2"/>
  <c r="Q254" i="2"/>
  <c r="R253" i="2"/>
  <c r="Q253" i="2"/>
  <c r="R252" i="2"/>
  <c r="Q252" i="2"/>
  <c r="R251" i="2"/>
  <c r="Q251" i="2"/>
  <c r="R250" i="2"/>
  <c r="Q250" i="2"/>
  <c r="R249" i="2"/>
  <c r="Q249" i="2"/>
  <c r="R248" i="2"/>
  <c r="Q248" i="2"/>
  <c r="R247" i="2"/>
  <c r="Q247" i="2"/>
  <c r="R246" i="2"/>
  <c r="Q246" i="2"/>
  <c r="R245" i="2"/>
  <c r="Q245" i="2"/>
  <c r="R244" i="2"/>
  <c r="Q244" i="2"/>
  <c r="R243" i="2"/>
  <c r="Q243" i="2"/>
  <c r="R242" i="2"/>
  <c r="Q242" i="2"/>
  <c r="R241" i="2"/>
  <c r="Q241" i="2"/>
  <c r="R240" i="2"/>
  <c r="Q240" i="2"/>
  <c r="R239" i="2"/>
  <c r="Q239" i="2"/>
  <c r="R238" i="2"/>
  <c r="Q238" i="2"/>
  <c r="R237" i="2"/>
  <c r="Q237" i="2"/>
  <c r="R236" i="2"/>
  <c r="Q236" i="2"/>
  <c r="R235" i="2"/>
  <c r="Q235" i="2"/>
  <c r="R234" i="2"/>
  <c r="Q234" i="2"/>
  <c r="R233" i="2"/>
  <c r="Q233" i="2"/>
  <c r="R232" i="2"/>
  <c r="Q232" i="2"/>
  <c r="R231" i="2"/>
  <c r="Q231" i="2"/>
  <c r="R230" i="2"/>
  <c r="Q230" i="2"/>
  <c r="R229" i="2"/>
  <c r="Q229" i="2"/>
  <c r="R228" i="2"/>
  <c r="Q228" i="2"/>
  <c r="R227" i="2"/>
  <c r="Q227" i="2"/>
  <c r="R226" i="2"/>
  <c r="Q226" i="2"/>
  <c r="R225" i="2"/>
  <c r="Q225" i="2"/>
  <c r="R224" i="2"/>
  <c r="Q224" i="2"/>
  <c r="R223" i="2"/>
  <c r="Q223" i="2"/>
  <c r="R222" i="2"/>
  <c r="Q222" i="2"/>
  <c r="R221" i="2"/>
  <c r="Q221" i="2"/>
  <c r="R220" i="2"/>
  <c r="Q220" i="2"/>
  <c r="R219" i="2"/>
  <c r="Q219" i="2"/>
  <c r="R218" i="2"/>
  <c r="Q218" i="2"/>
  <c r="R217" i="2"/>
  <c r="Q217" i="2"/>
  <c r="R216" i="2"/>
  <c r="Q216" i="2"/>
  <c r="R215" i="2"/>
  <c r="Q215" i="2"/>
  <c r="R214" i="2"/>
  <c r="Q214" i="2"/>
  <c r="R213" i="2"/>
  <c r="Q213" i="2"/>
  <c r="R212" i="2"/>
  <c r="Q212" i="2"/>
  <c r="R211" i="2"/>
  <c r="Q211" i="2"/>
  <c r="R210" i="2"/>
  <c r="Q210" i="2"/>
  <c r="R209" i="2"/>
  <c r="Q209" i="2"/>
  <c r="R208" i="2"/>
  <c r="Q208" i="2"/>
  <c r="R207" i="2"/>
  <c r="Q207" i="2"/>
  <c r="R206" i="2"/>
  <c r="Q206" i="2"/>
  <c r="R205" i="2"/>
  <c r="Q205" i="2"/>
  <c r="R204" i="2"/>
  <c r="Q204" i="2"/>
  <c r="R203" i="2"/>
  <c r="Q203" i="2"/>
  <c r="R202" i="2"/>
  <c r="Q202" i="2"/>
  <c r="R201" i="2"/>
  <c r="Q201" i="2"/>
  <c r="R200" i="2"/>
  <c r="Q200" i="2"/>
  <c r="R199" i="2"/>
  <c r="Q199" i="2"/>
  <c r="R198" i="2"/>
  <c r="Q198" i="2"/>
  <c r="R197" i="2"/>
  <c r="Q197" i="2"/>
  <c r="R196" i="2"/>
  <c r="Q196" i="2"/>
  <c r="R195" i="2"/>
  <c r="Q195" i="2"/>
  <c r="R194" i="2"/>
  <c r="Q194" i="2"/>
  <c r="R193" i="2"/>
  <c r="Q193" i="2"/>
  <c r="R192" i="2"/>
  <c r="Q192" i="2"/>
  <c r="R191" i="2"/>
  <c r="Q191" i="2"/>
  <c r="R190" i="2"/>
  <c r="Q190" i="2"/>
  <c r="R189" i="2"/>
  <c r="Q189" i="2"/>
  <c r="R188" i="2"/>
  <c r="Q188" i="2"/>
  <c r="R187" i="2"/>
  <c r="Q187" i="2"/>
  <c r="R186" i="2"/>
  <c r="Q186" i="2"/>
  <c r="R185" i="2"/>
  <c r="Q185" i="2"/>
  <c r="R184" i="2"/>
  <c r="Q184" i="2"/>
  <c r="R183" i="2"/>
  <c r="Q183" i="2"/>
  <c r="R182" i="2"/>
  <c r="Q182" i="2"/>
  <c r="R181" i="2"/>
  <c r="Q181" i="2"/>
  <c r="R180" i="2"/>
  <c r="Q180" i="2"/>
  <c r="R179" i="2"/>
  <c r="Q179" i="2"/>
  <c r="R178" i="2"/>
  <c r="Q178" i="2"/>
  <c r="R177" i="2"/>
  <c r="Q177" i="2"/>
  <c r="R176" i="2"/>
  <c r="Q176" i="2"/>
  <c r="R175" i="2"/>
  <c r="Q175" i="2"/>
  <c r="R174" i="2"/>
  <c r="Q174" i="2"/>
  <c r="R173" i="2"/>
  <c r="Q173" i="2"/>
  <c r="R172" i="2"/>
  <c r="Q172" i="2"/>
  <c r="R171" i="2"/>
  <c r="Q171" i="2"/>
  <c r="R170" i="2"/>
  <c r="Q170" i="2"/>
  <c r="R169" i="2"/>
  <c r="Q169" i="2"/>
  <c r="R168" i="2"/>
  <c r="Q168" i="2"/>
  <c r="R167" i="2"/>
  <c r="Q167" i="2"/>
  <c r="R166" i="2"/>
  <c r="Q166" i="2"/>
  <c r="R165" i="2"/>
  <c r="Q165" i="2"/>
  <c r="R164" i="2"/>
  <c r="Q164" i="2"/>
  <c r="R163" i="2"/>
  <c r="Q163" i="2"/>
  <c r="R162" i="2"/>
  <c r="Q162" i="2"/>
  <c r="R161" i="2"/>
  <c r="Q161" i="2"/>
  <c r="R160" i="2"/>
  <c r="Q160" i="2"/>
  <c r="R159" i="2"/>
  <c r="Q159" i="2"/>
  <c r="R158" i="2"/>
  <c r="Q158" i="2"/>
  <c r="R157" i="2"/>
  <c r="Q157" i="2"/>
  <c r="R156" i="2"/>
  <c r="Q156" i="2"/>
  <c r="R155" i="2"/>
  <c r="Q155" i="2"/>
  <c r="R154" i="2"/>
  <c r="Q154" i="2"/>
  <c r="R153" i="2"/>
  <c r="Q153" i="2"/>
  <c r="R152" i="2"/>
  <c r="Q152" i="2"/>
  <c r="R151" i="2"/>
  <c r="Q151" i="2"/>
  <c r="R150" i="2"/>
  <c r="Q150" i="2"/>
  <c r="R149" i="2"/>
  <c r="Q149" i="2"/>
  <c r="R148" i="2"/>
  <c r="Q148" i="2"/>
  <c r="R147" i="2"/>
  <c r="Q147" i="2"/>
  <c r="R146" i="2"/>
  <c r="Q146" i="2"/>
  <c r="R145" i="2"/>
  <c r="Q145" i="2"/>
  <c r="R144" i="2"/>
  <c r="Q144" i="2"/>
  <c r="R143" i="2"/>
  <c r="Q143" i="2"/>
  <c r="R142" i="2"/>
  <c r="Q142" i="2"/>
  <c r="R141" i="2"/>
  <c r="Q141" i="2"/>
  <c r="R140" i="2"/>
  <c r="Q140" i="2"/>
  <c r="R139" i="2"/>
  <c r="Q139" i="2"/>
  <c r="R138" i="2"/>
  <c r="Q138" i="2"/>
  <c r="R137" i="2"/>
  <c r="Q137" i="2"/>
  <c r="R136" i="2"/>
  <c r="Q136" i="2"/>
  <c r="R135" i="2"/>
  <c r="Q135" i="2"/>
  <c r="R134" i="2"/>
  <c r="Q134" i="2"/>
  <c r="R133" i="2"/>
  <c r="Q133" i="2"/>
  <c r="R132" i="2"/>
  <c r="Q132" i="2"/>
  <c r="R131" i="2"/>
  <c r="Q131" i="2"/>
  <c r="R130" i="2"/>
  <c r="Q130" i="2"/>
  <c r="R129" i="2"/>
  <c r="Q129" i="2"/>
  <c r="R128" i="2"/>
  <c r="Q128" i="2"/>
  <c r="R127" i="2"/>
  <c r="Q127" i="2"/>
  <c r="R126" i="2"/>
  <c r="Q126" i="2"/>
  <c r="R125" i="2"/>
  <c r="Q125" i="2"/>
  <c r="R124" i="2"/>
  <c r="Q124" i="2"/>
  <c r="R123" i="2"/>
  <c r="Q123" i="2"/>
  <c r="R122" i="2"/>
  <c r="Q122" i="2"/>
  <c r="R121" i="2"/>
  <c r="Q121" i="2"/>
  <c r="R120" i="2"/>
  <c r="Q120" i="2"/>
  <c r="R119" i="2"/>
  <c r="Q119" i="2"/>
  <c r="R118" i="2"/>
  <c r="Q118" i="2"/>
  <c r="R117" i="2"/>
  <c r="Q117" i="2"/>
  <c r="R116" i="2"/>
  <c r="Q116" i="2"/>
  <c r="R115" i="2"/>
  <c r="Q115" i="2"/>
  <c r="R114" i="2"/>
  <c r="Q114" i="2"/>
  <c r="R113" i="2"/>
  <c r="Q113" i="2"/>
  <c r="R112" i="2"/>
  <c r="Q112" i="2"/>
  <c r="R111" i="2"/>
  <c r="Q111" i="2"/>
  <c r="R110" i="2"/>
  <c r="Q110" i="2"/>
  <c r="R109" i="2"/>
  <c r="Q109" i="2"/>
  <c r="R108" i="2"/>
  <c r="Q108" i="2"/>
  <c r="R107" i="2"/>
  <c r="Q107" i="2"/>
  <c r="R106" i="2"/>
  <c r="Q106" i="2"/>
  <c r="R105" i="2"/>
  <c r="Q105" i="2"/>
  <c r="R104" i="2"/>
  <c r="Q104" i="2"/>
  <c r="R103" i="2"/>
  <c r="Q103" i="2"/>
  <c r="R102" i="2"/>
  <c r="Q102" i="2"/>
  <c r="R101" i="2"/>
  <c r="Q101" i="2"/>
  <c r="R100" i="2"/>
  <c r="Q100" i="2"/>
  <c r="R99" i="2"/>
  <c r="Q99" i="2"/>
  <c r="R98" i="2"/>
  <c r="Q98" i="2"/>
  <c r="R97" i="2"/>
  <c r="Q97" i="2"/>
  <c r="R96" i="2"/>
  <c r="Q96" i="2"/>
  <c r="R95" i="2"/>
  <c r="Q95" i="2"/>
  <c r="R94" i="2"/>
  <c r="Q94" i="2"/>
  <c r="R93" i="2"/>
  <c r="Q93" i="2"/>
  <c r="R92" i="2"/>
  <c r="Q92" i="2"/>
  <c r="R91" i="2"/>
  <c r="Q91" i="2"/>
  <c r="R90" i="2"/>
  <c r="Q90" i="2"/>
  <c r="R89" i="2"/>
  <c r="Q89" i="2"/>
  <c r="R88" i="2"/>
  <c r="Q88" i="2"/>
  <c r="R87" i="2"/>
  <c r="Q87" i="2"/>
  <c r="R86" i="2"/>
  <c r="Q86" i="2"/>
  <c r="R85" i="2"/>
  <c r="Q85" i="2"/>
  <c r="R84" i="2"/>
  <c r="Q84" i="2"/>
  <c r="R83" i="2"/>
  <c r="Q83" i="2"/>
  <c r="R82" i="2"/>
  <c r="Q82" i="2"/>
  <c r="R81" i="2"/>
  <c r="Q81" i="2"/>
  <c r="R80" i="2"/>
  <c r="Q80" i="2"/>
  <c r="R79" i="2"/>
  <c r="Q79" i="2"/>
  <c r="R78" i="2"/>
  <c r="Q78" i="2"/>
  <c r="R77" i="2"/>
  <c r="Q77" i="2"/>
  <c r="R76" i="2"/>
  <c r="Q76" i="2"/>
  <c r="R74" i="2"/>
  <c r="Q74" i="2"/>
  <c r="R73" i="2"/>
  <c r="Q73" i="2"/>
  <c r="R72" i="2"/>
  <c r="Q72" i="2"/>
  <c r="R71" i="2"/>
  <c r="Q71" i="2"/>
  <c r="R70" i="2"/>
  <c r="Q70" i="2"/>
  <c r="R69" i="2"/>
  <c r="Q69" i="2"/>
  <c r="R68" i="2"/>
  <c r="Q68" i="2"/>
  <c r="R67" i="2"/>
  <c r="Q67" i="2"/>
  <c r="R66" i="2"/>
  <c r="Q66" i="2"/>
  <c r="R65" i="2"/>
  <c r="Q65" i="2"/>
  <c r="R64" i="2"/>
  <c r="Q64" i="2"/>
  <c r="R63" i="2"/>
  <c r="Q63" i="2"/>
  <c r="R62" i="2"/>
  <c r="Q62" i="2"/>
  <c r="R61" i="2"/>
  <c r="Q61" i="2"/>
  <c r="R60" i="2"/>
  <c r="Q60" i="2"/>
  <c r="R59" i="2"/>
  <c r="Q59" i="2"/>
  <c r="R58" i="2"/>
  <c r="Q58" i="2"/>
  <c r="R57" i="2"/>
  <c r="Q57" i="2"/>
  <c r="R56" i="2"/>
  <c r="Q56" i="2"/>
  <c r="R55" i="2"/>
  <c r="Q55" i="2"/>
  <c r="R54" i="2"/>
  <c r="Q54" i="2"/>
  <c r="R53" i="2"/>
  <c r="Q53" i="2"/>
  <c r="R52" i="2"/>
  <c r="Q52" i="2"/>
  <c r="R51" i="2"/>
  <c r="Q51" i="2"/>
  <c r="R50" i="2"/>
  <c r="Q50" i="2"/>
  <c r="R49" i="2"/>
  <c r="Q49" i="2"/>
  <c r="R48" i="2"/>
  <c r="Q48" i="2"/>
  <c r="R47" i="2"/>
  <c r="Q47" i="2"/>
  <c r="R46" i="2"/>
  <c r="Q46" i="2"/>
  <c r="R45" i="2"/>
  <c r="Q45" i="2"/>
  <c r="R44" i="2"/>
  <c r="Q44" i="2"/>
  <c r="R43" i="2"/>
  <c r="Q43" i="2"/>
  <c r="R42" i="2"/>
  <c r="Q42" i="2"/>
  <c r="R41" i="2"/>
  <c r="Q41" i="2"/>
  <c r="R40" i="2"/>
  <c r="Q40" i="2"/>
  <c r="R39" i="2"/>
  <c r="Q39" i="2"/>
  <c r="R38" i="2"/>
  <c r="Q38" i="2"/>
  <c r="R37" i="2"/>
  <c r="Q37" i="2"/>
  <c r="R36" i="2"/>
  <c r="Q36" i="2"/>
  <c r="R35" i="2"/>
  <c r="Q35" i="2"/>
  <c r="R34" i="2"/>
  <c r="Q34" i="2"/>
  <c r="R33" i="2"/>
  <c r="Q33" i="2"/>
  <c r="R32" i="2"/>
  <c r="Q32" i="2"/>
  <c r="R31" i="2"/>
  <c r="Q31" i="2"/>
  <c r="R30" i="2"/>
  <c r="Q30" i="2"/>
  <c r="R29" i="2"/>
  <c r="Q29" i="2"/>
  <c r="R28" i="2"/>
  <c r="Q28" i="2"/>
  <c r="R27" i="2"/>
  <c r="Q27" i="2"/>
  <c r="R26" i="2"/>
  <c r="Q26" i="2"/>
  <c r="R25" i="2"/>
  <c r="Q25" i="2"/>
  <c r="R24" i="2"/>
  <c r="Q24" i="2"/>
  <c r="R23" i="2"/>
  <c r="Q23" i="2"/>
  <c r="R22" i="2"/>
  <c r="Q22" i="2"/>
  <c r="R21" i="2"/>
  <c r="Q21" i="2"/>
  <c r="R20" i="2"/>
  <c r="Q20" i="2"/>
  <c r="R19" i="2"/>
  <c r="Q19" i="2"/>
  <c r="R18" i="2"/>
  <c r="Q18" i="2"/>
  <c r="R17" i="2"/>
  <c r="Q17" i="2"/>
  <c r="R16" i="2"/>
  <c r="Q16" i="2"/>
  <c r="R15" i="2"/>
  <c r="Q15" i="2"/>
  <c r="R14" i="2"/>
  <c r="Q14" i="2"/>
  <c r="R13" i="2"/>
  <c r="Q13" i="2"/>
  <c r="R12" i="2"/>
  <c r="Q12" i="2"/>
  <c r="R11" i="2"/>
  <c r="Q11" i="2"/>
  <c r="R10" i="2"/>
  <c r="Q10" i="2"/>
  <c r="R9" i="2"/>
  <c r="Q9" i="2"/>
  <c r="R8" i="2"/>
  <c r="Q8" i="2"/>
  <c r="R7" i="2"/>
  <c r="Q7" i="2"/>
  <c r="R6" i="2"/>
  <c r="Q6" i="2"/>
  <c r="R5" i="2"/>
  <c r="Q5" i="2"/>
  <c r="P3" i="2"/>
  <c r="P2" i="2"/>
  <c r="P1" i="2"/>
  <c r="E31" i="1" l="1"/>
  <c r="C24" i="1"/>
  <c r="D12" i="1"/>
  <c r="D15" i="1"/>
  <c r="D20" i="1"/>
  <c r="D24" i="1"/>
  <c r="E12" i="1"/>
  <c r="E15" i="1"/>
  <c r="E20" i="1"/>
  <c r="E24" i="1"/>
  <c r="C21" i="1"/>
  <c r="D27" i="1"/>
  <c r="C13" i="1"/>
  <c r="C16" i="1"/>
  <c r="D21" i="1"/>
  <c r="E27" i="1"/>
  <c r="D13" i="1"/>
  <c r="D16" i="1"/>
  <c r="E21" i="1"/>
  <c r="D28" i="1"/>
  <c r="E13" i="1"/>
  <c r="E16" i="1"/>
  <c r="C22" i="1"/>
  <c r="E28" i="1"/>
  <c r="D22" i="1"/>
  <c r="D29" i="1"/>
  <c r="C14" i="1"/>
  <c r="E22" i="1"/>
  <c r="E29" i="1"/>
  <c r="D14" i="1"/>
  <c r="C23" i="1"/>
  <c r="D30" i="1"/>
  <c r="E14" i="1"/>
  <c r="D23" i="1"/>
  <c r="E30" i="1"/>
  <c r="E23" i="1"/>
  <c r="D31" i="1"/>
  <c r="C12" i="1"/>
  <c r="C15" i="1"/>
  <c r="C20" i="1"/>
  <c r="F13" i="1" l="1"/>
  <c r="F16" i="1"/>
  <c r="C17" i="1"/>
  <c r="F14" i="1"/>
  <c r="F15" i="1"/>
  <c r="E17" i="1"/>
  <c r="F12" i="1"/>
  <c r="D17" i="1"/>
  <c r="F17" i="1" l="1"/>
</calcChain>
</file>

<file path=xl/sharedStrings.xml><?xml version="1.0" encoding="utf-8"?>
<sst xmlns="http://schemas.openxmlformats.org/spreadsheetml/2006/main" count="612" uniqueCount="464">
  <si>
    <t>RFI LOG DASHBOARD DP06</t>
  </si>
  <si>
    <t>TOTAL ITEMS</t>
  </si>
  <si>
    <t>PENDING</t>
  </si>
  <si>
    <t>RESPONDED</t>
  </si>
  <si>
    <t>Discipline</t>
  </si>
  <si>
    <t>Total</t>
  </si>
  <si>
    <t>Pending</t>
  </si>
  <si>
    <t>Responded</t>
  </si>
  <si>
    <t>Response Rate</t>
  </si>
  <si>
    <t>Architectural</t>
  </si>
  <si>
    <t>Structural</t>
  </si>
  <si>
    <t>Mechanical</t>
  </si>
  <si>
    <t>Electrical</t>
  </si>
  <si>
    <t>General</t>
  </si>
  <si>
    <t>GRAND TOTAL</t>
  </si>
  <si>
    <t>Month</t>
  </si>
  <si>
    <t xml:space="preserve">(RFI) - Request For Information Log  For Design Pakage DP06 </t>
  </si>
  <si>
    <t>ALL</t>
  </si>
  <si>
    <t>Response </t>
  </si>
  <si>
    <t>HAC TO HILL</t>
  </si>
  <si>
    <t>Hill to  shaker</t>
  </si>
  <si>
    <t>Hill to AEDAS</t>
  </si>
  <si>
    <t>Dewan to  hill</t>
  </si>
  <si>
    <t>hill TO HAC</t>
  </si>
  <si>
    <t>open</t>
  </si>
  <si>
    <t>Mail No</t>
  </si>
  <si>
    <t>REV</t>
  </si>
  <si>
    <t>RFI No</t>
  </si>
  <si>
    <t>Subject</t>
  </si>
  <si>
    <t>Date</t>
  </si>
  <si>
    <t>Mail No2</t>
  </si>
  <si>
    <t>Date3</t>
  </si>
  <si>
    <t>Mail No4</t>
  </si>
  <si>
    <t>Date5</t>
  </si>
  <si>
    <t>Mail No6</t>
  </si>
  <si>
    <t>Date7</t>
  </si>
  <si>
    <t>Mail No8</t>
  </si>
  <si>
    <t>Date9</t>
  </si>
  <si>
    <t>Status</t>
  </si>
  <si>
    <t>Notes</t>
  </si>
  <si>
    <t>Discipline (Auto)</t>
  </si>
  <si>
    <t>RFI Date (Auto)</t>
  </si>
  <si>
    <t>HAC-RFI-000057</t>
  </si>
  <si>
    <t>P1000-K03206-HA-HI-ST-RFI-000001</t>
  </si>
  <si>
    <t xml:space="preserve"> for Missing Details Related to Hotel Excavation and Blinding Works (DP6-Hotel).</t>
  </si>
  <si>
    <t>HillInt-RFI-000587</t>
  </si>
  <si>
    <t>24/06/2026</t>
  </si>
  <si>
    <t>HillInt-RTRFI-000754</t>
  </si>
  <si>
    <t>HAC-RFI-000058</t>
  </si>
  <si>
    <t>P1000-K03206-HA-HI-ST-RFI-000002</t>
  </si>
  <si>
    <t xml:space="preserve"> for Proposed Project Sign Board Location for Approval (At the entrance of DP06 project).</t>
  </si>
  <si>
    <t>HillInt-RFI-000588</t>
  </si>
  <si>
    <t>HillInt-RTRFI-000750
3
39
1</t>
  </si>
  <si>
    <t>HAC-RFI-000146</t>
  </si>
  <si>
    <t>HillInt-RFI-000910</t>
  </si>
  <si>
    <t>HillInt-GNC-004142</t>
  </si>
  <si>
    <t>CCCEGY-RFI-000001</t>
  </si>
  <si>
    <t>HAC-RFI-000059</t>
  </si>
  <si>
    <t>P1000-K03206-HA-HI-ST-RFI-000003</t>
  </si>
  <si>
    <t xml:space="preserve"> for DP06 Dump area, Main Mobilizations and Site Mobilization Location.</t>
  </si>
  <si>
    <t>HillInt-RFI-000589</t>
  </si>
  <si>
    <t>HillInt-RTRFI-000751</t>
  </si>
  <si>
    <t>CCCEGY-RFI-000002</t>
  </si>
  <si>
    <t>HAC-RFI-000060</t>
  </si>
  <si>
    <t>P1000-K03206-HA-HI-ST-RFI-000004</t>
  </si>
  <si>
    <t xml:space="preserve"> for DP06 Access Roads approval (At the entrance of DP06 project).</t>
  </si>
  <si>
    <t>HillInt-RFI-000590</t>
  </si>
  <si>
    <t>CCCEGY-RFI-000003</t>
  </si>
  <si>
    <t>HAC-RFI-000061</t>
  </si>
  <si>
    <t>P1000-K03206-HA-HI-ST-RFI-000005</t>
  </si>
  <si>
    <t xml:space="preserve"> for Request for Temporary 12 m Boundary Offset for Construction Access (DP6).</t>
  </si>
  <si>
    <t>HillInt-RFI-000591</t>
  </si>
  <si>
    <t>SHKECGCR-RTRFI-000010</t>
  </si>
  <si>
    <t>HAC-RFI-000069</t>
  </si>
  <si>
    <t>P1000-K03206-HA-HI-ST-RFI-000006</t>
  </si>
  <si>
    <t xml:space="preserve"> for Existing Military Building Obstructing Villa C1-25 and Access Road (DP6-Villa C1-25).</t>
  </si>
  <si>
    <t>25/06/2026</t>
  </si>
  <si>
    <t>HillInt-RTRFI-000753</t>
  </si>
  <si>
    <t>HAC-RFI-000080</t>
  </si>
  <si>
    <t>P1000-K03206-HA-HI-AR-RFI-000007</t>
  </si>
  <si>
    <t>for Request for Approval of Proposed Hotel Mock-Up Strategy ( At Hotel of DP06 project).</t>
  </si>
  <si>
    <t>HillInt-RFI-000622</t>
  </si>
  <si>
    <t>HAC-RFI-000081</t>
  </si>
  <si>
    <t>P1000-K03206-HA-HI-AR-RFI-000008</t>
  </si>
  <si>
    <t>Request for Approval of Proposed Villas Mock-Up Strategy (Villa mockups).</t>
  </si>
  <si>
    <t>HillInt-RFI-000621</t>
  </si>
  <si>
    <t>HillInt-RTRFI-001118</t>
  </si>
  <si>
    <t>HAC-RFI-000097</t>
  </si>
  <si>
    <t xml:space="preserve">P1000-K03206-HA-HI-GE-RFI-000009 </t>
  </si>
  <si>
    <t>P1000-K03206-HA-HI-GE-RFI-000009 for DP6 Drawing Naming Convention.</t>
  </si>
  <si>
    <t>HillInt-RFI-001084</t>
  </si>
  <si>
    <t>HAC-RFI-000117</t>
  </si>
  <si>
    <t>P1000-K03206-HA-HI-GE-RFI-000010</t>
  </si>
  <si>
    <t>P1000-K03206-HA-HI-EL-RFI-000010 for Mockup's Lighting Shopdrawing Requirement (3BR VIP suit mockup).</t>
  </si>
  <si>
    <t>HillInt-RFI-000895</t>
  </si>
  <si>
    <t>HAC-RFI-000118</t>
  </si>
  <si>
    <t>P1000-K03206-HA-HI-GE-RFI-000011</t>
  </si>
  <si>
    <t>P1000-K03206-HA-HI-EL-RFI-000011 for Mockup's Emergency Lighting Shopdrawing Requirement (3BR VIP suit mockup).</t>
  </si>
  <si>
    <t>HillInt-RFI-000896</t>
  </si>
  <si>
    <t>HAC-RFI-000119</t>
  </si>
  <si>
    <t>P1000-K03206-HA-HI-GE-RFI-000012</t>
  </si>
  <si>
    <t>P1000-K03206-HA-HI-EL-RFI-000012 for Mockup's Voice and Data Shopdrawing Requirement (3BR VIP suit mockup).</t>
  </si>
  <si>
    <t>HillInt-RFI-000897</t>
  </si>
  <si>
    <t>HAC-RFI-000120</t>
  </si>
  <si>
    <t>P1000-K03206-HA-HI-GE-RFI-000013</t>
  </si>
  <si>
    <t>P1000-K03206-HA-HI-EL-RFI-000013 for Mockup's Fire Alarm Shop drawing Requirement (3BR VIP suit mockup).</t>
  </si>
  <si>
    <t>HillInt-RFI-000898</t>
  </si>
  <si>
    <t>HAC-RFI-000121</t>
  </si>
  <si>
    <t>P1000-K03206-HA-HI-GE-RFI-000014</t>
  </si>
  <si>
    <t>P1000-K03206-HA-HI-EL-RFI-000014 for Mockup's Power Shop drawing Requirement (3BR VIP suit mockup).</t>
  </si>
  <si>
    <t>HillInt-RFI-000899</t>
  </si>
  <si>
    <t>HAC-RFI-000122</t>
  </si>
  <si>
    <t>P1000-K03206-HA-HI-GE-RFI-000015</t>
  </si>
  <si>
    <t>P1000-K03206-HA-HI-ST-RFI-000015 for Clarification of Structural Reinforcement Details - DP06 project–Villa Type ( A&amp;D).</t>
  </si>
  <si>
    <t>HillInt-RFI-000876</t>
  </si>
  <si>
    <t>HillInt-RTCL-001037</t>
  </si>
  <si>
    <t>HAC-RFI-000123</t>
  </si>
  <si>
    <t>P1000-K03206-HA-HI-GE-RFI-000016</t>
  </si>
  <si>
    <t>P1000-K03206-HA-HI-ME-RFI-000016 for 3BR VIP Suite Type 1 Guest Room Mockup (drainage plan).</t>
  </si>
  <si>
    <t>HillInt-RFI-000900</t>
  </si>
  <si>
    <t>HAC-RFI-000124</t>
  </si>
  <si>
    <t>P1000-K03206-HA-HI-GE-RFI-000017</t>
  </si>
  <si>
    <t>P1000-K03206-HA-HI-ME-RFI-000017 for 3BR VIP Suite Type 1 Guest Room Mockup (fire protection systems plan)</t>
  </si>
  <si>
    <t>HillInt-RFI-000901</t>
  </si>
  <si>
    <t>HAC-RFI-000125</t>
  </si>
  <si>
    <t>P1000-K03206-HA-HI-GE-RFI-000018</t>
  </si>
  <si>
    <t>P1000-K03206-HA-HI-ME-RFI-000018 for 3BR VIP Suite Type 1 Guest Room Mockup (HVAC plan).</t>
  </si>
  <si>
    <t>HillInt-RFI-000902</t>
  </si>
  <si>
    <t>HAC-RFI-000126</t>
  </si>
  <si>
    <t>P1000-K03206-HA-HI-GE-RFI-000019</t>
  </si>
  <si>
    <t>P1000-K03206-HA-HI-ME-RFI-000019 for 3BR VIP Suite Type 1 ater supply systems plan).Guest Room Mockup (w</t>
  </si>
  <si>
    <t>HillInt-RFI-000903</t>
  </si>
  <si>
    <t>HAC-RFI-000127</t>
  </si>
  <si>
    <t>P1000-K03206-HA-HI-GE-RFI-000020</t>
  </si>
  <si>
    <t>P1000-K03206-HA-HI-AR-RFI-000020 For Conflicts Between Structural IFC and Architectural Schematic Design.</t>
  </si>
  <si>
    <t>HillInt-RFI-000877</t>
  </si>
  <si>
    <t xml:space="preserve"> 9 August 2026</t>
  </si>
  <si>
    <t>HillInt-RTCL-001036</t>
  </si>
  <si>
    <t>HAC-RFI-000130</t>
  </si>
  <si>
    <t>P1000-K03206-HA-HI-GE-RFI-000021</t>
  </si>
  <si>
    <t>P1000-K03206-HA-HI-ST-RFI-000021-00 For Conflict Between Excavation IFC and Structural IFC for Villas</t>
  </si>
  <si>
    <t>HillInt-RFI-000878</t>
  </si>
  <si>
    <t>HillInt-RTCL-001038</t>
  </si>
  <si>
    <t>14/08/2026</t>
  </si>
  <si>
    <t>HAC-RFI-000131</t>
  </si>
  <si>
    <t>P1000-K03206-HA-HI-GE-RFI-000022</t>
  </si>
  <si>
    <t>P1000-K03206-HA-HI-ST-RFI-000022-00 For Missing Stair Starter Details in Villas Foundation IFC.</t>
  </si>
  <si>
    <t>HillInt-RFI-000879</t>
  </si>
  <si>
    <t>HillInt-RTCL-001039</t>
  </si>
  <si>
    <t>HAC-RFI-000132</t>
  </si>
  <si>
    <t>P1000-K03206-HA-HI-GE-RFI-000023</t>
  </si>
  <si>
    <t>P1000-K03206-HA-HI-ST-RFI-000023-00 For Conflict Between BOQ and IFC Concrete Grade</t>
  </si>
  <si>
    <t>HillInt-RFI-000880</t>
  </si>
  <si>
    <t>HillInt-RTCL-001035</t>
  </si>
  <si>
    <t>HAC-RFI-000166</t>
  </si>
  <si>
    <t>HillInt-RFI-001013</t>
  </si>
  <si>
    <t>HillInt-RTCL-001138</t>
  </si>
  <si>
    <t>HAC-RFI-000133</t>
  </si>
  <si>
    <t>P1000-K03206-HA-HI-GE-RFI-000024</t>
  </si>
  <si>
    <t>P1000-K03206-HA-HI-AR-RFI-000024-00 For Hotel Room Mock-Up Selection.</t>
  </si>
  <si>
    <t>HillInt-RFI-000904</t>
  </si>
  <si>
    <t>HAC-RFI-000134</t>
  </si>
  <si>
    <t>P1000-K03206-HA-HI-GE-RFI-000025</t>
  </si>
  <si>
    <t>P1000-K03206-HA-HI-AR-RFI-000025-00 For Missing Details for ID Build-Up Wall Types for Hotel Room Mock-Up.</t>
  </si>
  <si>
    <t>HillInt-RFI-000905</t>
  </si>
  <si>
    <t>HAC-RFI-000135</t>
  </si>
  <si>
    <t>P1000-K03206-HA-HI-GE-RFI-000026</t>
  </si>
  <si>
    <t>P1000-K03206-HA-HI-AR-RFI-000026-00 for Conflict Between Architectural and Interior Drawings – Hotel Room Mock-Up.</t>
  </si>
  <si>
    <t>HillInt-RFI-000906</t>
  </si>
  <si>
    <t>HAC-RFI-000136</t>
  </si>
  <si>
    <t>P1000-K03206-HA-HI-GE-RFI-000027</t>
  </si>
  <si>
    <t>P1000-K03206-HA-HI-AR-RFI-000027-00 for Missing Architectural Opening Details for Hotel Room Mock-Up.</t>
  </si>
  <si>
    <t>HillInt-RFI-000907</t>
  </si>
  <si>
    <t>HAC-RFI-000137</t>
  </si>
  <si>
    <t>P1000-K03206-HA-HI-GE-RFI-000028</t>
  </si>
  <si>
    <t>P1000-K03206-HA-HI-ST-RFI-000028-00 for Construction sequence for DP06 project – All Villa’s.</t>
  </si>
  <si>
    <t>HillInt-RFI-000908</t>
  </si>
  <si>
    <t>HillInt-RTCL-001040</t>
  </si>
  <si>
    <t>HAC-RFI-000203</t>
  </si>
  <si>
    <t>HillInt-GNC-003454</t>
  </si>
  <si>
    <t>HAC-RFI-000144</t>
  </si>
  <si>
    <t>P1000-K03206-HA-HI-GE-RFI-000029</t>
  </si>
  <si>
    <t>P1000-K03206-HA-HI-AR-RFI-000029-00 for Villa Mockup Location as per site condition DP6-Villas.</t>
  </si>
  <si>
    <t>HillInt-RFI-000909</t>
  </si>
  <si>
    <t>HAC-RFI-000155</t>
  </si>
  <si>
    <t>P1000-K03206-HA-HI-GE-RFI-000030</t>
  </si>
  <si>
    <t>P1000-K03206-HA-HI-ST-RFI-000030 for Confirmation of Lift Type and Lift Pit Dimensions &amp; Levels. (DP06 project – All Villa’s)</t>
  </si>
  <si>
    <t>HillInt-RFI-000916</t>
  </si>
  <si>
    <t>14 August 202</t>
  </si>
  <si>
    <t>HillInt-RTCL-001082</t>
  </si>
  <si>
    <t>HAC-RFI-000156</t>
  </si>
  <si>
    <t>P1000-K03206-HA-HI-GE-RFI-000031</t>
  </si>
  <si>
    <t>P1000-K03206-HA-HI-ST-RFI-000031 for Clarification on Villa Type Discrepancy in Villas IFC Excavation Drawings. (DP06 project – All Villa’s)</t>
  </si>
  <si>
    <t>HillInt-RFI-000917</t>
  </si>
  <si>
    <t>HillInt-RTCL-001083</t>
  </si>
  <si>
    <t>HAC-RFI-000160</t>
  </si>
  <si>
    <t>P1000-K03206-HA-HI-ST-RFI-000032</t>
  </si>
  <si>
    <t>P1000-K03206-HA-HI-ST-RFI-000032 for Foundation Level Conflict in IFC Foundation Package (DP06 project – All Villas)</t>
  </si>
  <si>
    <t>HillInt-RFI-000918</t>
  </si>
  <si>
    <t>HillInt-RTCL-001084</t>
  </si>
  <si>
    <t>HAC-RFI-000159</t>
  </si>
  <si>
    <t>P1000-K03206-HA-HI-ST-RFI-000033</t>
  </si>
  <si>
    <t>P1000-K03206-HA-HI-ST-RFI-000033 for Foundation Level Conflict in IFC Foundation Package (DP06 project – villa type A &amp; B)</t>
  </si>
  <si>
    <t>HillInt-RFI-000919</t>
  </si>
  <si>
    <t>HillInt-RTCL-001085</t>
  </si>
  <si>
    <t>HAC-RFI-000178</t>
  </si>
  <si>
    <t>P1000-K03206-HA-HI-ST-RFI-000034</t>
  </si>
  <si>
    <t xml:space="preserve">	P1000-K03206-HA-HI-ST-RFI-000034 for Discrepancy in Levels Between the Received Excavation IFC and Foundation IFC Drawings.</t>
  </si>
  <si>
    <t>HillInt-RFI-001145</t>
  </si>
  <si>
    <t>HillInt-GNC-003426</t>
  </si>
  <si>
    <t xml:space="preserve">	HAC-RFI-000179</t>
  </si>
  <si>
    <t>P1000-K03206-HA-HI-ST-RFI-000035</t>
  </si>
  <si>
    <t>P1000-K03206-HA-HI-ST-RFI-000035 for Discrepancy in Column Dimensions Between the Foundation and Superstructure IFC Packages.</t>
  </si>
  <si>
    <t>HillInt-RFI-001147</t>
  </si>
  <si>
    <t>HillInt-RTRFI-001219</t>
  </si>
  <si>
    <t>HAC-RFI-000186</t>
  </si>
  <si>
    <t>P1000-K03206-HA-HI-ST-RFI-000036</t>
  </si>
  <si>
    <t>P1000-K03206-HA-HI-ST-RFI-000036 for Identification of Walls Requiring Foundation Upstands in all villas.</t>
  </si>
  <si>
    <t>HillInt-GNC-003399</t>
  </si>
  <si>
    <t>HAC-RFI-000187</t>
  </si>
  <si>
    <t>P1000-K03206-HA-HI-ST-RFI-000037</t>
  </si>
  <si>
    <t>P1000-K03206-HA-HI-ST-RFI-000037 for B1 &amp; B2 Reinforcement Sizes for Footing F3 – Villa D.</t>
  </si>
  <si>
    <t>HillInt-GNC-003400</t>
  </si>
  <si>
    <t>HAC-RFI-000189</t>
  </si>
  <si>
    <t>P1000-K03206-HA-HI-ST-RFI-000038</t>
  </si>
  <si>
    <t>P1000-K03206-HA-HI-ST-RFI-000038 for Missing Column Details– Villa Type B.</t>
  </si>
  <si>
    <t>HillInt-GNC-003401</t>
  </si>
  <si>
    <t>HAC-RFI-000190</t>
  </si>
  <si>
    <t>P1000-K03206-HA-HI-ST-RFI-000039</t>
  </si>
  <si>
    <t xml:space="preserve">	P1000-K03206-HA-HI-ST-RFI-000039 for Missing RC Pedestal Details – Villa Types C1, C2 &amp; D.</t>
  </si>
  <si>
    <t>HillInt-GNC-003402</t>
  </si>
  <si>
    <t>HAC-RFI-000191</t>
  </si>
  <si>
    <t>P1000-K03206-HA-HI-ST-RFI-000040</t>
  </si>
  <si>
    <t>P1000-K03206-HA-HI-ST-RFI-000040 for Foundation Thickness and Excavation Level Discrepancies at the Hotel building</t>
  </si>
  <si>
    <t>HillInt-GNC-003404</t>
  </si>
  <si>
    <t>HAC-RFI-000192</t>
  </si>
  <si>
    <t>P1000-K03206-HA-HI-ST-RFI-000041</t>
  </si>
  <si>
    <t>P1000-K03206-HA-HI-ST-RFI-000041 for Basement 02 Staircase Starter Wall &amp; Starter Bar Details – Hotel Building</t>
  </si>
  <si>
    <t>HillInt-GNC-003523</t>
  </si>
  <si>
    <t>HillInt-GNC-004246</t>
  </si>
  <si>
    <t>HAC-RFI-000193</t>
  </si>
  <si>
    <t>P1000-K03206-HA-HI-ST-RFI-000042</t>
  </si>
  <si>
    <t>P1000-K03206-HA-HI-ST-RFI-000042 for Missing Walls and Drawing / View Name Discrepancies in SPA Foundation IFC Package.</t>
  </si>
  <si>
    <t>HillInt-GNC-003524</t>
  </si>
  <si>
    <t>HAC-RFI-000194</t>
  </si>
  <si>
    <t>P1000-K03206-HA-HI-ST-RFI-000043</t>
  </si>
  <si>
    <t>P1000-K03206-HA-HI-ST-RFI-000043 for Clarification on Foundation Levels and Corresponding Excavation Levels in Beach House.</t>
  </si>
  <si>
    <t>HillInt-GNC-003526</t>
  </si>
  <si>
    <t>HAC-RFI-000197</t>
  </si>
  <si>
    <t>P1000-K03206-HA-HI-ST-RFI-000044</t>
  </si>
  <si>
    <t>P1000-K03206-HA-HI-ST-RFI-000044 for MEP Required Information for Water Tank &amp; Pump Room.</t>
  </si>
  <si>
    <t>HillInt-GNC-003436</t>
  </si>
  <si>
    <t>HillInt-GNC-004845</t>
  </si>
  <si>
    <t>HAC-RFI-000199</t>
  </si>
  <si>
    <t>P1000-K03206-HA-HI-ST-RFI-000045</t>
  </si>
  <si>
    <t>P1000-K03206-HA-HI-ST-RFI-000045 for Connection between concrete &amp; steel works in villas.</t>
  </si>
  <si>
    <t>HillInt-GNC-003435</t>
  </si>
  <si>
    <t>HillInt-GNC-004035</t>
  </si>
  <si>
    <t>HAC-RFI-000198</t>
  </si>
  <si>
    <t>P1000-K03206-HA-HI-ST-RFI-000046</t>
  </si>
  <si>
    <t xml:space="preserve">	P1000-K03206-HA-HI-ST-RFI-000046 For Clarification on Ancillary Buildings Locations – Villas C1 &amp; C2</t>
  </si>
  <si>
    <t>HillInt-GNC-003437</t>
  </si>
  <si>
    <t>HillInt-GNC-003875</t>
  </si>
  <si>
    <t>P1000-K03206-HA-HI-ST-RFI-000047</t>
  </si>
  <si>
    <t>P1000-K03206-HA-HI-ST-RFI-000047 For Clarification of Retaining Wall Thickness in Beach House.</t>
  </si>
  <si>
    <t>HillInt-GNC-003439</t>
  </si>
  <si>
    <t>HillInt-GNC-003792</t>
  </si>
  <si>
    <t>HAC-RFI-000205</t>
  </si>
  <si>
    <t>P1000-K03206-HA-HI-ST-RFI-000048</t>
  </si>
  <si>
    <t>P1000-K03206-HA-HI-ST-RFI-000048 for Clarification of Final Shoreline Alignment and Water Levels – Bathymetric Study.</t>
  </si>
  <si>
    <t>HillInt-GNC-003527</t>
  </si>
  <si>
    <t>HillInt-GNC-004069</t>
  </si>
  <si>
    <t>HAC-RFI-000206</t>
  </si>
  <si>
    <t>P1000-K03206-HA-HI-ST-RFI-000049</t>
  </si>
  <si>
    <t>P1000-K03206-HA-HI-ST-RFI-000049 for Alternative Waterproofing System – Tanking System.</t>
  </si>
  <si>
    <t>HillInt-GNC-003528</t>
  </si>
  <si>
    <t>HillInt-GNC-003796</t>
  </si>
  <si>
    <t>HAC-RFI-000210</t>
  </si>
  <si>
    <t>P1000-K03206-HA-HI-ST-RFI-000050</t>
  </si>
  <si>
    <t xml:space="preserve">	P1000-K03206-HA-HI-ST-RFI-000050 for Club House – Missing Details &amp; Level Coordination for Retaining Wall.</t>
  </si>
  <si>
    <t>HillInt-GNC-003812</t>
  </si>
  <si>
    <t>HAC-RFI-000207</t>
  </si>
  <si>
    <t>P1000-K03206-HA-HI-ST-RFI-000051</t>
  </si>
  <si>
    <t>P1000-K03206-HA-HI-ST-RFI-000051 for Residents Club coordination with the surrounded building &amp; walls.</t>
  </si>
  <si>
    <t>HillInt-GNC-003529</t>
  </si>
  <si>
    <t>HillInt-GNC-004053</t>
  </si>
  <si>
    <t>HAC-RFI-000208</t>
  </si>
  <si>
    <t>P1000-K03206-HA-HI-ST-RFI-000052</t>
  </si>
  <si>
    <t>P1000-K03206-HA-HI-ST-RFI-000052 for Residents Club Missing Topographic Survey documents.</t>
  </si>
  <si>
    <t>HillInt-GNC-003747</t>
  </si>
  <si>
    <t>HAC-RFI-000209</t>
  </si>
  <si>
    <t>P1000-K03206-HA-HI-ST-RFI-000053</t>
  </si>
  <si>
    <t>P1000-K03206-HA-HI-ST-RFI-000053 For SPA Building – Proposed Temporary Protection Wall.</t>
  </si>
  <si>
    <t>HillInt-GNC-003751</t>
  </si>
  <si>
    <t>HAC-RFI-000211</t>
  </si>
  <si>
    <t>P1000-K03206-HA-HI-ST-RFI-000054</t>
  </si>
  <si>
    <t xml:space="preserve">	P1000-K03206-HA-HI-ST-RFI-000054 For Villa C1- SW3 Reinforcement Values Clarification.</t>
  </si>
  <si>
    <t>HillInt-RTCL-001439</t>
  </si>
  <si>
    <t>HAC-RFI-000212</t>
  </si>
  <si>
    <t>P1000-K03206-HA-HI-ST-RFI-000055</t>
  </si>
  <si>
    <t>P1000-K03206-HA-HI-ST-RFI-000055 For Foundation Level Difference in villas.</t>
  </si>
  <si>
    <t>HillInt-GNC-003809</t>
  </si>
  <si>
    <t>HAC-RFI-000213</t>
  </si>
  <si>
    <t>P1000-K03206-HA-HI-ST-RFI-000056</t>
  </si>
  <si>
    <t>P1000-K03206-HA-HI-ST-RFI-000056 For Stair Starter proposal in villas.</t>
  </si>
  <si>
    <t>HillInt-GNC-003795</t>
  </si>
  <si>
    <t>HAC-RFI-000214</t>
  </si>
  <si>
    <t>P1000-K03206-HA-HI-ST-RFI-000057</t>
  </si>
  <si>
    <t>P1000-K03206-HA-HI-ST-RFI-000057 for Clarification of Sump Pit RC Slab and Access Hatch Details At Hotel Building.</t>
  </si>
  <si>
    <t>HillInt-GNC-003811</t>
  </si>
  <si>
    <t>Fwd: P1000-K03206-HA-HI-ST-RFI-000057-01 for Clarification of Sump Pit RC Slab and Access Hatch Details At Hotel Building.</t>
  </si>
  <si>
    <t>HillInt-GNC-004297</t>
  </si>
  <si>
    <t>HillInt-GNC-004622</t>
  </si>
  <si>
    <t>HAC-RFI-000223</t>
  </si>
  <si>
    <t>P1000-K03206-HA-HI-ST-RFI-000058</t>
  </si>
  <si>
    <t xml:space="preserve">	P1000-K03206-HA-HI-ST-RFI-000058 for Villas- missing Structural levels in all Villa Types.</t>
  </si>
  <si>
    <t>HillInt-GNC-004083</t>
  </si>
  <si>
    <t>HillInt-GNC-004215</t>
  </si>
  <si>
    <t>HAC-RFI-000224</t>
  </si>
  <si>
    <t>P1000-K03206-HA-HI-ST-RFI-000059</t>
  </si>
  <si>
    <t>P1000-K03206-HA-HI-ST-RFI-000059 for villa C1 – first floor beams conflict between L01-B32 &amp; L01-B35.</t>
  </si>
  <si>
    <t>HillInt-GNC-004084</t>
  </si>
  <si>
    <t>HillInt-GNC-004216</t>
  </si>
  <si>
    <t>HAC-RFI-000225</t>
  </si>
  <si>
    <t>P1000-K03206-HA-HI-ST-RFI-000060</t>
  </si>
  <si>
    <t xml:space="preserve">	P1000-K03206-HA-HI-ST-RFI-000060 for Villa (A) Coordination Issue</t>
  </si>
  <si>
    <t>HillInt-GNC-004085</t>
  </si>
  <si>
    <t>HillInt-GNC-004217</t>
  </si>
  <si>
    <t>HAC-RFI-000226</t>
  </si>
  <si>
    <t>P1000-K03206-HA-HI-ST-RFI-000061</t>
  </si>
  <si>
    <t>P1000-K03206-HA-HI-AR-RFI-000061 for Villas- missing Stairs finishes.</t>
  </si>
  <si>
    <t>HillInt-GNC-004833</t>
  </si>
  <si>
    <t>HAC-RFI-000230</t>
  </si>
  <si>
    <t>P1000-K03206-HA-HI-ST-RFI-000062</t>
  </si>
  <si>
    <t>P1000-K03206-HA-HI-ST-RFI-000062 for Villas-Drop panel issue in villa C1</t>
  </si>
  <si>
    <t>HillInt-GNC-004162</t>
  </si>
  <si>
    <t>HillInt-GNC-004201</t>
  </si>
  <si>
    <t>HAC-RFI-000231</t>
  </si>
  <si>
    <t>P1000-K03206-HA-HI-ST-RFI-000063</t>
  </si>
  <si>
    <t>P1000-K03206-HA-HI-ST-RFI-000063 for Beach House - Missing Foundations and Retaining Walls in Substructure Package</t>
  </si>
  <si>
    <t>HillInt-GNC-004164</t>
  </si>
  <si>
    <t>HillInt-GNC-004203</t>
  </si>
  <si>
    <t>HAC-RFI-000232</t>
  </si>
  <si>
    <t>P1000-K03206-HA-HI-ST-RFI-000064</t>
  </si>
  <si>
    <t>P1000-K03206-HA-HI-ST-RFI-000064 for Club House - Clarification of Column Layout Discrepancies Between Superstructure and Substructure IFC Drawings.</t>
  </si>
  <si>
    <t>HillInt-GNC-004170</t>
  </si>
  <si>
    <t>HillInt-GNC-004205</t>
  </si>
  <si>
    <t>HAC-RFI-000233</t>
  </si>
  <si>
    <t>P1000-K03206-HA-HI-ST-RFI-000065</t>
  </si>
  <si>
    <t xml:space="preserve">	P1000-K03206-HA-HI-ST-RFI-000065 for Club House Clarification of Foundation Levels and Corresponding Excavation Levels.</t>
  </si>
  <si>
    <t>HillInt-GNC-004174</t>
  </si>
  <si>
    <t>HAC-RFI-000234</t>
  </si>
  <si>
    <t>P1000-K03206-HA-HI-ST-RFI-000066</t>
  </si>
  <si>
    <t xml:space="preserve">	P1000-K03206-HA-HI-ST-RFI-000066 for Beach House - Missing Column C46 in Substructure Package</t>
  </si>
  <si>
    <t>HillInt-GNC-004175</t>
  </si>
  <si>
    <t>HillInt-GNC-004206</t>
  </si>
  <si>
    <t>HAC-RFI-000236</t>
  </si>
  <si>
    <t>P1000-K03206-HA-HI-ST-RFI-000067</t>
  </si>
  <si>
    <t>P1000-K03206-HA-HI-ST-RFI-000067 For Hotel_Step-In Level Reinforcement detail.</t>
  </si>
  <si>
    <t>HillInt-GNC-004247</t>
  </si>
  <si>
    <t>HillInt-GNC-004383</t>
  </si>
  <si>
    <t>HAC-RFI-000237</t>
  </si>
  <si>
    <t>P1000-K03206-HA-HI-ST-RFI-000068</t>
  </si>
  <si>
    <t>P1000-K03206-HA-HI-ST-RFI-000068 For HOTEL – Clarification of Isolation Joint Between Retaining Walls and Adjacent Structure</t>
  </si>
  <si>
    <t>HillInt-GNC-004249</t>
  </si>
  <si>
    <t>HAC-RFI-000238</t>
  </si>
  <si>
    <t>P1000-K03206-HA-HI-ST-RFI-000069</t>
  </si>
  <si>
    <t>P1000-K03206-HA-HI-ST-RFI-000069 For Hotel: Missing Location and Details of Ramps Starter Walls at Basement 01.</t>
  </si>
  <si>
    <t>HillInt-GNC-004250</t>
  </si>
  <si>
    <t>HillInt-GNC-004381</t>
  </si>
  <si>
    <t>HAC-RFI-000240</t>
  </si>
  <si>
    <t>P1000-K03206-HA-HI-ST-RFI-000070</t>
  </si>
  <si>
    <t>P1000-K03206-HA-HI-ST-RFI-000070 for Hotel Clarification Required for Stair Starter Walls in basement 01</t>
  </si>
  <si>
    <t>HillInt-GNC-004298</t>
  </si>
  <si>
    <t>HillInt-GNC-004621</t>
  </si>
  <si>
    <t>HAC-RFI-000241</t>
  </si>
  <si>
    <t>P1000-K03206-HA-HI-ST-RFI-000071</t>
  </si>
  <si>
    <t>P1000-K03206-HA-HI-ST-RFI-000071 for Villas – Missing Columns Details in Villa D.</t>
  </si>
  <si>
    <t>HillInt-GNC-004301</t>
  </si>
  <si>
    <t>HillInt-GNC-004385</t>
  </si>
  <si>
    <t>HAC-RFI-000242</t>
  </si>
  <si>
    <t>P1000-K03206-HA-HI-ST-RFI-000072</t>
  </si>
  <si>
    <t>P1000-K03206-HA-HI-ST-RFI-000072 for HOTEL – Clarification of Foundation Reinforcement Directions</t>
  </si>
  <si>
    <t>HillInt-GNC-004304</t>
  </si>
  <si>
    <t>HillInt-GNC-004386</t>
  </si>
  <si>
    <t>HAC-RFI-000243</t>
  </si>
  <si>
    <t>P1000-K03206-HA-HI-ST-RFI-000073</t>
  </si>
  <si>
    <t>P1000-K03206-HA-HI-ST-RFI-000073 for columns splice location</t>
  </si>
  <si>
    <t>HillInt-GNC-004330</t>
  </si>
  <si>
    <t>HillInt-GNC-004376</t>
  </si>
  <si>
    <t>HAC-RFI-000247</t>
  </si>
  <si>
    <t>P1000-K03206-HA-HI-ST-RFI-000074</t>
  </si>
  <si>
    <t>P1000-K03206-HA-HI-ST-RFI-000074 For VILLAS - Pump Room relocation.</t>
  </si>
  <si>
    <t>HillInt-GNC-004526</t>
  </si>
  <si>
    <t>HillInt-GNC-004844</t>
  </si>
  <si>
    <t>HAC-RFI-000249</t>
  </si>
  <si>
    <t>P1000-K03206-HA-HI-ST-RFI-000075</t>
  </si>
  <si>
    <t>P1000-K03206-HA-HI-ST-RFI-000075 for VILLAS - Reinforcement Values Discrepancy</t>
  </si>
  <si>
    <t>HillInt-GNC-004646</t>
  </si>
  <si>
    <t>HillInt-GNC-004761</t>
  </si>
  <si>
    <t>P1000-K03206-HA-HI-ST-RFI-000076</t>
  </si>
  <si>
    <t>REH-DP6/ P1000-K03206-HA-HI-AR-RFI-000076 for Villa C1 Mock Up Detailed Design – Contradiction in Block Work Types and Structure Package.</t>
  </si>
  <si>
    <t>HAC-RFI-000262</t>
  </si>
  <si>
    <t>HillInt-GNC-004878</t>
  </si>
  <si>
    <t>HAC-RFI-000235</t>
  </si>
  <si>
    <t>P1000-K03206-HA-HI-ST-RFI-000077</t>
  </si>
  <si>
    <t>P1000-K03206-HA-HI-ST-RFI-000078</t>
  </si>
  <si>
    <t>P1000-K03206-HA-HI-ST-RFI-000079</t>
  </si>
  <si>
    <t>P1000-K03206-HA-HI-ST-RFI-000080</t>
  </si>
  <si>
    <t>P1000-K03206-HA-HI-ST-RFI-000081</t>
  </si>
  <si>
    <t>P1000-K03206-HA-HI-ST-RFI-000082</t>
  </si>
  <si>
    <t>P1000-K03206-HA-HI-ST-RFI-000083</t>
  </si>
  <si>
    <t>P1000-K03206-HA-HI-ST-RFI-000084</t>
  </si>
  <si>
    <t>P1000-K03206-HA-HI-ST-RFI-000085</t>
  </si>
  <si>
    <t>P1000-K03206-HA-HI-ST-RFI-000086</t>
  </si>
  <si>
    <t>P1000-K03206-HA-HI-ST-RFI-000087</t>
  </si>
  <si>
    <t>P1000-K03206-HA-HI-ST-RFI-000088</t>
  </si>
  <si>
    <t>P1000-K03206-HA-HI-ST-RFI-000089</t>
  </si>
  <si>
    <t>P1000-K03206-HA-HI-ST-RFI-000090</t>
  </si>
  <si>
    <t>REH-DP6/ P1000-K03206-HA-HI-AR-RFI-000077 for Villa Mock-Up –Confirmation of 100% DD Package as Reference</t>
  </si>
  <si>
    <t>HAC-RFI-000263</t>
  </si>
  <si>
    <t>HillInt-GNC-004968</t>
  </si>
  <si>
    <t>REH-DP6/ P1000-K03206-HA-HI-AR-RFI-000078 for Villa C1 Mock-Up – Proposed Location Change from C1-38 to C1-31</t>
  </si>
  <si>
    <t>HAC-RFI-000264</t>
  </si>
  <si>
    <t>HillInt-GNC-004969</t>
  </si>
  <si>
    <t>HillInt-GNC-004970</t>
  </si>
  <si>
    <t>HAC-RFI-000265</t>
  </si>
  <si>
    <t>REH-DP6/ P1000-K03206-HA-HI-AR-RFI-000079 for DP6 – Confirmation of Low-Iron Glass Omission for all buildings</t>
  </si>
  <si>
    <t>REH-DP6/ P1000-K03206-HA-HI-AR-RFI-000080 for Villas– Confirmation of External Wall System</t>
  </si>
  <si>
    <t>HAC-RFI-000266</t>
  </si>
  <si>
    <t>HillInt-GNC-004971</t>
  </si>
  <si>
    <t>REH-DP6/ P1000-K03206-HA-HI-ST-RFI-000081 for VILLAs - Clarification on Top Reinforcement of Stair Flights.</t>
  </si>
  <si>
    <t>HAC-RFI-000267</t>
  </si>
  <si>
    <t>HillInt-GNC-004957</t>
  </si>
  <si>
    <t>REH-DP6/ P1000-K03206-HA-HI-AR-RFI-000082 for VILLAS - RFI – Soil Replacement for Villas on Fill &lt; 5.0 m.</t>
  </si>
  <si>
    <t>HAC-RFI-000268</t>
  </si>
  <si>
    <t>HillInt-GNC-004972</t>
  </si>
  <si>
    <t>REH-DP6/ P1000-K03206-HA-HI-AR-RFI-000083 for Villas-Confirmation of using local porcelain instead of ballas in villas roof</t>
  </si>
  <si>
    <t>HAC-RFI-000269</t>
  </si>
  <si>
    <t>HillInt-GNC-004973</t>
  </si>
  <si>
    <t>REH-DP6/ P1000-K03206-HA-HI-AR-RFI-000084 for Villas Mockup – Confirmation of Mirror Detail.</t>
  </si>
  <si>
    <t>HAC-RFI-000270</t>
  </si>
  <si>
    <t>HillInt-GNC-004974</t>
  </si>
  <si>
    <t>REH-DP6/ P1000-K03206-HA-HI-AR-RFI-000085 for Villas–Aluminum Profile Minimum Thickness required.</t>
  </si>
  <si>
    <t>HAC-RFI-000271</t>
  </si>
  <si>
    <t>REH-DP6/ P1000-K03206-HA-HI-AR-RFI-000086 for Villas – Confirmation of Aluminum Thermal Break System Omission.</t>
  </si>
  <si>
    <t>HAC-RFI-000272</t>
  </si>
  <si>
    <t>REH-DP6/ P1000-K03206-HA-HI-AR-RFI-000087 for Villas – Confirmation of External ِ Aluminium cladding Fire-Rated Requirements Omission.</t>
  </si>
  <si>
    <t>HAC-RFI-000273</t>
  </si>
  <si>
    <t>REH-DP6/ P1000-K03206-HA-HI-ST-RFI-000088 for Villas – Foundation thickness in Villa D.</t>
  </si>
  <si>
    <t>HAC-RFI-000276</t>
  </si>
  <si>
    <t>HillInt-GNC-004959</t>
  </si>
  <si>
    <t>REH-DP6/ P1000-K03206-HA-HI-ST-RFI-000089 for Residents club Retaining walls levels confirmation</t>
  </si>
  <si>
    <t>HAC-RFI-000275</t>
  </si>
  <si>
    <t>HillInt-GNC-004958</t>
  </si>
  <si>
    <t>REH-DP6/ P1000-K03206-HA-HI-AR-RFI-000090 for Villa C1 Mock Up– Contradiction Between Aluminum Doors Elevation and Schedule.</t>
  </si>
  <si>
    <t>HAC-RFI-000278</t>
  </si>
  <si>
    <t>REH-DP6/ Re: P1000-K03206-HA-HI-ST-RFI-000065-01 for Club House Clarification of Foundation Levels and Corresponding Excavation Levels.</t>
  </si>
  <si>
    <t>HAC-RFI-000277</t>
  </si>
  <si>
    <t>HillInt-GNC-004956</t>
  </si>
  <si>
    <t>HillInt-GNC-004976</t>
  </si>
  <si>
    <t>HillInt-GNC-004977</t>
  </si>
  <si>
    <t>HillInt-GNC-004978</t>
  </si>
  <si>
    <t>HillInt-GNC-004979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</si>
</sst>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yyyy"/>
    <numFmt numFmtId="165" formatCode="mmm\ yyyy"/>
  </numFmts>
  <fonts count="16" x14ac:knownFonts="1">
    <font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333333"/>
      <name val="Arial"/>
      <family val="2"/>
    </font>
    <font>
      <b/>
      <sz val="14"/>
      <color indexed="12"/>
      <name val="Calibri"/>
      <family val="2"/>
    </font>
    <font>
      <sz val="12"/>
      <color theme="1"/>
      <name val="Calibri"/>
      <family val="2"/>
      <scheme val="minor"/>
    </font>
    <font>
      <sz val="11"/>
      <name val="Calibri"/>
      <family val="2"/>
    </font>
    <font>
      <sz val="11"/>
      <color rgb="FF333333"/>
      <name val="Arial"/>
      <family val="2"/>
    </font>
    <font>
      <b/>
      <sz val="12"/>
      <color rgb="FFFFFFFF"/>
      <name val="Calibri"/>
      <family val="2"/>
    </font>
    <font>
      <b/>
      <sz val="11"/>
      <color rgb="FFFFFFFF"/>
      <name val="Calibri"/>
      <family val="2"/>
    </font>
    <font>
      <b/>
      <sz val="20"/>
      <color rgb="FFFFFFFF"/>
      <name val="Calibri"/>
      <family val="2"/>
    </font>
    <font>
      <b/>
      <sz val="14"/>
      <color theme="0"/>
      <name val="Calibri"/>
      <family val="2"/>
    </font>
    <font>
      <b/>
      <sz val="14"/>
      <color theme="0"/>
      <name val="Calibri"/>
      <family val="2"/>
      <scheme val="minor"/>
    </font>
    <font>
      <b/>
      <sz val="18"/>
      <color theme="0"/>
      <name val="Calibri"/>
      <family val="2"/>
      <scheme val="minor"/>
    </font>
    <font>
      <b/>
      <sz val="11"/>
      <name val="Calibri"/>
      <family val="2"/>
    </font>
    <font>
      <sz val="8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173E67"/>
      </patternFill>
    </fill>
    <fill>
      <patternFill patternType="solid">
        <fgColor rgb="FFB64F88"/>
      </patternFill>
    </fill>
    <fill>
      <patternFill patternType="solid">
        <fgColor rgb="FFA9B9CC"/>
      </patternFill>
    </fill>
    <fill>
      <patternFill patternType="solid">
        <fgColor rgb="FFD9E8F5"/>
      </patternFill>
    </fill>
    <fill>
      <patternFill patternType="solid">
        <fgColor rgb="FFEEF4FA"/>
      </patternFill>
    </fill>
    <fill>
      <patternFill patternType="solid">
        <fgColor rgb="FF993366"/>
        <bgColor indexed="64"/>
      </patternFill>
    </fill>
    <fill>
      <patternFill patternType="solid">
        <fgColor theme="0" tint="-0.34998626667073579"/>
        <bgColor indexed="64"/>
      </patternFill>
    </fill>
    <fill>
      <gradientFill degree="90">
        <stop position="0">
          <color theme="0"/>
        </stop>
        <stop position="0.5">
          <color theme="1" tint="0.34900967436750391"/>
        </stop>
        <stop position="1">
          <color theme="0"/>
        </stop>
      </gradientFill>
    </fill>
    <fill>
      <patternFill patternType="solid">
        <fgColor rgb="FFD9EAF7"/>
      </patternFill>
    </fill>
  </fills>
  <borders count="3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rgb="FF222222"/>
      </left>
      <right style="thin">
        <color rgb="FF222222"/>
      </right>
      <top style="thin">
        <color rgb="FF222222"/>
      </top>
      <bottom style="thin">
        <color rgb="FF222222"/>
      </bottom>
      <diagonal/>
    </border>
    <border>
      <left style="thin">
        <color rgb="FF222222"/>
      </left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rgb="FF222222"/>
      </left>
      <right/>
      <top style="thin">
        <color rgb="FF222222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rgb="FF222222"/>
      </top>
      <bottom/>
      <diagonal/>
    </border>
    <border>
      <left/>
      <right style="thin">
        <color rgb="FF222222"/>
      </right>
      <top style="thin">
        <color rgb="FF222222"/>
      </top>
      <bottom/>
      <diagonal/>
    </border>
    <border>
      <left/>
      <right style="thin">
        <color rgb="FF222222"/>
      </right>
      <top/>
      <bottom/>
      <diagonal/>
    </border>
    <border>
      <left style="thin">
        <color rgb="FF222222"/>
      </left>
      <right/>
      <top/>
      <bottom style="thin">
        <color rgb="FF222222"/>
      </bottom>
      <diagonal/>
    </border>
    <border>
      <left/>
      <right style="thin">
        <color rgb="FF222222"/>
      </right>
      <top/>
      <bottom style="thin">
        <color rgb="FF222222"/>
      </bottom>
      <diagonal/>
    </border>
    <border>
      <left style="thin">
        <color indexed="64"/>
      </left>
      <right style="medium">
        <color indexed="64"/>
      </right>
      <top/>
      <bottom/>
      <diagonal/>
    </border>
  </borders>
  <cellStyleXfs count="1">
    <xf numFmtId="0" fontId="0" fillId="0" borderId="0"/>
  </cellStyleXfs>
  <cellXfs count="82">
    <xf numFmtId="0" fontId="0" fillId="0" borderId="0" xfId="0"/>
    <xf numFmtId="0" fontId="0" fillId="0" borderId="1" xfId="0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0" fillId="0" borderId="7" xfId="0" applyBorder="1" applyAlignment="1">
      <alignment horizontal="center" vertical="center" wrapText="1"/>
    </xf>
    <xf numFmtId="15" fontId="0" fillId="0" borderId="6" xfId="0" applyNumberFormat="1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3" borderId="9" xfId="0" applyFill="1" applyBorder="1" applyAlignment="1">
      <alignment horizontal="center" vertical="center" wrapText="1"/>
    </xf>
    <xf numFmtId="0" fontId="0" fillId="3" borderId="0" xfId="0" applyFill="1"/>
    <xf numFmtId="0" fontId="0" fillId="3" borderId="7" xfId="0" applyFill="1" applyBorder="1" applyAlignment="1">
      <alignment horizontal="center" vertical="center" wrapText="1"/>
    </xf>
    <xf numFmtId="0" fontId="2" fillId="0" borderId="14" xfId="0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0" fontId="3" fillId="0" borderId="15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4" fillId="2" borderId="13" xfId="0" applyFont="1" applyFill="1" applyBorder="1" applyAlignment="1">
      <alignment horizontal="center" vertical="center"/>
    </xf>
    <xf numFmtId="15" fontId="0" fillId="0" borderId="12" xfId="0" applyNumberForma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0" fillId="0" borderId="5" xfId="0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0" fillId="3" borderId="0" xfId="0" applyFill="1" applyAlignment="1">
      <alignment wrapText="1"/>
    </xf>
    <xf numFmtId="0" fontId="4" fillId="2" borderId="7" xfId="0" applyFont="1" applyFill="1" applyBorder="1" applyAlignment="1">
      <alignment horizontal="center" vertical="center"/>
    </xf>
    <xf numFmtId="15" fontId="5" fillId="0" borderId="1" xfId="0" applyNumberFormat="1" applyFont="1" applyBorder="1" applyAlignment="1">
      <alignment horizontal="center" vertical="center" wrapText="1"/>
    </xf>
    <xf numFmtId="15" fontId="0" fillId="0" borderId="1" xfId="0" applyNumberFormat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15" fontId="0" fillId="0" borderId="1" xfId="0" applyNumberForma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15" fontId="5" fillId="0" borderId="6" xfId="0" applyNumberFormat="1" applyFont="1" applyBorder="1" applyAlignment="1">
      <alignment horizontal="center" vertical="center" wrapText="1"/>
    </xf>
    <xf numFmtId="15" fontId="5" fillId="0" borderId="7" xfId="0" applyNumberFormat="1" applyFont="1" applyBorder="1" applyAlignment="1">
      <alignment horizontal="center" vertical="center" wrapText="1"/>
    </xf>
    <xf numFmtId="164" fontId="6" fillId="0" borderId="1" xfId="0" applyNumberFormat="1" applyFont="1" applyBorder="1" applyAlignment="1">
      <alignment horizontal="center" vertical="center" wrapText="1"/>
    </xf>
    <xf numFmtId="0" fontId="0" fillId="3" borderId="17" xfId="0" applyFill="1" applyBorder="1" applyAlignment="1">
      <alignment horizontal="center" vertical="center" wrapText="1"/>
    </xf>
    <xf numFmtId="15" fontId="0" fillId="0" borderId="8" xfId="0" applyNumberFormat="1" applyBorder="1" applyAlignment="1">
      <alignment horizontal="center" vertical="center"/>
    </xf>
    <xf numFmtId="0" fontId="7" fillId="0" borderId="0" xfId="0" applyFont="1" applyAlignment="1">
      <alignment vertical="center" wrapText="1"/>
    </xf>
    <xf numFmtId="15" fontId="7" fillId="0" borderId="0" xfId="0" applyNumberFormat="1" applyFont="1" applyAlignment="1">
      <alignment horizontal="center" vertical="center"/>
    </xf>
    <xf numFmtId="0" fontId="0" fillId="4" borderId="1" xfId="0" applyFill="1" applyBorder="1" applyAlignment="1">
      <alignment horizontal="center" vertical="center" wrapText="1"/>
    </xf>
    <xf numFmtId="0" fontId="0" fillId="5" borderId="7" xfId="0" applyFill="1" applyBorder="1" applyAlignment="1">
      <alignment horizontal="center" vertical="center" wrapText="1"/>
    </xf>
    <xf numFmtId="0" fontId="9" fillId="6" borderId="1" xfId="0" applyFont="1" applyFill="1" applyBorder="1" applyAlignment="1">
      <alignment horizontal="center"/>
    </xf>
    <xf numFmtId="0" fontId="2" fillId="0" borderId="21" xfId="0" applyFont="1" applyBorder="1" applyAlignment="1">
      <alignment horizontal="center" vertical="center"/>
    </xf>
    <xf numFmtId="0" fontId="2" fillId="0" borderId="22" xfId="0" applyFont="1" applyBorder="1" applyAlignment="1">
      <alignment horizontal="center" vertical="center"/>
    </xf>
    <xf numFmtId="0" fontId="11" fillId="2" borderId="13" xfId="0" applyFont="1" applyFill="1" applyBorder="1" applyAlignment="1">
      <alignment horizontal="center" vertical="center"/>
    </xf>
    <xf numFmtId="0" fontId="11" fillId="12" borderId="13" xfId="0" applyFont="1" applyFill="1" applyBorder="1" applyAlignment="1">
      <alignment horizontal="center" vertical="center"/>
    </xf>
    <xf numFmtId="0" fontId="11" fillId="12" borderId="5" xfId="0" applyFont="1" applyFill="1" applyBorder="1" applyAlignment="1">
      <alignment horizontal="center" vertical="center"/>
    </xf>
    <xf numFmtId="0" fontId="11" fillId="12" borderId="7" xfId="0" applyFont="1" applyFill="1" applyBorder="1" applyAlignment="1">
      <alignment horizontal="center" vertical="center"/>
    </xf>
    <xf numFmtId="0" fontId="11" fillId="12" borderId="6" xfId="0" applyFont="1" applyFill="1" applyBorder="1" applyAlignment="1">
      <alignment horizontal="center" vertical="center"/>
    </xf>
    <xf numFmtId="0" fontId="11" fillId="12" borderId="10" xfId="0" applyFont="1" applyFill="1" applyBorder="1" applyAlignment="1">
      <alignment horizontal="center" vertical="center"/>
    </xf>
    <xf numFmtId="0" fontId="12" fillId="12" borderId="15" xfId="0" applyFont="1" applyFill="1" applyBorder="1" applyAlignment="1">
      <alignment horizontal="center" vertical="center" wrapText="1"/>
    </xf>
    <xf numFmtId="0" fontId="11" fillId="12" borderId="16" xfId="0" applyFont="1" applyFill="1" applyBorder="1" applyAlignment="1">
      <alignment horizontal="center" vertical="center"/>
    </xf>
    <xf numFmtId="0" fontId="9" fillId="6" borderId="1" xfId="0" applyFont="1" applyFill="1" applyBorder="1" applyAlignment="1">
      <alignment horizontal="center" vertical="center"/>
    </xf>
    <xf numFmtId="0" fontId="0" fillId="9" borderId="1" xfId="0" applyFill="1" applyBorder="1" applyAlignment="1">
      <alignment horizontal="center" vertical="center"/>
    </xf>
    <xf numFmtId="0" fontId="0" fillId="10" borderId="1" xfId="0" applyFill="1" applyBorder="1" applyAlignment="1">
      <alignment horizontal="center" vertical="center"/>
    </xf>
    <xf numFmtId="165" fontId="0" fillId="10" borderId="1" xfId="0" applyNumberFormat="1" applyFill="1" applyBorder="1" applyAlignment="1">
      <alignment horizontal="center" vertical="center"/>
    </xf>
    <xf numFmtId="0" fontId="5" fillId="5" borderId="9" xfId="0" applyFont="1" applyFill="1" applyBorder="1" applyAlignment="1">
      <alignment horizontal="center" vertical="center" wrapText="1"/>
    </xf>
    <xf numFmtId="9" fontId="0" fillId="9" borderId="1" xfId="0" applyNumberFormat="1" applyFill="1" applyBorder="1" applyAlignment="1">
      <alignment horizontal="center" vertical="center"/>
    </xf>
    <xf numFmtId="9" fontId="9" fillId="6" borderId="1" xfId="0" applyNumberFormat="1" applyFont="1" applyFill="1" applyBorder="1" applyAlignment="1">
      <alignment horizontal="center" vertical="center"/>
    </xf>
    <xf numFmtId="0" fontId="14" fillId="14" borderId="0" xfId="0" applyFont="1" applyFill="1"/>
    <xf numFmtId="164" fontId="0" fillId="0" borderId="0" xfId="0" applyNumberFormat="1"/>
    <xf numFmtId="0" fontId="11" fillId="12" borderId="1" xfId="0" applyFont="1" applyFill="1" applyBorder="1" applyAlignment="1">
      <alignment horizontal="center" vertical="center"/>
    </xf>
    <xf numFmtId="15" fontId="6" fillId="0" borderId="12" xfId="0" applyNumberFormat="1" applyFont="1" applyBorder="1" applyAlignment="1">
      <alignment horizontal="center" vertical="center" wrapText="1"/>
    </xf>
    <xf numFmtId="15" fontId="5" fillId="0" borderId="24" xfId="0" applyNumberFormat="1" applyFont="1" applyBorder="1" applyAlignment="1">
      <alignment horizontal="center" vertical="center" wrapText="1"/>
    </xf>
    <xf numFmtId="15" fontId="6" fillId="0" borderId="30" xfId="0" applyNumberFormat="1" applyFont="1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13" fillId="13" borderId="4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4" xfId="0" applyBorder="1"/>
    <xf numFmtId="0" fontId="1" fillId="11" borderId="20" xfId="0" applyFont="1" applyFill="1" applyBorder="1" applyAlignment="1">
      <alignment horizontal="center" vertical="center"/>
    </xf>
    <xf numFmtId="0" fontId="0" fillId="0" borderId="13" xfId="0" applyBorder="1"/>
    <xf numFmtId="0" fontId="1" fillId="11" borderId="1" xfId="0" applyFont="1" applyFill="1" applyBorder="1" applyAlignment="1">
      <alignment horizontal="center" vertical="center"/>
    </xf>
    <xf numFmtId="0" fontId="0" fillId="0" borderId="24" xfId="0" applyBorder="1"/>
    <xf numFmtId="0" fontId="0" fillId="0" borderId="7" xfId="0" applyBorder="1"/>
    <xf numFmtId="0" fontId="1" fillId="11" borderId="5" xfId="0" applyFont="1" applyFill="1" applyBorder="1" applyAlignment="1">
      <alignment horizontal="center" vertical="center"/>
    </xf>
    <xf numFmtId="0" fontId="0" fillId="10" borderId="6" xfId="0" applyFill="1" applyBorder="1" applyAlignment="1">
      <alignment horizontal="center" vertical="center"/>
    </xf>
    <xf numFmtId="0" fontId="9" fillId="6" borderId="6" xfId="0" applyFont="1" applyFill="1" applyBorder="1" applyAlignment="1">
      <alignment horizontal="center" vertical="center"/>
    </xf>
    <xf numFmtId="0" fontId="0" fillId="8" borderId="23" xfId="0" applyFill="1" applyBorder="1" applyAlignment="1">
      <alignment horizontal="center" vertical="center"/>
    </xf>
    <xf numFmtId="0" fontId="0" fillId="0" borderId="25" xfId="0" applyBorder="1"/>
    <xf numFmtId="0" fontId="0" fillId="0" borderId="19" xfId="0" applyBorder="1"/>
    <xf numFmtId="0" fontId="0" fillId="0" borderId="0" xfId="0"/>
    <xf numFmtId="0" fontId="10" fillId="6" borderId="19" xfId="0" applyFont="1" applyFill="1" applyBorder="1" applyAlignment="1">
      <alignment horizontal="center" vertical="center"/>
    </xf>
    <xf numFmtId="0" fontId="0" fillId="8" borderId="18" xfId="0" applyFill="1" applyBorder="1" applyAlignment="1">
      <alignment horizontal="center" vertical="center"/>
    </xf>
    <xf numFmtId="0" fontId="0" fillId="0" borderId="26" xfId="0" applyBorder="1"/>
    <xf numFmtId="0" fontId="0" fillId="0" borderId="27" xfId="0" applyBorder="1"/>
    <xf numFmtId="0" fontId="0" fillId="0" borderId="28" xfId="0" applyBorder="1"/>
    <xf numFmtId="0" fontId="0" fillId="0" borderId="29" xfId="0" applyBorder="1"/>
    <xf numFmtId="0" fontId="8" fillId="7" borderId="18" xfId="0" applyFont="1" applyFill="1" applyBorder="1" applyAlignment="1">
      <alignment horizontal="center" vertical="center"/>
    </xf>
  </cellXfs>
  <cellStyles count="1">
    <cellStyle name="Normal" xfId="0" builtinId="0"/>
  </cellStyles>
  <dxfs count="19">
    <dxf>
      <fill>
        <patternFill>
          <bgColor rgb="FFFF0000"/>
        </patternFill>
      </fill>
    </dxf>
    <dxf>
      <fill>
        <patternFill>
          <bgColor rgb="FF00B050"/>
        </patternFill>
      </fill>
    </dxf>
    <dxf>
      <font>
        <b/>
        <strike val="0"/>
        <condense val="0"/>
        <extend val="0"/>
        <outline val="0"/>
        <shadow val="0"/>
        <vertAlign val="baseline"/>
        <sz val="11"/>
        <color theme="1"/>
        <name val="Calibri"/>
        <family val="2"/>
        <scheme val="minor"/>
      </font>
      <alignment horizontal="center" vertical="center"/>
    </dxf>
    <dxf>
      <font>
        <b/>
        <strike val="0"/>
        <condense val="0"/>
        <extend val="0"/>
        <outline val="0"/>
        <shadow val="0"/>
        <vertAlign val="baseline"/>
        <sz val="11"/>
        <color theme="1"/>
        <name val="Calibri"/>
        <family val="2"/>
        <scheme val="minor"/>
      </font>
      <alignment horizontal="center" vertical="center"/>
      <border>
        <left style="medium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20" formatCode="d\-mmm\-yy"/>
      <alignment horizontal="center" vertical="center"/>
      <border>
        <left style="thin">
          <color indexed="64"/>
        </left>
        <right style="medium">
          <color indexed="64"/>
        </right>
        <top/>
        <bottom style="thin">
          <color indexed="64"/>
        </bottom>
        <vertical/>
        <horizontal/>
      </border>
    </dxf>
    <dxf>
      <alignment horizontal="center" vertical="center"/>
      <border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/>
    </dxf>
    <dxf>
      <alignment horizontal="center" vertical="center"/>
    </dxf>
    <dxf>
      <numFmt numFmtId="20" formatCode="d\-mmm\-yy"/>
      <alignment horizontal="center" vertical="center"/>
      <border>
        <left style="thin">
          <color indexed="64"/>
        </left>
        <right style="medium">
          <color indexed="64"/>
        </right>
        <top/>
        <bottom style="thin">
          <color indexed="64"/>
        </bottom>
        <vertical/>
        <horizontal/>
      </border>
    </dxf>
    <dxf>
      <alignment horizontal="center" vertical="center" wrapText="1"/>
      <border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20" formatCode="d\-mmm\-yy"/>
      <alignment horizontal="center" vertical="center" wrapText="1"/>
      <border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numFmt numFmtId="20" formatCode="d\-mmm\-yy"/>
      <alignment horizontal="center" vertical="center" wrapText="1"/>
      <border>
        <left/>
        <right/>
        <top style="thin">
          <color indexed="64"/>
        </top>
        <bottom style="thin">
          <color indexed="64"/>
        </bottom>
        <vertical/>
        <horizontal/>
      </border>
    </dxf>
    <dxf>
      <numFmt numFmtId="20" formatCode="d\-mmm\-yy"/>
      <alignment horizontal="center" vertical="center"/>
      <border>
        <left style="thin">
          <color indexed="64"/>
        </left>
        <right style="medium">
          <color indexed="64"/>
        </right>
        <top/>
        <bottom style="thin">
          <color indexed="64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12"/>
        <color theme="1"/>
        <name val="Calibri"/>
        <family val="2"/>
        <scheme val="minor"/>
      </font>
      <numFmt numFmtId="20" formatCode="d\-mmm\-yy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wrapText="1"/>
      <border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border outline="0">
        <top style="thin">
          <color indexed="64"/>
        </top>
      </border>
    </dxf>
    <dxf>
      <font>
        <strike val="0"/>
        <outline val="0"/>
        <shadow val="0"/>
        <vertAlign val="baseline"/>
        <sz val="14"/>
        <color theme="0"/>
        <name val="Calibri"/>
        <family val="2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10" Type="http://schemas.openxmlformats.org/officeDocument/2006/relationships/customXml" Target="../customXml/item4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0" i="0" strike="noStrike" kern="1200" cap="all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r>
              <a:rPr lang="en-US" sz="1800" b="0" i="0"/>
              <a:t>MONTHLY RFI OVERVIEW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view3D>
      <c:rotX val="15"/>
      <c:rotY val="20"/>
      <c:rAngAx val="1"/>
    </c:view3D>
    <c:floor>
      <c:thickness val="0"/>
      <c:spPr>
        <a:solidFill>
          <a:schemeClr val="bg2">
            <a:alpha val="27000"/>
            <a:lumMod val="75000"/>
          </a:schemeClr>
        </a:solidFill>
        <a:ln>
          <a:noFill/>
          <a:prstDash val="solid"/>
        </a:ln>
        <a:sp3d/>
      </c:spPr>
    </c:floor>
    <c:sideWall>
      <c:thickness val="0"/>
      <c:spPr>
        <a:noFill/>
        <a:ln>
          <a:noFill/>
          <a:prstDash val="solid"/>
        </a:ln>
        <a:sp3d/>
      </c:spPr>
    </c:sideWall>
    <c:backWall>
      <c:thickness val="0"/>
      <c:spPr>
        <a:noFill/>
        <a:ln>
          <a:noFill/>
          <a:prstDash val="solid"/>
        </a:ln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Dashboard!$C$19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>
                <a:alpha val="88000"/>
              </a:schemeClr>
            </a:solidFill>
            <a:ln>
              <a:solidFill>
                <a:schemeClr val="accent1">
                  <a:lumMod val="50000"/>
                </a:schemeClr>
              </a:solidFill>
              <a:prstDash val="solid"/>
            </a:ln>
            <a:sp3d prstMaterial="flat"/>
          </c:spPr>
          <c:invertIfNegative val="0"/>
          <c:dLbls>
            <c:spPr>
              <a:solidFill>
                <a:srgbClr val="5B9BD5"/>
              </a:solidFill>
              <a:ln>
                <a:solidFill>
                  <a:sysClr val="window" lastClr="FFFFFF">
                    <a:alpha val="50000"/>
                  </a:sysClr>
                </a:solidFill>
                <a:prstDash val="solid"/>
                <a:round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Dashboard!$B$20:$B$24</c:f>
              <c:numCache>
                <c:formatCode>mmm\ yyyy</c:formatCode>
                <c:ptCount val="5"/>
                <c:pt idx="0">
                  <c:v>46174</c:v>
                </c:pt>
                <c:pt idx="1">
                  <c:v>46204</c:v>
                </c:pt>
                <c:pt idx="2">
                  <c:v>46235</c:v>
                </c:pt>
                <c:pt idx="3">
                  <c:v>46266</c:v>
                </c:pt>
                <c:pt idx="4">
                  <c:v>46296</c:v>
                </c:pt>
              </c:numCache>
            </c:numRef>
          </c:cat>
          <c:val>
            <c:numRef>
              <c:f>Dashboard!$C$20:$C$24</c:f>
              <c:numCache>
                <c:formatCode>General</c:formatCode>
                <c:ptCount val="5"/>
                <c:pt idx="0">
                  <c:v>6</c:v>
                </c:pt>
                <c:pt idx="1">
                  <c:v>9</c:v>
                </c:pt>
                <c:pt idx="2">
                  <c:v>21</c:v>
                </c:pt>
                <c:pt idx="3">
                  <c:v>41</c:v>
                </c:pt>
                <c:pt idx="4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815-4315-8C9A-C7FAA4ABD1F7}"/>
            </c:ext>
          </c:extLst>
        </c:ser>
        <c:ser>
          <c:idx val="1"/>
          <c:order val="1"/>
          <c:tx>
            <c:strRef>
              <c:f>Dashboard!$D$19</c:f>
              <c:strCache>
                <c:ptCount val="1"/>
                <c:pt idx="0">
                  <c:v>Pending</c:v>
                </c:pt>
              </c:strCache>
            </c:strRef>
          </c:tx>
          <c:spPr>
            <a:solidFill>
              <a:schemeClr val="accent2">
                <a:alpha val="88000"/>
              </a:schemeClr>
            </a:solidFill>
            <a:ln>
              <a:solidFill>
                <a:schemeClr val="accent2">
                  <a:lumMod val="50000"/>
                </a:schemeClr>
              </a:solidFill>
              <a:prstDash val="solid"/>
            </a:ln>
            <a:sp3d prstMaterial="flat"/>
          </c:spPr>
          <c:invertIfNegative val="0"/>
          <c:dLbls>
            <c:spPr>
              <a:solidFill>
                <a:srgbClr val="ED7D31"/>
              </a:solidFill>
              <a:ln>
                <a:solidFill>
                  <a:sysClr val="window" lastClr="FFFFFF">
                    <a:alpha val="50000"/>
                  </a:sysClr>
                </a:solidFill>
                <a:prstDash val="solid"/>
                <a:round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Dashboard!$B$20:$B$24</c:f>
              <c:numCache>
                <c:formatCode>mmm\ yyyy</c:formatCode>
                <c:ptCount val="5"/>
                <c:pt idx="0">
                  <c:v>46174</c:v>
                </c:pt>
                <c:pt idx="1">
                  <c:v>46204</c:v>
                </c:pt>
                <c:pt idx="2">
                  <c:v>46235</c:v>
                </c:pt>
                <c:pt idx="3">
                  <c:v>46266</c:v>
                </c:pt>
                <c:pt idx="4">
                  <c:v>46296</c:v>
                </c:pt>
              </c:numCache>
            </c:numRef>
          </c:cat>
          <c:val>
            <c:numRef>
              <c:f>Dashboard!$D$20:$D$24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815-4315-8C9A-C7FAA4ABD1F7}"/>
            </c:ext>
          </c:extLst>
        </c:ser>
        <c:ser>
          <c:idx val="2"/>
          <c:order val="2"/>
          <c:tx>
            <c:strRef>
              <c:f>Dashboard!$E$19</c:f>
              <c:strCache>
                <c:ptCount val="1"/>
                <c:pt idx="0">
                  <c:v>Responded</c:v>
                </c:pt>
              </c:strCache>
            </c:strRef>
          </c:tx>
          <c:spPr>
            <a:solidFill>
              <a:schemeClr val="accent3">
                <a:alpha val="88000"/>
              </a:schemeClr>
            </a:solidFill>
            <a:ln>
              <a:solidFill>
                <a:schemeClr val="accent3">
                  <a:lumMod val="50000"/>
                </a:schemeClr>
              </a:solidFill>
              <a:prstDash val="solid"/>
            </a:ln>
            <a:sp3d prstMaterial="flat"/>
          </c:spPr>
          <c:invertIfNegative val="0"/>
          <c:dLbls>
            <c:spPr>
              <a:solidFill>
                <a:srgbClr val="A5A5A5"/>
              </a:solidFill>
              <a:ln>
                <a:solidFill>
                  <a:sysClr val="window" lastClr="FFFFFF">
                    <a:alpha val="50000"/>
                  </a:sysClr>
                </a:solidFill>
                <a:prstDash val="solid"/>
                <a:round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Dashboard!$B$20:$B$24</c:f>
              <c:numCache>
                <c:formatCode>mmm\ yyyy</c:formatCode>
                <c:ptCount val="5"/>
                <c:pt idx="0">
                  <c:v>46174</c:v>
                </c:pt>
                <c:pt idx="1">
                  <c:v>46204</c:v>
                </c:pt>
                <c:pt idx="2">
                  <c:v>46235</c:v>
                </c:pt>
                <c:pt idx="3">
                  <c:v>46266</c:v>
                </c:pt>
                <c:pt idx="4">
                  <c:v>46296</c:v>
                </c:pt>
              </c:numCache>
            </c:numRef>
          </c:cat>
          <c:val>
            <c:numRef>
              <c:f>Dashboard!$E$20:$E$24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815-4315-8C9A-C7FAA4ABD1F7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84"/>
        <c:gapDepth val="53"/>
        <c:shape val="box"/>
        <c:axId val="1091398240"/>
        <c:axId val="729715600"/>
        <c:axId val="0"/>
      </c:bar3DChart>
      <c:dateAx>
        <c:axId val="1091398240"/>
        <c:scaling>
          <c:orientation val="minMax"/>
        </c:scaling>
        <c:delete val="0"/>
        <c:axPos val="b"/>
        <c:numFmt formatCode="mmm\ yyyy" sourceLinked="1"/>
        <c:majorTickMark val="out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29715600"/>
        <c:crosses val="autoZero"/>
        <c:auto val="1"/>
        <c:lblOffset val="100"/>
        <c:baseTimeUnit val="months"/>
      </c:dateAx>
      <c:valAx>
        <c:axId val="729715600"/>
        <c:scaling>
          <c:orientation val="minMax"/>
        </c:scaling>
        <c:delete val="1"/>
        <c:axPos val="l"/>
        <c:majorGridlines>
          <c:spPr>
            <a:ln w="9525">
              <a:solidFill>
                <a:schemeClr val="lt1">
                  <a:lumMod val="50000"/>
                </a:schemeClr>
              </a:solidFill>
              <a:prstDash val="solid"/>
            </a:ln>
          </c:spPr>
        </c:majorGridlines>
        <c:numFmt formatCode="General" sourceLinked="1"/>
        <c:majorTickMark val="out"/>
        <c:minorTickMark val="none"/>
        <c:tickLblPos val="nextTo"/>
        <c:crossAx val="1091398240"/>
        <c:crosses val="autoZero"/>
        <c:crossBetween val="between"/>
      </c:valAx>
    </c:plotArea>
    <c:legend>
      <c:legendPos val="r"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lt1">
                  <a:lumMod val="7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chemeClr val="dk1">
        <a:lumMod val="75000"/>
        <a:lumOff val="25000"/>
      </a:schemeClr>
    </a:solidFill>
    <a:ln w="6350" cap="flat" cmpd="sng" algn="ctr">
      <a:solidFill>
        <a:schemeClr val="dk1">
          <a:tint val="7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Discipline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stacked"/>
        <c:varyColors val="0"/>
        <c:ser>
          <c:idx val="1"/>
          <c:order val="0"/>
          <c:tx>
            <c:strRef>
              <c:f>Dashboard!$D$26</c:f>
              <c:strCache>
                <c:ptCount val="1"/>
                <c:pt idx="0">
                  <c:v>Pending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Dashboard!$B$27:$B$31</c:f>
              <c:strCache>
                <c:ptCount val="5"/>
                <c:pt idx="0">
                  <c:v>Architectural</c:v>
                </c:pt>
                <c:pt idx="1">
                  <c:v>Structural</c:v>
                </c:pt>
                <c:pt idx="2">
                  <c:v>Mechanical</c:v>
                </c:pt>
                <c:pt idx="3">
                  <c:v>Electrical</c:v>
                </c:pt>
                <c:pt idx="4">
                  <c:v>General</c:v>
                </c:pt>
              </c:strCache>
            </c:strRef>
          </c:cat>
          <c:val>
            <c:numRef>
              <c:f>Dashboard!$D$27:$D$31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07F-4266-BF28-DD3E4C9ACF7E}"/>
            </c:ext>
          </c:extLst>
        </c:ser>
        <c:ser>
          <c:idx val="2"/>
          <c:order val="1"/>
          <c:tx>
            <c:strRef>
              <c:f>Dashboard!$E$26</c:f>
              <c:strCache>
                <c:ptCount val="1"/>
                <c:pt idx="0">
                  <c:v>Responded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Dashboard!$B$27:$B$31</c:f>
              <c:strCache>
                <c:ptCount val="5"/>
                <c:pt idx="0">
                  <c:v>Architectural</c:v>
                </c:pt>
                <c:pt idx="1">
                  <c:v>Structural</c:v>
                </c:pt>
                <c:pt idx="2">
                  <c:v>Mechanical</c:v>
                </c:pt>
                <c:pt idx="3">
                  <c:v>Electrical</c:v>
                </c:pt>
                <c:pt idx="4">
                  <c:v>General</c:v>
                </c:pt>
              </c:strCache>
            </c:strRef>
          </c:cat>
          <c:val>
            <c:numRef>
              <c:f>Dashboard!$E$27:$E$31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07F-4266-BF28-DD3E4C9ACF7E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975697056"/>
        <c:axId val="1412488272"/>
      </c:barChart>
      <c:catAx>
        <c:axId val="97569705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12488272"/>
        <c:crosses val="autoZero"/>
        <c:auto val="1"/>
        <c:lblAlgn val="ctr"/>
        <c:lblOffset val="100"/>
        <c:noMultiLvlLbl val="0"/>
      </c:catAx>
      <c:valAx>
        <c:axId val="141248827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756970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1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strike="noStrike" kern="1200" spc="100" baseline="0">
                <a:solidFill>
                  <a:schemeClr val="lt1">
                    <a:lumMod val="9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Status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doughnut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tint val="94000"/>
                      <a:satMod val="103000"/>
                      <a:lumMod val="102000"/>
                    </a:schemeClr>
                  </a:gs>
                  <a:gs pos="50000">
                    <a:schemeClr val="accent1">
                      <a:shade val="100000"/>
                      <a:satMod val="110000"/>
                      <a:lumMod val="100000"/>
                    </a:schemeClr>
                  </a:gs>
                  <a:gs pos="100000">
                    <a:schemeClr val="accent1">
                      <a:shade val="78000"/>
                      <a:satMod val="120000"/>
                      <a:lumMod val="99000"/>
                    </a:schemeClr>
                  </a:gs>
                </a:gsLst>
                <a:lin ang="5400000" scaled="0"/>
              </a:gradFill>
              <a:ln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F3F9-48B9-AA78-CCFD43A90BB0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tint val="94000"/>
                      <a:satMod val="103000"/>
                      <a:lumMod val="102000"/>
                    </a:schemeClr>
                  </a:gs>
                  <a:gs pos="50000">
                    <a:schemeClr val="accent2">
                      <a:shade val="100000"/>
                      <a:satMod val="110000"/>
                      <a:lumMod val="100000"/>
                    </a:schemeClr>
                  </a:gs>
                  <a:gs pos="100000">
                    <a:schemeClr val="accent2">
                      <a:shade val="78000"/>
                      <a:satMod val="120000"/>
                      <a:lumMod val="99000"/>
                    </a:schemeClr>
                  </a:gs>
                </a:gsLst>
                <a:lin ang="5400000" scaled="0"/>
              </a:gradFill>
              <a:ln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F3F9-48B9-AA78-CCFD43A90BB0}"/>
              </c:ext>
            </c:extLst>
          </c:dPt>
          <c:dLbls>
            <c:spPr>
              <a:noFill/>
              <a:ln>
                <a:noFill/>
                <a:prstDash val="solid"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(Dashboard!$D$5,Dashboard!$F$5)</c:f>
              <c:strCache>
                <c:ptCount val="2"/>
                <c:pt idx="0">
                  <c:v>PENDING</c:v>
                </c:pt>
                <c:pt idx="1">
                  <c:v>RESPONDED</c:v>
                </c:pt>
              </c:strCache>
            </c:strRef>
          </c:cat>
          <c:val>
            <c:numRef>
              <c:f>(Dashboard!$D$6,Dashboard!$F$6)</c:f>
              <c:numCache>
                <c:formatCode>General</c:formatCode>
                <c:ptCount val="2"/>
              </c:numCache>
            </c:numRef>
          </c:val>
          <c:extLst>
            <c:ext xmlns:c16="http://schemas.microsoft.com/office/drawing/2014/chart" uri="{C3380CC4-5D6E-409C-BE32-E72D297353CC}">
              <c16:uniqueId val="{00000004-F3F9-48B9-AA78-CCFD43A90BB0}"/>
            </c:ext>
          </c:extLst>
        </c:ser>
        <c:ser>
          <c:idx val="1"/>
          <c:order val="1"/>
          <c:spPr>
            <a:ln>
              <a:prstDash val="solid"/>
            </a:ln>
          </c:spPr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tint val="94000"/>
                      <a:satMod val="103000"/>
                      <a:lumMod val="102000"/>
                    </a:schemeClr>
                  </a:gs>
                  <a:gs pos="50000">
                    <a:schemeClr val="accent1">
                      <a:shade val="100000"/>
                      <a:satMod val="110000"/>
                      <a:lumMod val="100000"/>
                    </a:schemeClr>
                  </a:gs>
                  <a:gs pos="100000">
                    <a:schemeClr val="accent1">
                      <a:shade val="78000"/>
                      <a:satMod val="120000"/>
                      <a:lumMod val="99000"/>
                    </a:schemeClr>
                  </a:gs>
                </a:gsLst>
                <a:lin ang="5400000" scaled="0"/>
              </a:gradFill>
              <a:ln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6-F3F9-48B9-AA78-CCFD43A90BB0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tint val="94000"/>
                      <a:satMod val="103000"/>
                      <a:lumMod val="102000"/>
                    </a:schemeClr>
                  </a:gs>
                  <a:gs pos="50000">
                    <a:schemeClr val="accent2">
                      <a:shade val="100000"/>
                      <a:satMod val="110000"/>
                      <a:lumMod val="100000"/>
                    </a:schemeClr>
                  </a:gs>
                  <a:gs pos="100000">
                    <a:schemeClr val="accent2">
                      <a:shade val="78000"/>
                      <a:satMod val="120000"/>
                      <a:lumMod val="99000"/>
                    </a:schemeClr>
                  </a:gs>
                </a:gsLst>
                <a:lin ang="5400000" scaled="0"/>
              </a:gradFill>
              <a:ln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8-F3F9-48B9-AA78-CCFD43A90BB0}"/>
              </c:ext>
            </c:extLst>
          </c:dPt>
          <c:dLbls>
            <c:spPr>
              <a:noFill/>
              <a:ln>
                <a:noFill/>
                <a:prstDash val="solid"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strike="noStrike" kern="1200" spc="0" baseline="0">
                    <a:ln w="0">
                      <a:solidFill>
                        <a:schemeClr val="bg1"/>
                      </a:solidFill>
                      <a:prstDash val="solid"/>
                    </a:ln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(Dashboard!$D$5,Dashboard!$F$5)</c:f>
              <c:strCache>
                <c:ptCount val="2"/>
                <c:pt idx="0">
                  <c:v>PENDING</c:v>
                </c:pt>
                <c:pt idx="1">
                  <c:v>RESPONDED</c:v>
                </c:pt>
              </c:strCache>
            </c:strRef>
          </c:cat>
          <c:val>
            <c:numRef>
              <c:f>(Dashboard!$D$7,Dashboard!$F$7)</c:f>
              <c:numCache>
                <c:formatCode>General</c:formatCode>
                <c:ptCount val="2"/>
                <c:pt idx="0">
                  <c:v>35</c:v>
                </c:pt>
                <c:pt idx="1">
                  <c:v>61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F3F9-48B9-AA78-CCFD43A90BB0}"/>
            </c:ext>
          </c:extLst>
        </c:ser>
        <c:ser>
          <c:idx val="2"/>
          <c:order val="2"/>
          <c:spPr>
            <a:ln>
              <a:prstDash val="solid"/>
            </a:ln>
          </c:spPr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tint val="94000"/>
                      <a:satMod val="103000"/>
                      <a:lumMod val="102000"/>
                    </a:schemeClr>
                  </a:gs>
                  <a:gs pos="50000">
                    <a:schemeClr val="accent1">
                      <a:shade val="100000"/>
                      <a:satMod val="110000"/>
                      <a:lumMod val="100000"/>
                    </a:schemeClr>
                  </a:gs>
                  <a:gs pos="100000">
                    <a:schemeClr val="accent1">
                      <a:shade val="78000"/>
                      <a:satMod val="120000"/>
                      <a:lumMod val="99000"/>
                    </a:schemeClr>
                  </a:gs>
                </a:gsLst>
                <a:lin ang="5400000" scaled="0"/>
              </a:gradFill>
              <a:ln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B-F3F9-48B9-AA78-CCFD43A90BB0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tint val="94000"/>
                      <a:satMod val="103000"/>
                      <a:lumMod val="102000"/>
                    </a:schemeClr>
                  </a:gs>
                  <a:gs pos="50000">
                    <a:schemeClr val="accent2">
                      <a:shade val="100000"/>
                      <a:satMod val="110000"/>
                      <a:lumMod val="100000"/>
                    </a:schemeClr>
                  </a:gs>
                  <a:gs pos="100000">
                    <a:schemeClr val="accent2">
                      <a:shade val="78000"/>
                      <a:satMod val="120000"/>
                      <a:lumMod val="99000"/>
                    </a:schemeClr>
                  </a:gs>
                </a:gsLst>
                <a:lin ang="5400000" scaled="0"/>
              </a:gradFill>
              <a:ln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D-F3F9-48B9-AA78-CCFD43A90BB0}"/>
              </c:ext>
            </c:extLst>
          </c:dPt>
          <c:dLbls>
            <c:spPr>
              <a:noFill/>
              <a:ln>
                <a:noFill/>
                <a:prstDash val="solid"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(Dashboard!$D$5,Dashboard!$F$5)</c:f>
              <c:strCache>
                <c:ptCount val="2"/>
                <c:pt idx="0">
                  <c:v>PENDING</c:v>
                </c:pt>
                <c:pt idx="1">
                  <c:v>RESPONDED</c:v>
                </c:pt>
              </c:strCache>
            </c:strRef>
          </c:cat>
          <c:val>
            <c:numRef>
              <c:f>(Dashboard!$D$8,Dashboard!$F$8)</c:f>
              <c:numCache>
                <c:formatCode>General</c:formatCode>
                <c:ptCount val="2"/>
              </c:numCache>
            </c:numRef>
          </c:val>
          <c:extLst>
            <c:ext xmlns:c16="http://schemas.microsoft.com/office/drawing/2014/chart" uri="{C3380CC4-5D6E-409C-BE32-E72D297353CC}">
              <c16:uniqueId val="{0000000E-F3F9-48B9-AA78-CCFD43A90BB0}"/>
            </c:ext>
          </c:extLst>
        </c:ser>
        <c:ser>
          <c:idx val="3"/>
          <c:order val="3"/>
          <c:spPr>
            <a:ln>
              <a:prstDash val="solid"/>
            </a:ln>
          </c:spPr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tint val="94000"/>
                      <a:satMod val="103000"/>
                      <a:lumMod val="102000"/>
                    </a:schemeClr>
                  </a:gs>
                  <a:gs pos="50000">
                    <a:schemeClr val="accent1">
                      <a:shade val="100000"/>
                      <a:satMod val="110000"/>
                      <a:lumMod val="100000"/>
                    </a:schemeClr>
                  </a:gs>
                  <a:gs pos="100000">
                    <a:schemeClr val="accent1">
                      <a:shade val="78000"/>
                      <a:satMod val="120000"/>
                      <a:lumMod val="99000"/>
                    </a:schemeClr>
                  </a:gs>
                </a:gsLst>
                <a:lin ang="5400000" scaled="0"/>
              </a:gradFill>
              <a:ln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0-F3F9-48B9-AA78-CCFD43A90BB0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tint val="94000"/>
                      <a:satMod val="103000"/>
                      <a:lumMod val="102000"/>
                    </a:schemeClr>
                  </a:gs>
                  <a:gs pos="50000">
                    <a:schemeClr val="accent2">
                      <a:shade val="100000"/>
                      <a:satMod val="110000"/>
                      <a:lumMod val="100000"/>
                    </a:schemeClr>
                  </a:gs>
                  <a:gs pos="100000">
                    <a:schemeClr val="accent2">
                      <a:shade val="78000"/>
                      <a:satMod val="120000"/>
                      <a:lumMod val="99000"/>
                    </a:schemeClr>
                  </a:gs>
                </a:gsLst>
                <a:lin ang="5400000" scaled="0"/>
              </a:gradFill>
              <a:ln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2-F3F9-48B9-AA78-CCFD43A90BB0}"/>
              </c:ext>
            </c:extLst>
          </c:dPt>
          <c:dLbls>
            <c:spPr>
              <a:noFill/>
              <a:ln>
                <a:noFill/>
                <a:prstDash val="solid"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(Dashboard!$D$5,Dashboard!$F$5)</c:f>
              <c:strCache>
                <c:ptCount val="2"/>
                <c:pt idx="0">
                  <c:v>PENDING</c:v>
                </c:pt>
                <c:pt idx="1">
                  <c:v>RESPONDED</c:v>
                </c:pt>
              </c:strCache>
            </c:strRef>
          </c:cat>
          <c:val>
            <c:numRef>
              <c:f>(Dashboard!$D$9,Dashboard!$F$9)</c:f>
              <c:numCache>
                <c:formatCode>General</c:formatCode>
                <c:ptCount val="2"/>
              </c:numCache>
            </c:numRef>
          </c:val>
          <c:extLst>
            <c:ext xmlns:c16="http://schemas.microsoft.com/office/drawing/2014/chart" uri="{C3380CC4-5D6E-409C-BE32-E72D297353CC}">
              <c16:uniqueId val="{00000013-F3F9-48B9-AA78-CCFD43A90BB0}"/>
            </c:ext>
          </c:extLst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  <c:holeSize val="75"/>
      </c:doughnutChart>
    </c:plotArea>
    <c:legend>
      <c:legendPos val="b"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1"/>
  </c:chart>
  <c:spPr>
    <a:gradFill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  <a:prstDash val="solid"/>
    </a:ln>
  </c:sp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04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microsoft.com/office/2007/relationships/hdphoto" Target="../media/hdphoto1.wdp"/><Relationship Id="rId1" Type="http://schemas.openxmlformats.org/officeDocument/2006/relationships/image" Target="../media/image1.png"/><Relationship Id="rId5" Type="http://schemas.openxmlformats.org/officeDocument/2006/relationships/image" Target="../media/image3.png"/><Relationship Id="rId4" Type="http://schemas.microsoft.com/office/2007/relationships/hdphoto" Target="../media/hdphoto2.wdp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162877</xdr:colOff>
      <xdr:row>11</xdr:row>
      <xdr:rowOff>88582</xdr:rowOff>
    </xdr:from>
    <xdr:to>
      <xdr:col>11</xdr:col>
      <xdr:colOff>538370</xdr:colOff>
      <xdr:row>21</xdr:row>
      <xdr:rowOff>17145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191825</xdr:colOff>
      <xdr:row>1</xdr:row>
      <xdr:rowOff>28658</xdr:rowOff>
    </xdr:from>
    <xdr:to>
      <xdr:col>11</xdr:col>
      <xdr:colOff>513522</xdr:colOff>
      <xdr:row>10</xdr:row>
      <xdr:rowOff>242017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162588</xdr:colOff>
      <xdr:row>21</xdr:row>
      <xdr:rowOff>116785</xdr:rowOff>
    </xdr:from>
    <xdr:to>
      <xdr:col>11</xdr:col>
      <xdr:colOff>531496</xdr:colOff>
      <xdr:row>31</xdr:row>
      <xdr:rowOff>75869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485663</xdr:colOff>
      <xdr:row>0</xdr:row>
      <xdr:rowOff>149487</xdr:rowOff>
    </xdr:from>
    <xdr:to>
      <xdr:col>3</xdr:col>
      <xdr:colOff>100853</xdr:colOff>
      <xdr:row>1</xdr:row>
      <xdr:rowOff>533128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928F356-B22D-41EB-916B-7C92DBF913F0}"/>
            </a:ext>
          </a:extLst>
        </xdr:cNvPr>
        <xdr:cNvPicPr/>
      </xdr:nvPicPr>
      <xdr:blipFill>
        <a:blip xmlns:r="http://schemas.openxmlformats.org/officeDocument/2006/relationships" r:embed="rId1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duotone>
            <a:prstClr val="black"/>
            <a:schemeClr val="bg1">
              <a:tint val="45000"/>
              <a:satMod val="400000"/>
            </a:schemeClr>
          </a:duotone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colorTemperature colorTemp="5900"/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485663" y="149487"/>
          <a:ext cx="2296982" cy="865494"/>
        </a:xfrm>
        <a:prstGeom prst="rect">
          <a:avLst/>
        </a:prstGeom>
        <a:solidFill>
          <a:srgbClr val="FFFFFF">
            <a:shade val="85000"/>
          </a:srgbClr>
        </a:solidFill>
        <a:ln w="38100" cap="sq">
          <a:solidFill>
            <a:schemeClr val="bg2">
              <a:lumMod val="10000"/>
            </a:schemeClr>
          </a:solidFill>
          <a:miter lim="800000"/>
        </a:ln>
        <a:effectLst>
          <a:outerShdw blurRad="107950" dist="12700" dir="5400000" algn="ctr">
            <a:srgbClr val="000000"/>
          </a:outerShdw>
        </a:effectLst>
        <a:scene3d>
          <a:camera prst="orthographicFront">
            <a:rot lat="0" lon="0" rev="0"/>
          </a:camera>
          <a:lightRig rig="soft" dir="t">
            <a:rot lat="0" lon="0" rev="0"/>
          </a:lightRig>
        </a:scene3d>
        <a:sp3d contourW="44450" prstMaterial="matte">
          <a:bevelT w="165100" prst="coolSlant"/>
          <a:contourClr>
            <a:srgbClr val="FFFFFF"/>
          </a:contourClr>
        </a:sp3d>
      </xdr:spPr>
    </xdr:pic>
    <xdr:clientData/>
  </xdr:twoCellAnchor>
  <xdr:twoCellAnchor editAs="oneCell">
    <xdr:from>
      <xdr:col>3</xdr:col>
      <xdr:colOff>819935</xdr:colOff>
      <xdr:row>0</xdr:row>
      <xdr:rowOff>78441</xdr:rowOff>
    </xdr:from>
    <xdr:to>
      <xdr:col>4</xdr:col>
      <xdr:colOff>703871</xdr:colOff>
      <xdr:row>1</xdr:row>
      <xdr:rowOff>627304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1B89DC9-D886-42B6-B465-581D06EB047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 r:embed="rId4">
                  <a14:imgEffect>
                    <a14:saturation sat="200000"/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3655023" y="78441"/>
          <a:ext cx="2560461" cy="1044051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12</xdr:col>
      <xdr:colOff>56029</xdr:colOff>
      <xdr:row>0</xdr:row>
      <xdr:rowOff>224117</xdr:rowOff>
    </xdr:from>
    <xdr:to>
      <xdr:col>13</xdr:col>
      <xdr:colOff>358587</xdr:colOff>
      <xdr:row>1</xdr:row>
      <xdr:rowOff>536200</xdr:rowOff>
    </xdr:to>
    <xdr:pic>
      <xdr:nvPicPr>
        <xdr:cNvPr id="4" name="Picture 3" descr="Hill International - Wikipedia">
          <a:extLst>
            <a:ext uri="{FF2B5EF4-FFF2-40B4-BE49-F238E27FC236}">
              <a16:creationId xmlns:a16="http://schemas.microsoft.com/office/drawing/2014/main" id="{6ED86394-F0C9-404F-9032-61A405C75D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16651941" y="224117"/>
          <a:ext cx="2140099" cy="793936"/>
        </a:xfrm>
        <a:prstGeom prst="rect">
          <a:avLst/>
        </a:prstGeom>
        <a:noFill/>
        <a:ln w="6350">
          <a:solidFill>
            <a:schemeClr val="tx1">
              <a:lumMod val="85000"/>
              <a:lumOff val="15000"/>
            </a:schemeClr>
          </a:solidFill>
          <a:prstDash val="solid"/>
        </a:ln>
        <a:effectLst>
          <a:glow rad="139700">
            <a:schemeClr val="bg2">
              <a:lumMod val="75000"/>
              <a:alpha val="40000"/>
            </a:schemeClr>
          </a:glow>
          <a:outerShdw blurRad="50800" dist="38100" dir="13500000" algn="br" rotWithShape="0">
            <a:prstClr val="black">
              <a:alpha val="40000"/>
            </a:prstClr>
          </a:outerShdw>
        </a:effectLst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B4:P100" totalsRowShown="0" headerRowDxfId="18" tableBorderDxfId="17">
  <autoFilter ref="B4:P100" xr:uid="{00000000-0009-0000-0100-000001000000}"/>
  <tableColumns count="15">
    <tableColumn id="1" xr3:uid="{00000000-0010-0000-0000-000001000000}" name="Mail No" dataDxfId="16"/>
    <tableColumn id="2" xr3:uid="{00000000-0010-0000-0000-000002000000}" name="REV" dataDxfId="15"/>
    <tableColumn id="3" xr3:uid="{00000000-0010-0000-0000-000003000000}" name="RFI No" dataDxfId="14"/>
    <tableColumn id="4" xr3:uid="{00000000-0010-0000-0000-000004000000}" name="Subject" dataDxfId="13"/>
    <tableColumn id="5" xr3:uid="{00000000-0010-0000-0000-000005000000}" name="Date" dataDxfId="12"/>
    <tableColumn id="6" xr3:uid="{00000000-0010-0000-0000-000006000000}" name="Mail No2" dataDxfId="11"/>
    <tableColumn id="7" xr3:uid="{00000000-0010-0000-0000-000007000000}" name="Date3" dataDxfId="10"/>
    <tableColumn id="8" xr3:uid="{00000000-0010-0000-0000-000008000000}" name="Mail No4" dataDxfId="9"/>
    <tableColumn id="9" xr3:uid="{00000000-0010-0000-0000-000009000000}" name="Date5" dataDxfId="8"/>
    <tableColumn id="10" xr3:uid="{00000000-0010-0000-0000-00000A000000}" name="Mail No6" dataDxfId="7"/>
    <tableColumn id="11" xr3:uid="{00000000-0010-0000-0000-00000B000000}" name="Date7" dataDxfId="6"/>
    <tableColumn id="12" xr3:uid="{00000000-0010-0000-0000-00000C000000}" name="Mail No8" dataDxfId="5"/>
    <tableColumn id="13" xr3:uid="{00000000-0010-0000-0000-00000D000000}" name="Date9" dataDxfId="4"/>
    <tableColumn id="14" xr3:uid="{00000000-0010-0000-0000-00000E000000}" name="Status" dataDxfId="3"/>
    <tableColumn id="15" xr3:uid="{00000000-0010-0000-0000-00000F000000}" name="Notes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G34"/>
  <sheetViews>
    <sheetView showGridLines="0" tabSelected="1" zoomScaleNormal="100" workbookViewId="0">
      <pane ySplit="1" topLeftCell="A2" activePane="bottomLeft" state="frozen"/>
      <selection pane="bottomLeft" activeCell="Q17" sqref="Q17"/>
    </sheetView>
  </sheetViews>
  <sheetFormatPr defaultRowHeight="14.4" x14ac:dyDescent="0.3"/>
  <cols>
    <col min="1" max="1" width="3" customWidth="1"/>
    <col min="2" max="2" width="14" customWidth="1"/>
    <col min="3" max="3" width="12.88671875" customWidth="1"/>
    <col min="4" max="6" width="14" customWidth="1"/>
    <col min="7" max="7" width="4" customWidth="1"/>
    <col min="8" max="13" width="14" customWidth="1"/>
    <col min="14" max="14" width="3" customWidth="1"/>
  </cols>
  <sheetData>
    <row r="1" spans="2:7" ht="19.95" customHeight="1" x14ac:dyDescent="0.3"/>
    <row r="2" spans="2:7" ht="19.95" customHeight="1" x14ac:dyDescent="0.3">
      <c r="B2" s="75" t="s">
        <v>0</v>
      </c>
      <c r="C2" s="74"/>
      <c r="D2" s="74"/>
      <c r="E2" s="74"/>
      <c r="F2" s="74"/>
      <c r="G2" s="74"/>
    </row>
    <row r="3" spans="2:7" ht="19.95" customHeight="1" x14ac:dyDescent="0.3">
      <c r="B3" s="73"/>
      <c r="C3" s="74"/>
      <c r="D3" s="74"/>
      <c r="E3" s="74"/>
      <c r="F3" s="74"/>
      <c r="G3" s="74"/>
    </row>
    <row r="4" spans="2:7" ht="19.95" customHeight="1" x14ac:dyDescent="0.3">
      <c r="B4" s="73"/>
      <c r="C4" s="74"/>
      <c r="D4" s="74"/>
      <c r="E4" s="74"/>
      <c r="F4" s="74"/>
      <c r="G4" s="74"/>
    </row>
    <row r="5" spans="2:7" ht="19.95" customHeight="1" x14ac:dyDescent="0.3">
      <c r="B5" s="81" t="s">
        <v>1</v>
      </c>
      <c r="C5" s="77"/>
      <c r="D5" s="81" t="s">
        <v>2</v>
      </c>
      <c r="E5" s="77"/>
      <c r="F5" s="81" t="s">
        <v>3</v>
      </c>
      <c r="G5" s="77"/>
    </row>
    <row r="6" spans="2:7" ht="19.95" customHeight="1" x14ac:dyDescent="0.3">
      <c r="B6" s="79"/>
      <c r="C6" s="80"/>
      <c r="D6" s="79"/>
      <c r="E6" s="80"/>
      <c r="F6" s="79"/>
      <c r="G6" s="80"/>
    </row>
    <row r="7" spans="2:7" ht="19.95" customHeight="1" x14ac:dyDescent="0.3">
      <c r="B7" s="76">
        <f>COUNTIF(RFI!$D$5:$D$5012,"?*")</f>
        <v>96</v>
      </c>
      <c r="C7" s="77"/>
      <c r="D7" s="76">
        <f>COUNTIFS(RFI!$D$5:$D$5012,"?*",RFI!$O$5:$O$5012,"open*")</f>
        <v>35</v>
      </c>
      <c r="E7" s="77"/>
      <c r="F7" s="71">
        <f>COUNTIFS(RFI!$D$5:$D$5012,"?*",RFI!$O$5:$O$5012,"Response*")</f>
        <v>61</v>
      </c>
      <c r="G7" s="72"/>
    </row>
    <row r="8" spans="2:7" ht="19.95" customHeight="1" x14ac:dyDescent="0.3">
      <c r="B8" s="73"/>
      <c r="C8" s="78"/>
      <c r="D8" s="73"/>
      <c r="E8" s="78"/>
      <c r="F8" s="73"/>
      <c r="G8" s="74"/>
    </row>
    <row r="9" spans="2:7" ht="19.95" customHeight="1" x14ac:dyDescent="0.3">
      <c r="B9" s="79"/>
      <c r="C9" s="80"/>
      <c r="D9" s="79"/>
      <c r="E9" s="80"/>
      <c r="F9" s="73"/>
      <c r="G9" s="74"/>
    </row>
    <row r="10" spans="2:7" ht="19.95" customHeight="1" x14ac:dyDescent="0.3"/>
    <row r="11" spans="2:7" ht="19.95" customHeight="1" x14ac:dyDescent="0.3">
      <c r="B11" s="35" t="s">
        <v>4</v>
      </c>
      <c r="C11" s="35" t="s">
        <v>5</v>
      </c>
      <c r="D11" s="35" t="s">
        <v>6</v>
      </c>
      <c r="E11" s="35" t="s">
        <v>7</v>
      </c>
      <c r="F11" s="35" t="s">
        <v>8</v>
      </c>
    </row>
    <row r="12" spans="2:7" ht="19.95" customHeight="1" x14ac:dyDescent="0.3">
      <c r="B12" s="47" t="s">
        <v>9</v>
      </c>
      <c r="C12" s="47">
        <f>COUNTIF(RFI!$Q$5:$Q$4998,B12)</f>
        <v>10</v>
      </c>
      <c r="D12" s="47" t="e">
        <f>COUNTIFS(RFI!$Q$5:$Q$4998,B12,RFI!$O$5:$O$5012,"open*")</f>
        <v>#VALUE!</v>
      </c>
      <c r="E12" s="47" t="e">
        <f>COUNTIFS(RFI!$Q$5:$Q$4998,B12,RFI!$O$5:$O$5012,"Response*")</f>
        <v>#VALUE!</v>
      </c>
      <c r="F12" s="51">
        <f t="shared" ref="F12:F17" si="0">IFERROR(E12/C12,0)</f>
        <v>0</v>
      </c>
    </row>
    <row r="13" spans="2:7" ht="19.95" customHeight="1" x14ac:dyDescent="0.3">
      <c r="B13" s="47" t="s">
        <v>10</v>
      </c>
      <c r="C13" s="47">
        <f>COUNTIF(RFI!$Q$5:$Q$4998,B13)</f>
        <v>61</v>
      </c>
      <c r="D13" s="47" t="e">
        <f>COUNTIFS(RFI!$Q$5:$Q$4998,B13,RFI!$O$5:$O$5012,"open*")</f>
        <v>#VALUE!</v>
      </c>
      <c r="E13" s="47" t="e">
        <f>COUNTIFS(RFI!$Q$5:$Q$4998,B13,RFI!$O$5:$O$5012,"Response*")</f>
        <v>#VALUE!</v>
      </c>
      <c r="F13" s="51">
        <f t="shared" si="0"/>
        <v>0</v>
      </c>
    </row>
    <row r="14" spans="2:7" ht="19.95" customHeight="1" x14ac:dyDescent="0.3">
      <c r="B14" s="47" t="s">
        <v>11</v>
      </c>
      <c r="C14" s="47">
        <f>COUNTIF(RFI!$Q$5:$Q$4998,B14)</f>
        <v>4</v>
      </c>
      <c r="D14" s="47" t="e">
        <f>COUNTIFS(RFI!$Q$5:$Q$4998,B14,RFI!$O$5:$O$5012,"open*")</f>
        <v>#VALUE!</v>
      </c>
      <c r="E14" s="47" t="e">
        <f>COUNTIFS(RFI!$Q$5:$Q$4998,B14,RFI!$O$5:$O$5012,"Response*")</f>
        <v>#VALUE!</v>
      </c>
      <c r="F14" s="51">
        <f t="shared" si="0"/>
        <v>0</v>
      </c>
    </row>
    <row r="15" spans="2:7" ht="19.95" customHeight="1" x14ac:dyDescent="0.3">
      <c r="B15" s="47" t="s">
        <v>12</v>
      </c>
      <c r="C15" s="47">
        <f>COUNTIF(RFI!$Q$5:$Q$4998,B15)</f>
        <v>5</v>
      </c>
      <c r="D15" s="47" t="e">
        <f>COUNTIFS(RFI!$Q$5:$Q$4998,B15,RFI!$O$5:$O$5012,"open*")</f>
        <v>#VALUE!</v>
      </c>
      <c r="E15" s="47" t="e">
        <f>COUNTIFS(RFI!$Q$5:$Q$4998,B15,RFI!$O$5:$O$5012,"Response*")</f>
        <v>#VALUE!</v>
      </c>
      <c r="F15" s="51">
        <f t="shared" si="0"/>
        <v>0</v>
      </c>
    </row>
    <row r="16" spans="2:7" ht="19.95" customHeight="1" x14ac:dyDescent="0.3">
      <c r="B16" s="47" t="s">
        <v>13</v>
      </c>
      <c r="C16" s="47">
        <f>COUNTIF(RFI!$Q$5:$Q$4998,B16)</f>
        <v>1</v>
      </c>
      <c r="D16" s="47" t="e">
        <f>COUNTIFS(RFI!$Q$5:$Q$4998,B16,RFI!$O$5:$O$5012,"open*")</f>
        <v>#VALUE!</v>
      </c>
      <c r="E16" s="47" t="e">
        <f>COUNTIFS(RFI!$Q$5:$Q$4998,B16,RFI!$O$5:$O$5012,"Response*")</f>
        <v>#VALUE!</v>
      </c>
      <c r="F16" s="51">
        <f t="shared" si="0"/>
        <v>0</v>
      </c>
    </row>
    <row r="17" spans="2:6" ht="19.95" customHeight="1" x14ac:dyDescent="0.3">
      <c r="B17" s="46" t="s">
        <v>14</v>
      </c>
      <c r="C17" s="46">
        <f>SUM(C12:C16)</f>
        <v>81</v>
      </c>
      <c r="D17" s="46" t="e">
        <f>SUM(D12:D16)</f>
        <v>#VALUE!</v>
      </c>
      <c r="E17" s="46" t="e">
        <f>SUM(E12:E16)</f>
        <v>#VALUE!</v>
      </c>
      <c r="F17" s="52">
        <f t="shared" si="0"/>
        <v>0</v>
      </c>
    </row>
    <row r="18" spans="2:6" ht="19.95" customHeight="1" x14ac:dyDescent="0.3"/>
    <row r="19" spans="2:6" ht="19.95" customHeight="1" x14ac:dyDescent="0.3">
      <c r="B19" s="46" t="s">
        <v>15</v>
      </c>
      <c r="C19" s="46" t="s">
        <v>5</v>
      </c>
      <c r="D19" s="46" t="s">
        <v>6</v>
      </c>
      <c r="E19" s="46" t="s">
        <v>7</v>
      </c>
    </row>
    <row r="20" spans="2:6" ht="19.95" customHeight="1" x14ac:dyDescent="0.3">
      <c r="B20" s="49">
        <v>46174</v>
      </c>
      <c r="C20" s="48">
        <f>COUNTIFS(RFI!$R$5:$R$4998,"&gt;="&amp;B20,RFI!$R$5:$R$4998,"&lt;"&amp;EDATE(B20,1))</f>
        <v>6</v>
      </c>
      <c r="D20" s="48" t="e">
        <f>COUNTIFS(RFI!$R$5:$R$4998,"&gt;="&amp;B20,RFI!$R$5:$R$4998,"&lt;"&amp;EDATE(B20,1),RFI!$O$5:$O$5012,"open*")</f>
        <v>#VALUE!</v>
      </c>
      <c r="E20" s="48" t="e">
        <f>COUNTIFS(RFI!$R$5:$R$4998,"&gt;="&amp;B20,RFI!$R$5:$R$4998,"&lt;"&amp;EDATE(B20,1),RFI!$O$5:$O$5012,"Response*")</f>
        <v>#VALUE!</v>
      </c>
    </row>
    <row r="21" spans="2:6" ht="19.95" customHeight="1" x14ac:dyDescent="0.3">
      <c r="B21" s="49">
        <v>46204</v>
      </c>
      <c r="C21" s="48">
        <f>COUNTIFS(RFI!$R$5:$R$4998,"&gt;="&amp;B21,RFI!$R$5:$R$4998,"&lt;"&amp;EDATE(B21,1))</f>
        <v>9</v>
      </c>
      <c r="D21" s="48" t="e">
        <f>COUNTIFS(RFI!$R$5:$R$4998,"&gt;="&amp;B21,RFI!$R$5:$R$4998,"&lt;"&amp;EDATE(B21,1),RFI!$O$5:$O$5012,"open*")</f>
        <v>#VALUE!</v>
      </c>
      <c r="E21" s="48" t="e">
        <f>COUNTIFS(RFI!$R$5:$R$4998,"&gt;="&amp;B21,RFI!$R$5:$R$4998,"&lt;"&amp;EDATE(B21,1),RFI!$O$5:$O$5012,"Response*")</f>
        <v>#VALUE!</v>
      </c>
    </row>
    <row r="22" spans="2:6" ht="19.95" customHeight="1" x14ac:dyDescent="0.3">
      <c r="B22" s="49">
        <v>46235</v>
      </c>
      <c r="C22" s="48">
        <f>COUNTIFS(RFI!$R$5:$R$4998,"&gt;="&amp;B22,RFI!$R$5:$R$4998,"&lt;"&amp;EDATE(B22,1))</f>
        <v>21</v>
      </c>
      <c r="D22" s="48" t="e">
        <f>COUNTIFS(RFI!$R$5:$R$4998,"&gt;="&amp;B22,RFI!$R$5:$R$4998,"&lt;"&amp;EDATE(B22,1),RFI!$O$5:$O$5012,"open*")</f>
        <v>#VALUE!</v>
      </c>
      <c r="E22" s="48" t="e">
        <f>COUNTIFS(RFI!$R$5:$R$4998,"&gt;="&amp;B22,RFI!$R$5:$R$4998,"&lt;"&amp;EDATE(B22,1),RFI!$O$5:$O$5012,"Response*")</f>
        <v>#VALUE!</v>
      </c>
    </row>
    <row r="23" spans="2:6" ht="19.95" customHeight="1" x14ac:dyDescent="0.3">
      <c r="B23" s="49">
        <v>46266</v>
      </c>
      <c r="C23" s="48">
        <f>COUNTIFS(RFI!$R$5:$R$4998,"&gt;="&amp;B23,RFI!$R$5:$R$4998,"&lt;"&amp;EDATE(B23,1))</f>
        <v>41</v>
      </c>
      <c r="D23" s="48" t="e">
        <f>COUNTIFS(RFI!$R$5:$R$4998,"&gt;="&amp;B23,RFI!$R$5:$R$4998,"&lt;"&amp;EDATE(B23,1),RFI!$O$5:$O$5012,"open*")</f>
        <v>#VALUE!</v>
      </c>
      <c r="E23" s="48" t="e">
        <f>COUNTIFS(RFI!$R$5:$R$4998,"&gt;="&amp;B23,RFI!$R$5:$R$4998,"&lt;"&amp;EDATE(B23,1),RFI!$O$5:$O$5012,"Response*")</f>
        <v>#VALUE!</v>
      </c>
    </row>
    <row r="24" spans="2:6" ht="19.95" customHeight="1" x14ac:dyDescent="0.3">
      <c r="B24" s="49">
        <v>46296</v>
      </c>
      <c r="C24" s="48">
        <f>COUNTIFS(RFI!$R$5:$R$4998,"&gt;="&amp;B24,RFI!$R$5:$R$4998,"&lt;"&amp;EDATE(B24,1))</f>
        <v>4</v>
      </c>
      <c r="D24" s="48" t="e">
        <f>COUNTIFS(RFI!$R$5:$R$4998,"&gt;="&amp;B24,RFI!$R$5:$R$4998,"&lt;"&amp;EDATE(B24,1),RFI!$O$5:$O$5012,"open*")</f>
        <v>#VALUE!</v>
      </c>
      <c r="E24" s="48" t="e">
        <f>COUNTIFS(RFI!$R$5:$R$4998,"&gt;="&amp;B24,RFI!$R$5:$R$4998,"&lt;"&amp;EDATE(B24,1),RFI!$O$5:$O$5012,"Response*")</f>
        <v>#VALUE!</v>
      </c>
    </row>
    <row r="25" spans="2:6" ht="19.95" customHeight="1" x14ac:dyDescent="0.3"/>
    <row r="26" spans="2:6" ht="19.95" customHeight="1" x14ac:dyDescent="0.3">
      <c r="B26" s="70" t="s">
        <v>4</v>
      </c>
      <c r="C26" s="66"/>
      <c r="D26" s="46" t="s">
        <v>6</v>
      </c>
      <c r="E26" s="46" t="s">
        <v>7</v>
      </c>
    </row>
    <row r="27" spans="2:6" ht="19.95" customHeight="1" x14ac:dyDescent="0.3">
      <c r="B27" s="69" t="s">
        <v>9</v>
      </c>
      <c r="C27" s="66"/>
      <c r="D27" s="48" t="e">
        <f>COUNTIFS(RFI!$Q$5:$Q$4998,B27,RFI!$O$5:$O$5012,"open*")</f>
        <v>#VALUE!</v>
      </c>
      <c r="E27" s="48" t="e">
        <f>COUNTIFS(RFI!$Q$5:$Q$4998,B27,RFI!$O$5:$O$5012,"Response*")</f>
        <v>#VALUE!</v>
      </c>
    </row>
    <row r="28" spans="2:6" ht="19.95" customHeight="1" x14ac:dyDescent="0.3">
      <c r="B28" s="69" t="s">
        <v>10</v>
      </c>
      <c r="C28" s="66"/>
      <c r="D28" s="48" t="e">
        <f>COUNTIFS(RFI!$Q$5:$Q$4998,B28,RFI!$O$5:$O$5012,"open*")</f>
        <v>#VALUE!</v>
      </c>
      <c r="E28" s="48" t="e">
        <f>COUNTIFS(RFI!$Q$5:$Q$4998,B28,RFI!$O$5:$O$5012,"Response*")</f>
        <v>#VALUE!</v>
      </c>
    </row>
    <row r="29" spans="2:6" ht="19.95" customHeight="1" x14ac:dyDescent="0.3">
      <c r="B29" s="69" t="s">
        <v>11</v>
      </c>
      <c r="C29" s="66"/>
      <c r="D29" s="48" t="e">
        <f>COUNTIFS(RFI!$Q$5:$Q$4998,B29,RFI!$O$5:$O$5012,"open*")</f>
        <v>#VALUE!</v>
      </c>
      <c r="E29" s="48" t="e">
        <f>COUNTIFS(RFI!$Q$5:$Q$4998,B29,RFI!$O$5:$O$5012,"Response*")</f>
        <v>#VALUE!</v>
      </c>
    </row>
    <row r="30" spans="2:6" ht="19.95" customHeight="1" x14ac:dyDescent="0.3">
      <c r="B30" s="69" t="s">
        <v>12</v>
      </c>
      <c r="C30" s="66"/>
      <c r="D30" s="48" t="e">
        <f>COUNTIFS(RFI!$Q$5:$Q$4998,B30,RFI!$O$5:$O$5012,"open*")</f>
        <v>#VALUE!</v>
      </c>
      <c r="E30" s="48" t="e">
        <f>COUNTIFS(RFI!$Q$5:$Q$4998,B30,RFI!$O$5:$O$5012,"Response*")</f>
        <v>#VALUE!</v>
      </c>
    </row>
    <row r="31" spans="2:6" ht="19.95" customHeight="1" x14ac:dyDescent="0.3">
      <c r="B31" s="69" t="s">
        <v>13</v>
      </c>
      <c r="C31" s="66"/>
      <c r="D31" s="48" t="e">
        <f>COUNTIFS(RFI!$Q$5:$Q$4998,B31,RFI!$O$5:$O$5012,"open*")</f>
        <v>#VALUE!</v>
      </c>
      <c r="E31" s="48" t="e">
        <f>COUNTIFS(RFI!$Q$5:$Q$4998,B31,RFI!$O$5:$O$5012,"Response*")</f>
        <v>#VALUE!</v>
      </c>
    </row>
    <row r="32" spans="2:6" ht="19.95" customHeight="1" x14ac:dyDescent="0.3"/>
    <row r="33" ht="19.95" customHeight="1" x14ac:dyDescent="0.3"/>
    <row r="34" ht="19.95" customHeight="1" x14ac:dyDescent="0.3"/>
  </sheetData>
  <mergeCells count="13">
    <mergeCell ref="B2:G4"/>
    <mergeCell ref="D7:E9"/>
    <mergeCell ref="B7:C9"/>
    <mergeCell ref="B5:C6"/>
    <mergeCell ref="B28:C28"/>
    <mergeCell ref="F5:G6"/>
    <mergeCell ref="D5:E6"/>
    <mergeCell ref="B31:C31"/>
    <mergeCell ref="B26:C26"/>
    <mergeCell ref="B27:C27"/>
    <mergeCell ref="B30:C30"/>
    <mergeCell ref="F7:G9"/>
    <mergeCell ref="B29:C29"/>
  </mergeCells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C000"/>
  </sheetPr>
  <dimension ref="A1:R4998"/>
  <sheetViews>
    <sheetView view="pageBreakPreview" topLeftCell="B1" zoomScale="85" zoomScaleNormal="100" zoomScaleSheetLayoutView="85" workbookViewId="0">
      <pane ySplit="4" topLeftCell="A88" activePane="bottomLeft" state="frozen"/>
      <selection activeCell="J14" sqref="J14"/>
      <selection pane="bottomLeft" activeCell="E86" sqref="E86"/>
    </sheetView>
  </sheetViews>
  <sheetFormatPr defaultRowHeight="14.4" x14ac:dyDescent="0.3"/>
  <cols>
    <col min="1" max="1" width="25.109375" style="2" hidden="1" customWidth="1"/>
    <col min="2" max="2" width="29.88671875" style="2" customWidth="1"/>
    <col min="3" max="3" width="9.33203125" style="2" customWidth="1"/>
    <col min="4" max="4" width="38.88671875" style="2" customWidth="1"/>
    <col min="5" max="5" width="66.88671875" style="2" customWidth="1"/>
    <col min="6" max="6" width="17.6640625" style="2" customWidth="1"/>
    <col min="7" max="7" width="19.6640625" style="2" customWidth="1"/>
    <col min="8" max="8" width="17.6640625" style="2" customWidth="1"/>
    <col min="9" max="9" width="22.109375" style="2" customWidth="1"/>
    <col min="10" max="10" width="17.6640625" style="2" customWidth="1"/>
    <col min="11" max="12" width="17.6640625" style="2" hidden="1" customWidth="1"/>
    <col min="13" max="13" width="26.88671875" style="2" customWidth="1"/>
    <col min="14" max="14" width="14.6640625" style="2" customWidth="1"/>
    <col min="15" max="15" width="17.5546875" style="2" customWidth="1"/>
    <col min="16" max="16" width="27" style="16" customWidth="1"/>
    <col min="17" max="17" width="18" customWidth="1"/>
    <col min="18" max="18" width="15" customWidth="1"/>
  </cols>
  <sheetData>
    <row r="1" spans="1:18" ht="37.200000000000003" customHeight="1" x14ac:dyDescent="0.3">
      <c r="A1" s="60" t="s">
        <v>16</v>
      </c>
      <c r="B1" s="61"/>
      <c r="C1" s="61"/>
      <c r="D1" s="61"/>
      <c r="E1" s="61"/>
      <c r="F1" s="61"/>
      <c r="G1" s="61"/>
      <c r="H1" s="61"/>
      <c r="I1" s="61"/>
      <c r="J1" s="61"/>
      <c r="K1" s="61"/>
      <c r="L1" s="61"/>
      <c r="M1" s="61"/>
      <c r="N1" s="61"/>
      <c r="O1" s="10" t="s">
        <v>17</v>
      </c>
      <c r="P1" s="3">
        <f>COUNTIF(D$5:D$5012,"?*")</f>
        <v>96</v>
      </c>
    </row>
    <row r="2" spans="1:18" ht="54" customHeight="1" x14ac:dyDescent="0.3">
      <c r="A2" s="62"/>
      <c r="B2" s="62"/>
      <c r="C2" s="62"/>
      <c r="D2" s="62"/>
      <c r="E2" s="62"/>
      <c r="F2" s="62"/>
      <c r="G2" s="62"/>
      <c r="H2" s="62"/>
      <c r="I2" s="62"/>
      <c r="J2" s="62"/>
      <c r="K2" s="62"/>
      <c r="L2" s="62"/>
      <c r="M2" s="62"/>
      <c r="N2" s="62"/>
      <c r="O2" s="11" t="s">
        <v>18</v>
      </c>
      <c r="P2" s="13">
        <f>COUNTIFS(D$5:D$5012,"?*",O$5:O$5012,"Response*")</f>
        <v>61</v>
      </c>
    </row>
    <row r="3" spans="1:18" ht="37.200000000000003" customHeight="1" x14ac:dyDescent="0.3">
      <c r="A3" s="65" t="s">
        <v>19</v>
      </c>
      <c r="B3" s="66"/>
      <c r="C3" s="66"/>
      <c r="D3" s="66"/>
      <c r="E3" s="66"/>
      <c r="F3" s="67"/>
      <c r="G3" s="68" t="s">
        <v>20</v>
      </c>
      <c r="H3" s="64"/>
      <c r="I3" s="68" t="s">
        <v>21</v>
      </c>
      <c r="J3" s="64"/>
      <c r="K3" s="63" t="s">
        <v>22</v>
      </c>
      <c r="L3" s="64"/>
      <c r="M3" s="63" t="s">
        <v>23</v>
      </c>
      <c r="N3" s="64"/>
      <c r="O3" s="36" t="s">
        <v>24</v>
      </c>
      <c r="P3" s="37">
        <f>COUNTIFS(D$5:D$5012,"?*",O$5:O$5012,"open*")</f>
        <v>35</v>
      </c>
    </row>
    <row r="4" spans="1:18" ht="59.4" customHeight="1" x14ac:dyDescent="0.3">
      <c r="A4" s="14" t="s">
        <v>25</v>
      </c>
      <c r="B4" s="38" t="s">
        <v>25</v>
      </c>
      <c r="C4" s="39" t="s">
        <v>26</v>
      </c>
      <c r="D4" s="40" t="s">
        <v>27</v>
      </c>
      <c r="E4" s="40" t="s">
        <v>28</v>
      </c>
      <c r="F4" s="55" t="s">
        <v>29</v>
      </c>
      <c r="G4" s="39" t="s">
        <v>30</v>
      </c>
      <c r="H4" s="55" t="s">
        <v>31</v>
      </c>
      <c r="I4" s="41" t="s">
        <v>32</v>
      </c>
      <c r="J4" s="42" t="s">
        <v>33</v>
      </c>
      <c r="K4" s="43" t="s">
        <v>34</v>
      </c>
      <c r="L4" s="42" t="s">
        <v>35</v>
      </c>
      <c r="M4" s="43" t="s">
        <v>36</v>
      </c>
      <c r="N4" s="42" t="s">
        <v>37</v>
      </c>
      <c r="O4" s="44" t="s">
        <v>38</v>
      </c>
      <c r="P4" s="45" t="s">
        <v>39</v>
      </c>
      <c r="Q4" s="53" t="s">
        <v>40</v>
      </c>
      <c r="R4" s="53" t="s">
        <v>41</v>
      </c>
    </row>
    <row r="5" spans="1:18" ht="59.4" customHeight="1" x14ac:dyDescent="0.3">
      <c r="A5" s="29"/>
      <c r="B5" s="1" t="s">
        <v>42</v>
      </c>
      <c r="C5" s="18">
        <v>0</v>
      </c>
      <c r="D5" s="6" t="s">
        <v>43</v>
      </c>
      <c r="E5" s="26" t="s">
        <v>44</v>
      </c>
      <c r="F5" s="58">
        <v>46193</v>
      </c>
      <c r="G5" s="22" t="s">
        <v>45</v>
      </c>
      <c r="H5" s="28" t="s">
        <v>46</v>
      </c>
      <c r="I5" s="28"/>
      <c r="J5" s="27"/>
      <c r="K5" s="22"/>
      <c r="L5" s="28"/>
      <c r="M5" s="27" t="s">
        <v>47</v>
      </c>
      <c r="N5" s="30">
        <v>46212</v>
      </c>
      <c r="O5" s="11" t="s">
        <v>18</v>
      </c>
      <c r="P5" s="13"/>
      <c r="Q5" t="str">
        <f t="shared" ref="Q5:Q68" si="0">IF(COUNTA(A5:P5)=0,"",IF(ISNUMBER(SEARCH("-AR-",E5)),"Architectural",IF(ISNUMBER(SEARCH("-ST-",E5)),"Structural",IF(ISNUMBER(SEARCH("-ME-",E5)),"Mechanical",IF(ISNUMBER(SEARCH("-EL-",E5)),"Electrical",IF(ISNUMBER(SEARCH("-GE-",E5)),"General",IF(ISNUMBER(SEARCH("-AR-",D5)),"Architectural",IF(ISNUMBER(SEARCH("-ST-",D5)),"Structural",IF(ISNUMBER(SEARCH("-ME-",D5)),"Mechanical",IF(ISNUMBER(SEARCH("-EL-",D5)),"Electrical",IF(ISNUMBER(SEARCH("-GE-",D5)),"General","Other")))))))))))</f>
        <v>Structural</v>
      </c>
      <c r="R5" s="54">
        <f t="shared" ref="R5:R68" si="1">IF(F5="","",IFERROR(IF(ISNUMBER(F5),F5,DATEVALUE(F5)),""))</f>
        <v>46193</v>
      </c>
    </row>
    <row r="6" spans="1:18" s="8" customFormat="1" ht="46.2" customHeight="1" x14ac:dyDescent="0.3">
      <c r="A6" s="7"/>
      <c r="B6" s="1" t="s">
        <v>48</v>
      </c>
      <c r="C6" s="18">
        <v>0</v>
      </c>
      <c r="D6" s="6" t="s">
        <v>49</v>
      </c>
      <c r="E6" s="26" t="s">
        <v>50</v>
      </c>
      <c r="F6" s="58">
        <v>46193</v>
      </c>
      <c r="G6" s="22" t="s">
        <v>51</v>
      </c>
      <c r="H6" s="28" t="s">
        <v>46</v>
      </c>
      <c r="I6" s="28"/>
      <c r="J6" s="27"/>
      <c r="K6" s="22"/>
      <c r="L6" s="28"/>
      <c r="M6" s="27" t="s">
        <v>52</v>
      </c>
      <c r="N6" s="32">
        <v>46212</v>
      </c>
      <c r="O6" s="11" t="s">
        <v>18</v>
      </c>
      <c r="P6" s="13"/>
      <c r="Q6" s="19" t="str">
        <f t="shared" si="0"/>
        <v>Structural</v>
      </c>
      <c r="R6" s="54">
        <f t="shared" si="1"/>
        <v>46193</v>
      </c>
    </row>
    <row r="7" spans="1:18" s="8" customFormat="1" ht="46.2" customHeight="1" x14ac:dyDescent="0.3">
      <c r="A7" s="7"/>
      <c r="B7" s="1" t="s">
        <v>53</v>
      </c>
      <c r="C7" s="50">
        <v>1</v>
      </c>
      <c r="D7" s="6" t="s">
        <v>49</v>
      </c>
      <c r="E7" s="26" t="s">
        <v>50</v>
      </c>
      <c r="F7" s="58">
        <v>46303</v>
      </c>
      <c r="G7" s="22" t="s">
        <v>54</v>
      </c>
      <c r="H7" s="28">
        <v>46246</v>
      </c>
      <c r="I7" s="28" t="s">
        <v>54</v>
      </c>
      <c r="J7" s="27">
        <v>46246</v>
      </c>
      <c r="K7" s="22"/>
      <c r="L7" s="28"/>
      <c r="M7" s="27" t="s">
        <v>55</v>
      </c>
      <c r="N7" s="15"/>
      <c r="O7" s="11" t="s">
        <v>18</v>
      </c>
      <c r="P7" s="13"/>
      <c r="Q7" s="19" t="str">
        <f t="shared" si="0"/>
        <v>Structural</v>
      </c>
      <c r="R7" s="54">
        <f t="shared" si="1"/>
        <v>46303</v>
      </c>
    </row>
    <row r="8" spans="1:18" s="8" customFormat="1" ht="51.6" customHeight="1" x14ac:dyDescent="0.3">
      <c r="A8" s="9" t="s">
        <v>56</v>
      </c>
      <c r="B8" s="1" t="s">
        <v>57</v>
      </c>
      <c r="C8" s="18">
        <v>0</v>
      </c>
      <c r="D8" s="1" t="s">
        <v>58</v>
      </c>
      <c r="E8" s="26" t="s">
        <v>59</v>
      </c>
      <c r="F8" s="58">
        <v>46193</v>
      </c>
      <c r="G8" s="22" t="s">
        <v>60</v>
      </c>
      <c r="H8" s="28" t="s">
        <v>46</v>
      </c>
      <c r="I8" s="28"/>
      <c r="J8" s="27"/>
      <c r="K8" s="22"/>
      <c r="L8" s="28"/>
      <c r="M8" s="27" t="s">
        <v>61</v>
      </c>
      <c r="N8" s="15">
        <v>46212</v>
      </c>
      <c r="O8" s="11" t="s">
        <v>18</v>
      </c>
      <c r="P8" s="13"/>
      <c r="Q8" t="str">
        <f t="shared" si="0"/>
        <v>Structural</v>
      </c>
      <c r="R8" s="54">
        <f t="shared" si="1"/>
        <v>46193</v>
      </c>
    </row>
    <row r="9" spans="1:18" s="8" customFormat="1" ht="51.6" customHeight="1" x14ac:dyDescent="0.3">
      <c r="A9" s="9" t="s">
        <v>62</v>
      </c>
      <c r="B9" s="1" t="s">
        <v>63</v>
      </c>
      <c r="C9" s="18">
        <v>0</v>
      </c>
      <c r="D9" s="1" t="s">
        <v>64</v>
      </c>
      <c r="E9" s="26" t="s">
        <v>65</v>
      </c>
      <c r="F9" s="58">
        <v>46193</v>
      </c>
      <c r="G9" s="31" t="s">
        <v>66</v>
      </c>
      <c r="H9" s="28" t="s">
        <v>46</v>
      </c>
      <c r="I9" s="28"/>
      <c r="J9" s="27"/>
      <c r="K9" s="22"/>
      <c r="L9" s="28"/>
      <c r="M9" s="27"/>
      <c r="N9" s="15"/>
      <c r="O9" s="12" t="s">
        <v>24</v>
      </c>
      <c r="P9" s="13"/>
      <c r="Q9" t="str">
        <f t="shared" si="0"/>
        <v>Structural</v>
      </c>
      <c r="R9" s="54">
        <f t="shared" si="1"/>
        <v>46193</v>
      </c>
    </row>
    <row r="10" spans="1:18" s="8" customFormat="1" ht="51.6" customHeight="1" x14ac:dyDescent="0.3">
      <c r="A10" s="9" t="s">
        <v>67</v>
      </c>
      <c r="B10" s="1" t="s">
        <v>68</v>
      </c>
      <c r="C10" s="18">
        <v>0</v>
      </c>
      <c r="D10" s="1" t="s">
        <v>69</v>
      </c>
      <c r="E10" s="26" t="s">
        <v>70</v>
      </c>
      <c r="F10" s="58">
        <v>46193</v>
      </c>
      <c r="G10" s="22" t="s">
        <v>71</v>
      </c>
      <c r="H10" s="28" t="s">
        <v>46</v>
      </c>
      <c r="I10" s="28"/>
      <c r="J10" s="27"/>
      <c r="K10" s="22"/>
      <c r="L10" s="28"/>
      <c r="M10" s="27" t="s">
        <v>72</v>
      </c>
      <c r="N10" s="15">
        <v>46204</v>
      </c>
      <c r="O10" s="11" t="s">
        <v>18</v>
      </c>
      <c r="P10" s="13"/>
      <c r="Q10" t="str">
        <f t="shared" si="0"/>
        <v>Structural</v>
      </c>
      <c r="R10" s="54">
        <f t="shared" si="1"/>
        <v>46193</v>
      </c>
    </row>
    <row r="11" spans="1:18" s="8" customFormat="1" ht="51.6" customHeight="1" x14ac:dyDescent="0.3">
      <c r="A11" s="20"/>
      <c r="B11" s="1" t="s">
        <v>73</v>
      </c>
      <c r="C11" s="18">
        <v>0</v>
      </c>
      <c r="D11" s="1" t="s">
        <v>74</v>
      </c>
      <c r="E11" s="26" t="s">
        <v>75</v>
      </c>
      <c r="F11" s="58">
        <v>46193</v>
      </c>
      <c r="G11" s="22" t="s">
        <v>73</v>
      </c>
      <c r="H11" s="28" t="s">
        <v>76</v>
      </c>
      <c r="I11" s="28"/>
      <c r="J11" s="27"/>
      <c r="K11" s="22"/>
      <c r="L11" s="28"/>
      <c r="M11" s="27" t="s">
        <v>77</v>
      </c>
      <c r="N11" s="15">
        <v>46212</v>
      </c>
      <c r="O11" s="11" t="s">
        <v>18</v>
      </c>
      <c r="P11" s="25"/>
      <c r="Q11" t="str">
        <f t="shared" si="0"/>
        <v>Structural</v>
      </c>
      <c r="R11" s="54">
        <f t="shared" si="1"/>
        <v>46193</v>
      </c>
    </row>
    <row r="12" spans="1:18" s="8" customFormat="1" ht="51.6" customHeight="1" x14ac:dyDescent="0.3">
      <c r="A12" s="9"/>
      <c r="B12" s="1" t="s">
        <v>78</v>
      </c>
      <c r="C12" s="18">
        <v>0</v>
      </c>
      <c r="D12" s="1" t="s">
        <v>79</v>
      </c>
      <c r="E12" s="21" t="s">
        <v>80</v>
      </c>
      <c r="F12" s="58">
        <v>46206</v>
      </c>
      <c r="G12" s="27"/>
      <c r="H12" s="22"/>
      <c r="I12" s="28" t="s">
        <v>81</v>
      </c>
      <c r="J12" s="27">
        <v>46207</v>
      </c>
      <c r="K12" s="22"/>
      <c r="L12" s="28"/>
      <c r="M12" s="27"/>
      <c r="N12" s="24"/>
      <c r="O12" s="12" t="s">
        <v>24</v>
      </c>
      <c r="P12" s="25"/>
      <c r="Q12" t="str">
        <f t="shared" si="0"/>
        <v>Architectural</v>
      </c>
      <c r="R12" s="54">
        <f t="shared" si="1"/>
        <v>46206</v>
      </c>
    </row>
    <row r="13" spans="1:18" s="8" customFormat="1" ht="51.6" customHeight="1" x14ac:dyDescent="0.3">
      <c r="A13" s="9"/>
      <c r="B13" s="1" t="s">
        <v>82</v>
      </c>
      <c r="C13" s="18">
        <v>0</v>
      </c>
      <c r="D13" s="1" t="s">
        <v>83</v>
      </c>
      <c r="E13" s="21" t="s">
        <v>84</v>
      </c>
      <c r="F13" s="58">
        <v>46206</v>
      </c>
      <c r="G13" s="27"/>
      <c r="H13" s="22"/>
      <c r="I13" s="4" t="s">
        <v>85</v>
      </c>
      <c r="J13" s="5">
        <v>46207</v>
      </c>
      <c r="K13" s="1"/>
      <c r="L13" s="1"/>
      <c r="M13" s="23" t="s">
        <v>86</v>
      </c>
      <c r="N13" s="24">
        <v>46261</v>
      </c>
      <c r="O13" s="11" t="s">
        <v>18</v>
      </c>
      <c r="P13" s="25"/>
      <c r="Q13" t="str">
        <f t="shared" si="0"/>
        <v>Architectural</v>
      </c>
      <c r="R13" s="54">
        <f t="shared" si="1"/>
        <v>46206</v>
      </c>
    </row>
    <row r="14" spans="1:18" s="8" customFormat="1" ht="51.6" customHeight="1" x14ac:dyDescent="0.3">
      <c r="A14" s="9"/>
      <c r="B14" s="17" t="s">
        <v>87</v>
      </c>
      <c r="C14" s="4">
        <v>0</v>
      </c>
      <c r="D14" s="1" t="s">
        <v>88</v>
      </c>
      <c r="E14" s="21" t="s">
        <v>89</v>
      </c>
      <c r="F14" s="58">
        <v>46216</v>
      </c>
      <c r="G14" s="27"/>
      <c r="H14" s="22"/>
      <c r="I14" s="4" t="s">
        <v>90</v>
      </c>
      <c r="J14" s="5">
        <v>46261</v>
      </c>
      <c r="K14" s="1"/>
      <c r="L14" s="1"/>
      <c r="M14" s="23"/>
      <c r="N14" s="15"/>
      <c r="O14" s="12" t="s">
        <v>24</v>
      </c>
      <c r="P14" s="13"/>
      <c r="Q14" t="str">
        <f t="shared" si="0"/>
        <v>General</v>
      </c>
      <c r="R14" s="54">
        <f t="shared" si="1"/>
        <v>46216</v>
      </c>
    </row>
    <row r="15" spans="1:18" s="8" customFormat="1" ht="51.6" customHeight="1" x14ac:dyDescent="0.3">
      <c r="A15" s="9"/>
      <c r="B15" s="17" t="s">
        <v>91</v>
      </c>
      <c r="C15" s="4">
        <v>0</v>
      </c>
      <c r="D15" s="1" t="s">
        <v>92</v>
      </c>
      <c r="E15" s="21" t="s">
        <v>93</v>
      </c>
      <c r="F15" s="58">
        <v>46233</v>
      </c>
      <c r="G15" s="27"/>
      <c r="H15" s="22"/>
      <c r="I15" s="4" t="s">
        <v>94</v>
      </c>
      <c r="J15" s="5">
        <v>46248</v>
      </c>
      <c r="K15" s="1"/>
      <c r="L15" s="1"/>
      <c r="M15" s="23"/>
      <c r="N15" s="15"/>
      <c r="O15" s="12" t="s">
        <v>24</v>
      </c>
      <c r="P15" s="13"/>
      <c r="Q15" t="str">
        <f t="shared" si="0"/>
        <v>Electrical</v>
      </c>
      <c r="R15" s="54">
        <f t="shared" si="1"/>
        <v>46233</v>
      </c>
    </row>
    <row r="16" spans="1:18" s="8" customFormat="1" ht="51.6" customHeight="1" x14ac:dyDescent="0.3">
      <c r="A16" s="9"/>
      <c r="B16" s="17" t="s">
        <v>95</v>
      </c>
      <c r="C16" s="4">
        <v>0</v>
      </c>
      <c r="D16" s="1" t="s">
        <v>96</v>
      </c>
      <c r="E16" s="21" t="s">
        <v>97</v>
      </c>
      <c r="F16" s="58">
        <v>46233</v>
      </c>
      <c r="G16" s="27"/>
      <c r="H16" s="22"/>
      <c r="I16" s="4" t="s">
        <v>98</v>
      </c>
      <c r="J16" s="5">
        <v>46248</v>
      </c>
      <c r="K16" s="1"/>
      <c r="L16" s="1"/>
      <c r="M16" s="23"/>
      <c r="N16" s="15"/>
      <c r="O16" s="12" t="s">
        <v>24</v>
      </c>
      <c r="P16" s="13"/>
      <c r="Q16" t="str">
        <f t="shared" si="0"/>
        <v>Electrical</v>
      </c>
      <c r="R16" s="54">
        <f t="shared" si="1"/>
        <v>46233</v>
      </c>
    </row>
    <row r="17" spans="1:18" s="8" customFormat="1" ht="51.6" customHeight="1" x14ac:dyDescent="0.3">
      <c r="A17" s="9"/>
      <c r="B17" s="17" t="s">
        <v>99</v>
      </c>
      <c r="C17" s="4">
        <v>0</v>
      </c>
      <c r="D17" s="1" t="s">
        <v>100</v>
      </c>
      <c r="E17" s="21" t="s">
        <v>101</v>
      </c>
      <c r="F17" s="58">
        <v>46233</v>
      </c>
      <c r="G17" s="27"/>
      <c r="H17" s="22"/>
      <c r="I17" s="4" t="s">
        <v>102</v>
      </c>
      <c r="J17" s="5">
        <v>46248</v>
      </c>
      <c r="K17" s="1"/>
      <c r="L17" s="1"/>
      <c r="M17" s="23"/>
      <c r="N17" s="15"/>
      <c r="O17" s="12" t="s">
        <v>24</v>
      </c>
      <c r="P17" s="13"/>
      <c r="Q17" t="str">
        <f t="shared" si="0"/>
        <v>Electrical</v>
      </c>
      <c r="R17" s="54">
        <f t="shared" si="1"/>
        <v>46233</v>
      </c>
    </row>
    <row r="18" spans="1:18" s="8" customFormat="1" ht="51.6" customHeight="1" x14ac:dyDescent="0.3">
      <c r="A18" s="9"/>
      <c r="B18" s="17" t="s">
        <v>103</v>
      </c>
      <c r="C18" s="4">
        <v>0</v>
      </c>
      <c r="D18" s="1" t="s">
        <v>104</v>
      </c>
      <c r="E18" s="21" t="s">
        <v>105</v>
      </c>
      <c r="F18" s="58">
        <v>46233</v>
      </c>
      <c r="G18" s="27"/>
      <c r="H18" s="22"/>
      <c r="I18" s="4" t="s">
        <v>106</v>
      </c>
      <c r="J18" s="5">
        <v>46248</v>
      </c>
      <c r="K18" s="1"/>
      <c r="L18" s="1"/>
      <c r="M18" s="23"/>
      <c r="N18" s="15"/>
      <c r="O18" s="12" t="s">
        <v>24</v>
      </c>
      <c r="P18" s="13"/>
      <c r="Q18" t="str">
        <f t="shared" si="0"/>
        <v>Electrical</v>
      </c>
      <c r="R18" s="54">
        <f t="shared" si="1"/>
        <v>46233</v>
      </c>
    </row>
    <row r="19" spans="1:18" s="8" customFormat="1" ht="51.6" customHeight="1" x14ac:dyDescent="0.3">
      <c r="A19" s="9"/>
      <c r="B19" s="17" t="s">
        <v>107</v>
      </c>
      <c r="C19" s="4">
        <v>0</v>
      </c>
      <c r="D19" s="1" t="s">
        <v>108</v>
      </c>
      <c r="E19" s="21" t="s">
        <v>109</v>
      </c>
      <c r="F19" s="58">
        <v>46233</v>
      </c>
      <c r="G19" s="27"/>
      <c r="H19" s="22"/>
      <c r="I19" s="4" t="s">
        <v>110</v>
      </c>
      <c r="J19" s="5">
        <v>46248</v>
      </c>
      <c r="K19" s="1"/>
      <c r="L19" s="1"/>
      <c r="M19" s="23"/>
      <c r="N19" s="15"/>
      <c r="O19" s="12" t="s">
        <v>24</v>
      </c>
      <c r="P19" s="13"/>
      <c r="Q19" t="str">
        <f t="shared" si="0"/>
        <v>Electrical</v>
      </c>
      <c r="R19" s="54">
        <f t="shared" si="1"/>
        <v>46233</v>
      </c>
    </row>
    <row r="20" spans="1:18" s="8" customFormat="1" ht="51.6" customHeight="1" x14ac:dyDescent="0.3">
      <c r="A20" s="9"/>
      <c r="B20" s="17" t="s">
        <v>111</v>
      </c>
      <c r="C20" s="4">
        <v>0</v>
      </c>
      <c r="D20" s="33" t="s">
        <v>112</v>
      </c>
      <c r="E20" s="21" t="s">
        <v>113</v>
      </c>
      <c r="F20" s="58">
        <v>46233</v>
      </c>
      <c r="G20" s="27"/>
      <c r="H20" s="22"/>
      <c r="I20" s="4" t="s">
        <v>114</v>
      </c>
      <c r="J20" s="5">
        <v>46243</v>
      </c>
      <c r="K20" s="1"/>
      <c r="L20" s="1"/>
      <c r="M20" s="23" t="s">
        <v>115</v>
      </c>
      <c r="N20" s="15">
        <v>46248</v>
      </c>
      <c r="O20" s="11" t="s">
        <v>18</v>
      </c>
      <c r="P20" s="13"/>
      <c r="Q20" t="str">
        <f t="shared" si="0"/>
        <v>Structural</v>
      </c>
      <c r="R20" s="54">
        <f t="shared" si="1"/>
        <v>46233</v>
      </c>
    </row>
    <row r="21" spans="1:18" s="8" customFormat="1" ht="51.6" customHeight="1" x14ac:dyDescent="0.3">
      <c r="A21" s="9"/>
      <c r="B21" s="17" t="s">
        <v>116</v>
      </c>
      <c r="C21" s="4">
        <v>0</v>
      </c>
      <c r="D21" s="1" t="s">
        <v>117</v>
      </c>
      <c r="E21" s="21" t="s">
        <v>118</v>
      </c>
      <c r="F21" s="58">
        <v>46236</v>
      </c>
      <c r="G21" s="27"/>
      <c r="H21" s="22"/>
      <c r="I21" s="4" t="s">
        <v>119</v>
      </c>
      <c r="J21" s="5">
        <v>46248</v>
      </c>
      <c r="K21" s="1"/>
      <c r="L21" s="1"/>
      <c r="M21" s="23"/>
      <c r="N21" s="15"/>
      <c r="O21" s="12" t="s">
        <v>24</v>
      </c>
      <c r="P21" s="13"/>
      <c r="Q21" t="str">
        <f t="shared" si="0"/>
        <v>Mechanical</v>
      </c>
      <c r="R21" s="54">
        <f t="shared" si="1"/>
        <v>46236</v>
      </c>
    </row>
    <row r="22" spans="1:18" s="8" customFormat="1" ht="51.6" customHeight="1" x14ac:dyDescent="0.3">
      <c r="A22" s="9"/>
      <c r="B22" s="17" t="s">
        <v>120</v>
      </c>
      <c r="C22" s="4">
        <v>0</v>
      </c>
      <c r="D22" s="1" t="s">
        <v>121</v>
      </c>
      <c r="E22" s="21" t="s">
        <v>122</v>
      </c>
      <c r="F22" s="58">
        <v>46236</v>
      </c>
      <c r="G22" s="27"/>
      <c r="H22" s="22"/>
      <c r="I22" s="4" t="s">
        <v>123</v>
      </c>
      <c r="J22" s="5">
        <v>46248</v>
      </c>
      <c r="K22" s="1"/>
      <c r="L22" s="1"/>
      <c r="M22" s="23"/>
      <c r="N22" s="15"/>
      <c r="O22" s="12" t="s">
        <v>24</v>
      </c>
      <c r="P22" s="13"/>
      <c r="Q22" t="str">
        <f t="shared" si="0"/>
        <v>Mechanical</v>
      </c>
      <c r="R22" s="54">
        <f t="shared" si="1"/>
        <v>46236</v>
      </c>
    </row>
    <row r="23" spans="1:18" s="8" customFormat="1" ht="51.6" customHeight="1" x14ac:dyDescent="0.3">
      <c r="A23" s="9"/>
      <c r="B23" s="17" t="s">
        <v>124</v>
      </c>
      <c r="C23" s="4">
        <v>0</v>
      </c>
      <c r="D23" s="1" t="s">
        <v>125</v>
      </c>
      <c r="E23" s="21" t="s">
        <v>126</v>
      </c>
      <c r="F23" s="58">
        <v>46236</v>
      </c>
      <c r="G23" s="27"/>
      <c r="H23" s="22"/>
      <c r="I23" s="4" t="s">
        <v>127</v>
      </c>
      <c r="J23" s="5">
        <v>46248</v>
      </c>
      <c r="K23" s="1"/>
      <c r="L23" s="1"/>
      <c r="M23" s="23"/>
      <c r="N23" s="15"/>
      <c r="O23" s="12" t="s">
        <v>24</v>
      </c>
      <c r="P23" s="13"/>
      <c r="Q23" t="str">
        <f t="shared" si="0"/>
        <v>Mechanical</v>
      </c>
      <c r="R23" s="54">
        <f t="shared" si="1"/>
        <v>46236</v>
      </c>
    </row>
    <row r="24" spans="1:18" s="8" customFormat="1" ht="51.6" customHeight="1" x14ac:dyDescent="0.3">
      <c r="A24" s="9"/>
      <c r="B24" s="17" t="s">
        <v>128</v>
      </c>
      <c r="C24" s="4">
        <v>0</v>
      </c>
      <c r="D24" s="1" t="s">
        <v>129</v>
      </c>
      <c r="E24" s="21" t="s">
        <v>130</v>
      </c>
      <c r="F24" s="58">
        <v>46236</v>
      </c>
      <c r="G24" s="27"/>
      <c r="H24" s="22"/>
      <c r="I24" s="4" t="s">
        <v>131</v>
      </c>
      <c r="J24" s="5">
        <v>46248</v>
      </c>
      <c r="K24" s="1"/>
      <c r="L24" s="1"/>
      <c r="M24" s="23"/>
      <c r="N24" s="15"/>
      <c r="O24" s="12" t="s">
        <v>24</v>
      </c>
      <c r="P24" s="13"/>
      <c r="Q24" t="str">
        <f t="shared" si="0"/>
        <v>Mechanical</v>
      </c>
      <c r="R24" s="54">
        <f t="shared" si="1"/>
        <v>46236</v>
      </c>
    </row>
    <row r="25" spans="1:18" s="8" customFormat="1" ht="51.6" customHeight="1" x14ac:dyDescent="0.3">
      <c r="A25" s="9"/>
      <c r="B25" s="17" t="s">
        <v>132</v>
      </c>
      <c r="C25" s="4">
        <v>0</v>
      </c>
      <c r="D25" s="1" t="s">
        <v>133</v>
      </c>
      <c r="E25" s="21" t="s">
        <v>134</v>
      </c>
      <c r="F25" s="58">
        <v>46236</v>
      </c>
      <c r="G25" s="27"/>
      <c r="H25" s="22"/>
      <c r="I25" s="4" t="s">
        <v>135</v>
      </c>
      <c r="J25" s="5" t="s">
        <v>136</v>
      </c>
      <c r="K25" s="1"/>
      <c r="L25" s="1"/>
      <c r="M25" s="23" t="s">
        <v>137</v>
      </c>
      <c r="N25" s="15">
        <v>46248</v>
      </c>
      <c r="O25" s="11" t="s">
        <v>18</v>
      </c>
      <c r="P25" s="13"/>
      <c r="Q25" t="str">
        <f t="shared" si="0"/>
        <v>Architectural</v>
      </c>
      <c r="R25" s="54">
        <f t="shared" si="1"/>
        <v>46236</v>
      </c>
    </row>
    <row r="26" spans="1:18" s="8" customFormat="1" ht="51.6" customHeight="1" x14ac:dyDescent="0.3">
      <c r="A26" s="9"/>
      <c r="B26" s="17" t="s">
        <v>138</v>
      </c>
      <c r="C26" s="4">
        <v>0</v>
      </c>
      <c r="D26" s="1" t="s">
        <v>139</v>
      </c>
      <c r="E26" s="21" t="s">
        <v>140</v>
      </c>
      <c r="F26" s="58">
        <v>46242</v>
      </c>
      <c r="G26" s="27"/>
      <c r="H26" s="22"/>
      <c r="I26" s="4" t="s">
        <v>141</v>
      </c>
      <c r="J26" s="5">
        <v>46273</v>
      </c>
      <c r="K26" s="1"/>
      <c r="L26" s="1"/>
      <c r="M26" s="23" t="s">
        <v>142</v>
      </c>
      <c r="N26" s="15" t="s">
        <v>143</v>
      </c>
      <c r="O26" s="11" t="s">
        <v>18</v>
      </c>
      <c r="P26" s="13"/>
      <c r="Q26" t="str">
        <f t="shared" si="0"/>
        <v>Structural</v>
      </c>
      <c r="R26" s="54">
        <f t="shared" si="1"/>
        <v>46242</v>
      </c>
    </row>
    <row r="27" spans="1:18" s="8" customFormat="1" ht="51.6" customHeight="1" x14ac:dyDescent="0.3">
      <c r="A27" s="9"/>
      <c r="B27" s="17" t="s">
        <v>144</v>
      </c>
      <c r="C27" s="4">
        <v>0</v>
      </c>
      <c r="D27" s="1" t="s">
        <v>145</v>
      </c>
      <c r="E27" s="21" t="s">
        <v>146</v>
      </c>
      <c r="F27" s="58">
        <v>46237</v>
      </c>
      <c r="G27" s="27"/>
      <c r="H27" s="22"/>
      <c r="I27" s="4" t="s">
        <v>147</v>
      </c>
      <c r="J27" s="5">
        <v>46243</v>
      </c>
      <c r="K27" s="1"/>
      <c r="L27" s="1"/>
      <c r="M27" s="23" t="s">
        <v>148</v>
      </c>
      <c r="N27" s="15" t="s">
        <v>143</v>
      </c>
      <c r="O27" s="11" t="s">
        <v>18</v>
      </c>
      <c r="P27" s="13"/>
      <c r="Q27" t="str">
        <f t="shared" si="0"/>
        <v>Structural</v>
      </c>
      <c r="R27" s="54">
        <f t="shared" si="1"/>
        <v>46237</v>
      </c>
    </row>
    <row r="28" spans="1:18" s="8" customFormat="1" ht="51.6" customHeight="1" x14ac:dyDescent="0.3">
      <c r="A28" s="9"/>
      <c r="B28" s="17" t="s">
        <v>149</v>
      </c>
      <c r="C28" s="4">
        <v>0</v>
      </c>
      <c r="D28" s="1" t="s">
        <v>150</v>
      </c>
      <c r="E28" s="21" t="s">
        <v>151</v>
      </c>
      <c r="F28" s="58">
        <v>46237</v>
      </c>
      <c r="G28" s="27"/>
      <c r="H28" s="22"/>
      <c r="I28" s="4" t="s">
        <v>152</v>
      </c>
      <c r="J28" s="5">
        <v>46243</v>
      </c>
      <c r="K28" s="1"/>
      <c r="L28" s="1"/>
      <c r="M28" s="23" t="s">
        <v>153</v>
      </c>
      <c r="N28" s="15" t="s">
        <v>143</v>
      </c>
      <c r="O28" s="11" t="s">
        <v>18</v>
      </c>
      <c r="P28" s="13"/>
      <c r="Q28" t="str">
        <f t="shared" si="0"/>
        <v>Structural</v>
      </c>
      <c r="R28" s="54">
        <f t="shared" si="1"/>
        <v>46237</v>
      </c>
    </row>
    <row r="29" spans="1:18" s="8" customFormat="1" ht="51.6" customHeight="1" x14ac:dyDescent="0.3">
      <c r="A29" s="9"/>
      <c r="B29" s="17" t="s">
        <v>154</v>
      </c>
      <c r="C29" s="34">
        <v>1</v>
      </c>
      <c r="D29" s="1" t="s">
        <v>150</v>
      </c>
      <c r="E29" s="21" t="s">
        <v>151</v>
      </c>
      <c r="F29" s="58">
        <v>46253</v>
      </c>
      <c r="G29" s="27"/>
      <c r="H29" s="22"/>
      <c r="I29" s="4" t="s">
        <v>155</v>
      </c>
      <c r="J29" s="5">
        <v>46253</v>
      </c>
      <c r="K29" s="1"/>
      <c r="L29" s="1"/>
      <c r="M29" s="23" t="s">
        <v>156</v>
      </c>
      <c r="N29" s="15">
        <v>46258</v>
      </c>
      <c r="O29" s="11" t="s">
        <v>18</v>
      </c>
      <c r="P29" s="13"/>
      <c r="Q29" t="str">
        <f t="shared" si="0"/>
        <v>Structural</v>
      </c>
      <c r="R29" s="54">
        <f t="shared" si="1"/>
        <v>46253</v>
      </c>
    </row>
    <row r="30" spans="1:18" s="8" customFormat="1" ht="51.6" customHeight="1" x14ac:dyDescent="0.3">
      <c r="A30" s="9"/>
      <c r="B30" s="17" t="s">
        <v>157</v>
      </c>
      <c r="C30" s="4">
        <v>0</v>
      </c>
      <c r="D30" s="1" t="s">
        <v>158</v>
      </c>
      <c r="E30" s="21" t="s">
        <v>159</v>
      </c>
      <c r="F30" s="58">
        <v>46237</v>
      </c>
      <c r="G30" s="27" t="s">
        <v>160</v>
      </c>
      <c r="H30" s="22">
        <v>46246</v>
      </c>
      <c r="I30" s="4" t="s">
        <v>160</v>
      </c>
      <c r="J30" s="5">
        <v>46246</v>
      </c>
      <c r="K30" s="1"/>
      <c r="L30" s="1"/>
      <c r="M30" s="23"/>
      <c r="N30" s="15"/>
      <c r="O30" s="12" t="s">
        <v>24</v>
      </c>
      <c r="P30" s="13"/>
      <c r="Q30" t="str">
        <f t="shared" si="0"/>
        <v>Architectural</v>
      </c>
      <c r="R30" s="54">
        <f t="shared" si="1"/>
        <v>46237</v>
      </c>
    </row>
    <row r="31" spans="1:18" s="8" customFormat="1" ht="51.6" customHeight="1" x14ac:dyDescent="0.3">
      <c r="A31" s="9"/>
      <c r="B31" s="17" t="s">
        <v>161</v>
      </c>
      <c r="C31" s="4">
        <v>0</v>
      </c>
      <c r="D31" s="1" t="s">
        <v>162</v>
      </c>
      <c r="E31" s="21" t="s">
        <v>163</v>
      </c>
      <c r="F31" s="58">
        <v>46237</v>
      </c>
      <c r="G31" s="27" t="s">
        <v>164</v>
      </c>
      <c r="H31" s="22">
        <v>46246</v>
      </c>
      <c r="I31" s="4" t="s">
        <v>164</v>
      </c>
      <c r="J31" s="5">
        <v>46246</v>
      </c>
      <c r="K31" s="1"/>
      <c r="L31" s="1"/>
      <c r="M31" s="23"/>
      <c r="N31" s="15"/>
      <c r="O31" s="12" t="s">
        <v>24</v>
      </c>
      <c r="P31" s="13"/>
      <c r="Q31" t="str">
        <f t="shared" si="0"/>
        <v>Architectural</v>
      </c>
      <c r="R31" s="54">
        <f t="shared" si="1"/>
        <v>46237</v>
      </c>
    </row>
    <row r="32" spans="1:18" s="8" customFormat="1" ht="51.6" customHeight="1" x14ac:dyDescent="0.3">
      <c r="A32" s="9"/>
      <c r="B32" s="17" t="s">
        <v>165</v>
      </c>
      <c r="C32" s="4">
        <v>0</v>
      </c>
      <c r="D32" s="1" t="s">
        <v>166</v>
      </c>
      <c r="E32" s="21" t="s">
        <v>167</v>
      </c>
      <c r="F32" s="58">
        <v>46237</v>
      </c>
      <c r="G32" s="27" t="s">
        <v>168</v>
      </c>
      <c r="H32" s="22">
        <v>46246</v>
      </c>
      <c r="I32" s="4" t="s">
        <v>168</v>
      </c>
      <c r="J32" s="5">
        <v>46246</v>
      </c>
      <c r="K32" s="1"/>
      <c r="L32" s="1"/>
      <c r="M32" s="23"/>
      <c r="N32" s="15"/>
      <c r="O32" s="12" t="s">
        <v>24</v>
      </c>
      <c r="P32" s="13"/>
      <c r="Q32" t="str">
        <f t="shared" si="0"/>
        <v>Architectural</v>
      </c>
      <c r="R32" s="54">
        <f t="shared" si="1"/>
        <v>46237</v>
      </c>
    </row>
    <row r="33" spans="1:18" s="8" customFormat="1" ht="51.6" customHeight="1" x14ac:dyDescent="0.3">
      <c r="A33" s="9"/>
      <c r="B33" s="17" t="s">
        <v>169</v>
      </c>
      <c r="C33" s="4">
        <v>0</v>
      </c>
      <c r="D33" s="1" t="s">
        <v>170</v>
      </c>
      <c r="E33" s="21" t="s">
        <v>171</v>
      </c>
      <c r="F33" s="58">
        <v>46237</v>
      </c>
      <c r="G33" s="27" t="s">
        <v>172</v>
      </c>
      <c r="H33" s="22">
        <v>46246</v>
      </c>
      <c r="I33" s="4" t="s">
        <v>172</v>
      </c>
      <c r="J33" s="5">
        <v>46246</v>
      </c>
      <c r="K33" s="1"/>
      <c r="L33" s="1"/>
      <c r="M33" s="23"/>
      <c r="N33" s="15"/>
      <c r="O33" s="12" t="s">
        <v>24</v>
      </c>
      <c r="P33" s="13"/>
      <c r="Q33" t="str">
        <f t="shared" si="0"/>
        <v>Architectural</v>
      </c>
      <c r="R33" s="54">
        <f t="shared" si="1"/>
        <v>46237</v>
      </c>
    </row>
    <row r="34" spans="1:18" s="8" customFormat="1" ht="51.6" customHeight="1" x14ac:dyDescent="0.3">
      <c r="A34" s="9"/>
      <c r="B34" s="17" t="s">
        <v>173</v>
      </c>
      <c r="C34" s="4">
        <v>0</v>
      </c>
      <c r="D34" s="1" t="s">
        <v>174</v>
      </c>
      <c r="E34" s="21" t="s">
        <v>175</v>
      </c>
      <c r="F34" s="58">
        <v>46237</v>
      </c>
      <c r="G34" s="27" t="s">
        <v>176</v>
      </c>
      <c r="H34" s="22">
        <v>46246</v>
      </c>
      <c r="I34" s="4" t="s">
        <v>176</v>
      </c>
      <c r="J34" s="5">
        <v>46246</v>
      </c>
      <c r="K34" s="1"/>
      <c r="L34" s="1"/>
      <c r="M34" s="23" t="s">
        <v>177</v>
      </c>
      <c r="N34" s="15">
        <v>46248</v>
      </c>
      <c r="O34" s="11" t="s">
        <v>18</v>
      </c>
      <c r="P34" s="13"/>
      <c r="Q34" t="str">
        <f t="shared" si="0"/>
        <v>Structural</v>
      </c>
      <c r="R34" s="54">
        <f t="shared" si="1"/>
        <v>46237</v>
      </c>
    </row>
    <row r="35" spans="1:18" s="8" customFormat="1" ht="51.6" customHeight="1" x14ac:dyDescent="0.3">
      <c r="A35" s="9"/>
      <c r="B35" s="17" t="s">
        <v>178</v>
      </c>
      <c r="C35" s="34">
        <v>1</v>
      </c>
      <c r="D35" s="1" t="s">
        <v>174</v>
      </c>
      <c r="E35" s="21" t="s">
        <v>175</v>
      </c>
      <c r="F35" s="58">
        <v>46274</v>
      </c>
      <c r="G35" s="27"/>
      <c r="H35" s="22"/>
      <c r="I35" s="4" t="s">
        <v>179</v>
      </c>
      <c r="J35" s="5">
        <v>46275</v>
      </c>
      <c r="K35" s="1"/>
      <c r="L35" s="1"/>
      <c r="M35" s="23"/>
      <c r="N35" s="15"/>
      <c r="O35" s="12" t="s">
        <v>24</v>
      </c>
      <c r="P35" s="13"/>
      <c r="Q35" t="str">
        <f t="shared" si="0"/>
        <v>Structural</v>
      </c>
      <c r="R35" s="54">
        <f t="shared" si="1"/>
        <v>46274</v>
      </c>
    </row>
    <row r="36" spans="1:18" s="8" customFormat="1" ht="51.6" customHeight="1" x14ac:dyDescent="0.3">
      <c r="A36" s="9"/>
      <c r="B36" s="17" t="s">
        <v>180</v>
      </c>
      <c r="C36" s="4">
        <v>0</v>
      </c>
      <c r="D36" s="1" t="s">
        <v>181</v>
      </c>
      <c r="E36" s="21" t="s">
        <v>182</v>
      </c>
      <c r="F36" s="58">
        <v>46239</v>
      </c>
      <c r="G36" s="27" t="s">
        <v>183</v>
      </c>
      <c r="H36" s="22">
        <v>46246</v>
      </c>
      <c r="I36" s="4" t="s">
        <v>183</v>
      </c>
      <c r="J36" s="5">
        <v>46246</v>
      </c>
      <c r="K36" s="1"/>
      <c r="L36" s="1"/>
      <c r="M36" s="23"/>
      <c r="N36" s="15"/>
      <c r="O36" s="12" t="s">
        <v>24</v>
      </c>
      <c r="P36" s="13"/>
      <c r="Q36" t="str">
        <f t="shared" si="0"/>
        <v>Architectural</v>
      </c>
      <c r="R36" s="54">
        <f t="shared" si="1"/>
        <v>46239</v>
      </c>
    </row>
    <row r="37" spans="1:18" s="8" customFormat="1" ht="51.6" customHeight="1" x14ac:dyDescent="0.3">
      <c r="A37" s="9"/>
      <c r="B37" s="17" t="s">
        <v>184</v>
      </c>
      <c r="C37" s="4">
        <v>0</v>
      </c>
      <c r="D37" s="1" t="s">
        <v>185</v>
      </c>
      <c r="E37" s="21" t="s">
        <v>186</v>
      </c>
      <c r="F37" s="58">
        <v>46247</v>
      </c>
      <c r="G37" s="27"/>
      <c r="H37" s="22"/>
      <c r="I37" s="4" t="s">
        <v>187</v>
      </c>
      <c r="J37" s="5" t="s">
        <v>188</v>
      </c>
      <c r="K37" s="1"/>
      <c r="L37" s="1"/>
      <c r="M37" s="23" t="s">
        <v>189</v>
      </c>
      <c r="N37" s="15">
        <v>46253</v>
      </c>
      <c r="O37" s="11" t="s">
        <v>18</v>
      </c>
      <c r="P37" s="13"/>
      <c r="Q37" t="str">
        <f t="shared" si="0"/>
        <v>Structural</v>
      </c>
      <c r="R37" s="54">
        <f t="shared" si="1"/>
        <v>46247</v>
      </c>
    </row>
    <row r="38" spans="1:18" s="8" customFormat="1" ht="51.6" customHeight="1" x14ac:dyDescent="0.3">
      <c r="A38" s="9"/>
      <c r="B38" s="17" t="s">
        <v>190</v>
      </c>
      <c r="C38" s="4">
        <v>0</v>
      </c>
      <c r="D38" s="1" t="s">
        <v>191</v>
      </c>
      <c r="E38" s="21" t="s">
        <v>192</v>
      </c>
      <c r="F38" s="58">
        <v>46247</v>
      </c>
      <c r="G38" s="27"/>
      <c r="H38" s="22"/>
      <c r="I38" s="4" t="s">
        <v>193</v>
      </c>
      <c r="J38" s="5" t="s">
        <v>188</v>
      </c>
      <c r="K38" s="1"/>
      <c r="L38" s="1"/>
      <c r="M38" s="23" t="s">
        <v>194</v>
      </c>
      <c r="N38" s="15">
        <v>46253</v>
      </c>
      <c r="O38" s="11" t="s">
        <v>18</v>
      </c>
      <c r="P38" s="13"/>
      <c r="Q38" t="str">
        <f t="shared" si="0"/>
        <v>Structural</v>
      </c>
      <c r="R38" s="54">
        <f t="shared" si="1"/>
        <v>46247</v>
      </c>
    </row>
    <row r="39" spans="1:18" ht="31.2" customHeight="1" x14ac:dyDescent="0.3">
      <c r="B39" s="17" t="s">
        <v>195</v>
      </c>
      <c r="C39" s="4">
        <v>0</v>
      </c>
      <c r="D39" s="1" t="s">
        <v>196</v>
      </c>
      <c r="E39" s="21" t="s">
        <v>197</v>
      </c>
      <c r="F39" s="58">
        <v>46247</v>
      </c>
      <c r="G39" s="27"/>
      <c r="H39" s="22"/>
      <c r="I39" s="4" t="s">
        <v>198</v>
      </c>
      <c r="J39" s="5" t="s">
        <v>188</v>
      </c>
      <c r="K39" s="1"/>
      <c r="L39" s="1"/>
      <c r="M39" s="23" t="s">
        <v>199</v>
      </c>
      <c r="N39" s="15">
        <v>46253</v>
      </c>
      <c r="O39" s="11" t="s">
        <v>18</v>
      </c>
      <c r="Q39" t="str">
        <f t="shared" si="0"/>
        <v>Structural</v>
      </c>
      <c r="R39" s="54">
        <f t="shared" si="1"/>
        <v>46247</v>
      </c>
    </row>
    <row r="40" spans="1:18" ht="42" customHeight="1" x14ac:dyDescent="0.3">
      <c r="B40" s="17" t="s">
        <v>200</v>
      </c>
      <c r="C40" s="4">
        <v>0</v>
      </c>
      <c r="D40" s="1" t="s">
        <v>201</v>
      </c>
      <c r="E40" s="21" t="s">
        <v>202</v>
      </c>
      <c r="F40" s="58">
        <v>46247</v>
      </c>
      <c r="G40" s="27"/>
      <c r="H40" s="22"/>
      <c r="I40" s="4" t="s">
        <v>203</v>
      </c>
      <c r="J40" s="5">
        <v>46248</v>
      </c>
      <c r="K40" s="1"/>
      <c r="L40" s="1"/>
      <c r="M40" s="23" t="s">
        <v>204</v>
      </c>
      <c r="N40" s="15">
        <v>46253</v>
      </c>
      <c r="O40" s="11" t="s">
        <v>18</v>
      </c>
      <c r="Q40" t="str">
        <f t="shared" si="0"/>
        <v>Structural</v>
      </c>
      <c r="R40" s="54">
        <f t="shared" si="1"/>
        <v>46247</v>
      </c>
    </row>
    <row r="41" spans="1:18" ht="31.2" customHeight="1" x14ac:dyDescent="0.3">
      <c r="B41" s="17" t="s">
        <v>205</v>
      </c>
      <c r="C41" s="4">
        <v>0</v>
      </c>
      <c r="D41" s="1" t="s">
        <v>206</v>
      </c>
      <c r="E41" s="21" t="s">
        <v>207</v>
      </c>
      <c r="F41" s="58">
        <v>46265</v>
      </c>
      <c r="G41" s="27"/>
      <c r="H41" s="22"/>
      <c r="I41" s="4" t="s">
        <v>208</v>
      </c>
      <c r="J41" s="5">
        <v>46266</v>
      </c>
      <c r="K41" s="1"/>
      <c r="L41" s="1"/>
      <c r="M41" s="23" t="s">
        <v>209</v>
      </c>
      <c r="N41" s="15">
        <v>46279</v>
      </c>
      <c r="O41" s="11" t="s">
        <v>18</v>
      </c>
      <c r="Q41" t="str">
        <f t="shared" si="0"/>
        <v>Structural</v>
      </c>
      <c r="R41" s="54">
        <f t="shared" si="1"/>
        <v>46265</v>
      </c>
    </row>
    <row r="42" spans="1:18" ht="46.95" customHeight="1" x14ac:dyDescent="0.3">
      <c r="B42" s="17" t="s">
        <v>210</v>
      </c>
      <c r="C42" s="4">
        <v>0</v>
      </c>
      <c r="D42" s="1" t="s">
        <v>211</v>
      </c>
      <c r="E42" s="21" t="s">
        <v>212</v>
      </c>
      <c r="F42" s="58">
        <v>46265</v>
      </c>
      <c r="G42" s="27"/>
      <c r="H42" s="22"/>
      <c r="I42" s="4" t="s">
        <v>213</v>
      </c>
      <c r="J42" s="5">
        <v>46266</v>
      </c>
      <c r="K42" s="1"/>
      <c r="L42" s="1"/>
      <c r="M42" s="23" t="s">
        <v>214</v>
      </c>
      <c r="N42" s="15">
        <v>46279</v>
      </c>
      <c r="O42" s="11" t="s">
        <v>18</v>
      </c>
      <c r="Q42" t="str">
        <f t="shared" si="0"/>
        <v>Structural</v>
      </c>
      <c r="R42" s="54">
        <f t="shared" si="1"/>
        <v>46265</v>
      </c>
    </row>
    <row r="43" spans="1:18" ht="31.2" customHeight="1" x14ac:dyDescent="0.3">
      <c r="B43" s="17" t="s">
        <v>215</v>
      </c>
      <c r="C43" s="4">
        <v>0</v>
      </c>
      <c r="D43" s="1" t="s">
        <v>216</v>
      </c>
      <c r="E43" s="21" t="s">
        <v>217</v>
      </c>
      <c r="F43" s="58">
        <v>46272</v>
      </c>
      <c r="G43" s="27"/>
      <c r="H43" s="22"/>
      <c r="I43" s="4" t="s">
        <v>218</v>
      </c>
      <c r="J43" s="5">
        <v>46275</v>
      </c>
      <c r="K43" s="1"/>
      <c r="L43" s="1"/>
      <c r="M43" s="23" t="s">
        <v>215</v>
      </c>
      <c r="N43" s="15">
        <v>46279</v>
      </c>
      <c r="O43" s="11" t="s">
        <v>18</v>
      </c>
      <c r="Q43" t="str">
        <f t="shared" si="0"/>
        <v>Structural</v>
      </c>
      <c r="R43" s="54">
        <f t="shared" si="1"/>
        <v>46272</v>
      </c>
    </row>
    <row r="44" spans="1:18" ht="31.2" customHeight="1" x14ac:dyDescent="0.3">
      <c r="B44" s="17" t="s">
        <v>219</v>
      </c>
      <c r="C44" s="4">
        <v>0</v>
      </c>
      <c r="D44" s="1" t="s">
        <v>220</v>
      </c>
      <c r="E44" s="21" t="s">
        <v>221</v>
      </c>
      <c r="F44" s="58">
        <v>46272</v>
      </c>
      <c r="G44" s="27"/>
      <c r="H44" s="22"/>
      <c r="I44" s="4" t="s">
        <v>222</v>
      </c>
      <c r="J44" s="5">
        <v>46275</v>
      </c>
      <c r="K44" s="1"/>
      <c r="L44" s="1"/>
      <c r="M44" s="23" t="s">
        <v>219</v>
      </c>
      <c r="N44" s="15">
        <v>46279</v>
      </c>
      <c r="O44" s="11" t="s">
        <v>18</v>
      </c>
      <c r="Q44" t="str">
        <f t="shared" si="0"/>
        <v>Structural</v>
      </c>
      <c r="R44" s="54">
        <f t="shared" si="1"/>
        <v>46272</v>
      </c>
    </row>
    <row r="45" spans="1:18" ht="31.2" customHeight="1" x14ac:dyDescent="0.3">
      <c r="B45" s="17" t="s">
        <v>223</v>
      </c>
      <c r="C45" s="4">
        <v>0</v>
      </c>
      <c r="D45" s="1" t="s">
        <v>224</v>
      </c>
      <c r="E45" s="21" t="s">
        <v>225</v>
      </c>
      <c r="F45" s="58">
        <v>46272</v>
      </c>
      <c r="G45" s="27"/>
      <c r="H45" s="22"/>
      <c r="I45" s="4" t="s">
        <v>226</v>
      </c>
      <c r="J45" s="5">
        <v>46275</v>
      </c>
      <c r="K45" s="1"/>
      <c r="L45" s="1"/>
      <c r="M45" s="23" t="s">
        <v>226</v>
      </c>
      <c r="N45" s="15">
        <v>46274</v>
      </c>
      <c r="O45" s="11" t="s">
        <v>18</v>
      </c>
      <c r="Q45" t="str">
        <f t="shared" si="0"/>
        <v>Structural</v>
      </c>
      <c r="R45" s="54">
        <f t="shared" si="1"/>
        <v>46272</v>
      </c>
    </row>
    <row r="46" spans="1:18" ht="31.2" customHeight="1" x14ac:dyDescent="0.3">
      <c r="B46" s="17" t="s">
        <v>227</v>
      </c>
      <c r="C46" s="4">
        <v>0</v>
      </c>
      <c r="D46" s="1" t="s">
        <v>228</v>
      </c>
      <c r="E46" s="21" t="s">
        <v>229</v>
      </c>
      <c r="F46" s="58">
        <v>46272</v>
      </c>
      <c r="G46" s="27"/>
      <c r="H46" s="22"/>
      <c r="I46" s="4" t="s">
        <v>230</v>
      </c>
      <c r="J46" s="5">
        <v>46275</v>
      </c>
      <c r="K46" s="1"/>
      <c r="L46" s="1"/>
      <c r="M46" s="23" t="s">
        <v>230</v>
      </c>
      <c r="N46" s="15">
        <v>46274</v>
      </c>
      <c r="O46" s="11" t="s">
        <v>18</v>
      </c>
      <c r="Q46" t="str">
        <f t="shared" si="0"/>
        <v>Structural</v>
      </c>
      <c r="R46" s="54">
        <f t="shared" si="1"/>
        <v>46272</v>
      </c>
    </row>
    <row r="47" spans="1:18" ht="31.2" customHeight="1" x14ac:dyDescent="0.3">
      <c r="B47" s="17" t="s">
        <v>231</v>
      </c>
      <c r="C47" s="4">
        <v>0</v>
      </c>
      <c r="D47" s="1" t="s">
        <v>232</v>
      </c>
      <c r="E47" s="21" t="s">
        <v>233</v>
      </c>
      <c r="F47" s="58">
        <v>46272</v>
      </c>
      <c r="G47" s="27"/>
      <c r="H47" s="22"/>
      <c r="I47" s="4" t="s">
        <v>234</v>
      </c>
      <c r="J47" s="5">
        <v>46274</v>
      </c>
      <c r="K47" s="1"/>
      <c r="L47" s="1"/>
      <c r="M47" s="23" t="s">
        <v>234</v>
      </c>
      <c r="N47" s="15">
        <v>46274</v>
      </c>
      <c r="O47" s="11" t="s">
        <v>18</v>
      </c>
      <c r="Q47" t="str">
        <f t="shared" si="0"/>
        <v>Structural</v>
      </c>
      <c r="R47" s="54">
        <f t="shared" si="1"/>
        <v>46272</v>
      </c>
    </row>
    <row r="48" spans="1:18" ht="31.2" customHeight="1" x14ac:dyDescent="0.3">
      <c r="B48" s="17" t="s">
        <v>235</v>
      </c>
      <c r="C48" s="4">
        <v>0</v>
      </c>
      <c r="D48" s="1" t="s">
        <v>236</v>
      </c>
      <c r="E48" s="21" t="s">
        <v>237</v>
      </c>
      <c r="F48" s="58">
        <v>46272</v>
      </c>
      <c r="G48" s="27"/>
      <c r="H48" s="22"/>
      <c r="I48" s="4" t="s">
        <v>238</v>
      </c>
      <c r="J48" s="5">
        <v>46278</v>
      </c>
      <c r="K48" s="1"/>
      <c r="L48" s="1"/>
      <c r="M48" s="23" t="s">
        <v>238</v>
      </c>
      <c r="N48" s="15">
        <v>46278</v>
      </c>
      <c r="O48" s="11" t="s">
        <v>18</v>
      </c>
      <c r="Q48" t="str">
        <f t="shared" si="0"/>
        <v>Structural</v>
      </c>
      <c r="R48" s="54">
        <f t="shared" si="1"/>
        <v>46272</v>
      </c>
    </row>
    <row r="49" spans="2:18" ht="31.2" customHeight="1" x14ac:dyDescent="0.3">
      <c r="B49" s="17" t="s">
        <v>404</v>
      </c>
      <c r="C49" s="34">
        <v>1</v>
      </c>
      <c r="D49" s="1" t="s">
        <v>236</v>
      </c>
      <c r="E49" s="21" t="s">
        <v>237</v>
      </c>
      <c r="F49" s="58">
        <v>46292</v>
      </c>
      <c r="G49" s="27"/>
      <c r="H49" s="22"/>
      <c r="I49" s="4" t="s">
        <v>239</v>
      </c>
      <c r="J49" s="5">
        <v>46292</v>
      </c>
      <c r="K49" s="1"/>
      <c r="L49" s="1"/>
      <c r="M49" s="23" t="s">
        <v>238</v>
      </c>
      <c r="N49" s="15">
        <v>46292</v>
      </c>
      <c r="O49" s="11" t="s">
        <v>18</v>
      </c>
      <c r="Q49" t="str">
        <f t="shared" si="0"/>
        <v>Structural</v>
      </c>
      <c r="R49" s="54">
        <f t="shared" si="1"/>
        <v>46292</v>
      </c>
    </row>
    <row r="50" spans="2:18" ht="31.2" customHeight="1" x14ac:dyDescent="0.3">
      <c r="B50" s="17" t="s">
        <v>240</v>
      </c>
      <c r="C50" s="4">
        <v>0</v>
      </c>
      <c r="D50" s="1" t="s">
        <v>241</v>
      </c>
      <c r="E50" s="21" t="s">
        <v>242</v>
      </c>
      <c r="F50" s="58">
        <v>46272</v>
      </c>
      <c r="G50" s="27"/>
      <c r="H50" s="22"/>
      <c r="I50" s="4" t="s">
        <v>243</v>
      </c>
      <c r="J50" s="5">
        <v>46278</v>
      </c>
      <c r="K50" s="1"/>
      <c r="L50" s="1"/>
      <c r="M50" s="23" t="s">
        <v>243</v>
      </c>
      <c r="N50" s="15">
        <v>46278</v>
      </c>
      <c r="O50" s="11" t="s">
        <v>18</v>
      </c>
      <c r="Q50" t="str">
        <f t="shared" si="0"/>
        <v>Structural</v>
      </c>
      <c r="R50" s="54">
        <f t="shared" si="1"/>
        <v>46272</v>
      </c>
    </row>
    <row r="51" spans="2:18" ht="31.2" customHeight="1" x14ac:dyDescent="0.3">
      <c r="B51" s="17" t="s">
        <v>244</v>
      </c>
      <c r="C51" s="4">
        <v>0</v>
      </c>
      <c r="D51" s="1" t="s">
        <v>245</v>
      </c>
      <c r="E51" s="21" t="s">
        <v>246</v>
      </c>
      <c r="F51" s="58">
        <v>46272</v>
      </c>
      <c r="G51" s="27"/>
      <c r="H51" s="22"/>
      <c r="I51" s="4" t="s">
        <v>247</v>
      </c>
      <c r="J51" s="5">
        <v>46278</v>
      </c>
      <c r="K51" s="1"/>
      <c r="L51" s="1"/>
      <c r="M51" s="23" t="s">
        <v>247</v>
      </c>
      <c r="N51" s="15">
        <v>46278</v>
      </c>
      <c r="O51" s="11" t="s">
        <v>18</v>
      </c>
      <c r="Q51" t="str">
        <f t="shared" si="0"/>
        <v>Structural</v>
      </c>
      <c r="R51" s="54">
        <f t="shared" si="1"/>
        <v>46272</v>
      </c>
    </row>
    <row r="52" spans="2:18" ht="31.2" customHeight="1" x14ac:dyDescent="0.3">
      <c r="B52" s="17" t="s">
        <v>248</v>
      </c>
      <c r="C52" s="4">
        <v>0</v>
      </c>
      <c r="D52" s="1" t="s">
        <v>249</v>
      </c>
      <c r="E52" s="21" t="s">
        <v>250</v>
      </c>
      <c r="F52" s="58">
        <v>46274</v>
      </c>
      <c r="G52" s="27"/>
      <c r="H52" s="22"/>
      <c r="I52" s="4" t="s">
        <v>251</v>
      </c>
      <c r="J52" s="5">
        <v>46275</v>
      </c>
      <c r="K52" s="1"/>
      <c r="L52" s="1"/>
      <c r="M52" s="23" t="s">
        <v>252</v>
      </c>
      <c r="N52" s="15">
        <v>46301</v>
      </c>
      <c r="O52" s="11" t="s">
        <v>18</v>
      </c>
      <c r="Q52" t="str">
        <f t="shared" si="0"/>
        <v>Structural</v>
      </c>
      <c r="R52" s="54">
        <f t="shared" si="1"/>
        <v>46274</v>
      </c>
    </row>
    <row r="53" spans="2:18" ht="31.2" customHeight="1" x14ac:dyDescent="0.3">
      <c r="B53" s="17" t="s">
        <v>253</v>
      </c>
      <c r="C53" s="4">
        <v>0</v>
      </c>
      <c r="D53" s="1" t="s">
        <v>254</v>
      </c>
      <c r="E53" s="21" t="s">
        <v>255</v>
      </c>
      <c r="F53" s="58">
        <v>46274</v>
      </c>
      <c r="G53" s="27"/>
      <c r="H53" s="22"/>
      <c r="I53" s="4" t="s">
        <v>256</v>
      </c>
      <c r="J53" s="5">
        <v>46275</v>
      </c>
      <c r="K53" s="1"/>
      <c r="L53" s="1"/>
      <c r="M53" s="23" t="s">
        <v>257</v>
      </c>
      <c r="N53" s="15">
        <v>46287</v>
      </c>
      <c r="O53" s="11" t="s">
        <v>18</v>
      </c>
      <c r="Q53" t="str">
        <f t="shared" si="0"/>
        <v>Structural</v>
      </c>
      <c r="R53" s="54">
        <f t="shared" si="1"/>
        <v>46274</v>
      </c>
    </row>
    <row r="54" spans="2:18" ht="31.2" customHeight="1" x14ac:dyDescent="0.3">
      <c r="B54" s="17" t="s">
        <v>258</v>
      </c>
      <c r="C54" s="4">
        <v>0</v>
      </c>
      <c r="D54" s="1" t="s">
        <v>259</v>
      </c>
      <c r="E54" s="21" t="s">
        <v>260</v>
      </c>
      <c r="F54" s="58">
        <v>46274</v>
      </c>
      <c r="G54" s="27"/>
      <c r="H54" s="22"/>
      <c r="I54" s="4" t="s">
        <v>261</v>
      </c>
      <c r="J54" s="5">
        <v>46275</v>
      </c>
      <c r="K54" s="1"/>
      <c r="L54" s="1"/>
      <c r="M54" s="23" t="s">
        <v>262</v>
      </c>
      <c r="N54" s="15">
        <v>46285</v>
      </c>
      <c r="O54" s="11" t="s">
        <v>18</v>
      </c>
      <c r="Q54" t="str">
        <f t="shared" si="0"/>
        <v>Structural</v>
      </c>
      <c r="R54" s="54">
        <f t="shared" si="1"/>
        <v>46274</v>
      </c>
    </row>
    <row r="55" spans="2:18" ht="31.2" customHeight="1" x14ac:dyDescent="0.3">
      <c r="B55" s="17" t="s">
        <v>253</v>
      </c>
      <c r="C55" s="4">
        <v>0</v>
      </c>
      <c r="D55" s="1" t="s">
        <v>263</v>
      </c>
      <c r="E55" s="21" t="s">
        <v>264</v>
      </c>
      <c r="F55" s="58">
        <v>46274</v>
      </c>
      <c r="G55" s="27"/>
      <c r="H55" s="22"/>
      <c r="I55" s="4" t="s">
        <v>265</v>
      </c>
      <c r="J55" s="5">
        <v>46275</v>
      </c>
      <c r="K55" s="1"/>
      <c r="L55" s="1"/>
      <c r="M55" s="23" t="s">
        <v>266</v>
      </c>
      <c r="N55" s="15">
        <v>46281</v>
      </c>
      <c r="O55" s="11" t="s">
        <v>18</v>
      </c>
      <c r="Q55" t="str">
        <f t="shared" si="0"/>
        <v>Structural</v>
      </c>
      <c r="R55" s="54">
        <f t="shared" si="1"/>
        <v>46274</v>
      </c>
    </row>
    <row r="56" spans="2:18" ht="31.2" customHeight="1" x14ac:dyDescent="0.3">
      <c r="B56" s="17" t="s">
        <v>267</v>
      </c>
      <c r="C56" s="4">
        <v>0</v>
      </c>
      <c r="D56" s="1" t="s">
        <v>268</v>
      </c>
      <c r="E56" s="21" t="s">
        <v>269</v>
      </c>
      <c r="F56" s="58">
        <v>46275</v>
      </c>
      <c r="G56" s="27"/>
      <c r="H56" s="22"/>
      <c r="I56" s="4" t="s">
        <v>270</v>
      </c>
      <c r="J56" s="5">
        <v>46278</v>
      </c>
      <c r="K56" s="1"/>
      <c r="L56" s="1"/>
      <c r="M56" s="23" t="s">
        <v>271</v>
      </c>
      <c r="N56" s="15">
        <v>46287</v>
      </c>
      <c r="O56" s="11" t="s">
        <v>18</v>
      </c>
      <c r="Q56" t="str">
        <f t="shared" si="0"/>
        <v>Structural</v>
      </c>
      <c r="R56" s="54">
        <f t="shared" si="1"/>
        <v>46275</v>
      </c>
    </row>
    <row r="57" spans="2:18" ht="31.2" customHeight="1" x14ac:dyDescent="0.3">
      <c r="B57" s="17" t="s">
        <v>272</v>
      </c>
      <c r="C57" s="4">
        <v>0</v>
      </c>
      <c r="D57" s="1" t="s">
        <v>273</v>
      </c>
      <c r="E57" s="21" t="s">
        <v>274</v>
      </c>
      <c r="F57" s="58">
        <v>46275</v>
      </c>
      <c r="G57" s="27"/>
      <c r="H57" s="22"/>
      <c r="I57" s="4" t="s">
        <v>275</v>
      </c>
      <c r="J57" s="5">
        <v>46278</v>
      </c>
      <c r="K57" s="1"/>
      <c r="L57" s="1"/>
      <c r="M57" s="23" t="s">
        <v>276</v>
      </c>
      <c r="N57" s="15">
        <v>46281</v>
      </c>
      <c r="O57" s="11" t="s">
        <v>18</v>
      </c>
      <c r="Q57" t="str">
        <f t="shared" si="0"/>
        <v>Structural</v>
      </c>
      <c r="R57" s="54">
        <f t="shared" si="1"/>
        <v>46275</v>
      </c>
    </row>
    <row r="58" spans="2:18" ht="31.2" customHeight="1" x14ac:dyDescent="0.3">
      <c r="B58" s="17" t="s">
        <v>277</v>
      </c>
      <c r="C58" s="4">
        <v>0</v>
      </c>
      <c r="D58" s="1" t="s">
        <v>278</v>
      </c>
      <c r="E58" s="21" t="s">
        <v>279</v>
      </c>
      <c r="F58" s="58">
        <v>46277</v>
      </c>
      <c r="G58" s="27"/>
      <c r="H58" s="22"/>
      <c r="I58" s="4"/>
      <c r="J58" s="5"/>
      <c r="K58" s="1"/>
      <c r="L58" s="1"/>
      <c r="M58" s="23" t="s">
        <v>280</v>
      </c>
      <c r="N58" s="15">
        <v>46282</v>
      </c>
      <c r="O58" s="11" t="s">
        <v>18</v>
      </c>
      <c r="Q58" t="str">
        <f t="shared" si="0"/>
        <v>Structural</v>
      </c>
      <c r="R58" s="54">
        <f t="shared" si="1"/>
        <v>46277</v>
      </c>
    </row>
    <row r="59" spans="2:18" ht="31.2" customHeight="1" x14ac:dyDescent="0.3">
      <c r="B59" s="17" t="s">
        <v>281</v>
      </c>
      <c r="C59" s="4">
        <v>0</v>
      </c>
      <c r="D59" s="1" t="s">
        <v>282</v>
      </c>
      <c r="E59" s="21" t="s">
        <v>283</v>
      </c>
      <c r="F59" s="58">
        <v>46277</v>
      </c>
      <c r="G59" s="27"/>
      <c r="H59" s="22"/>
      <c r="I59" s="4" t="s">
        <v>284</v>
      </c>
      <c r="J59" s="5">
        <v>46284</v>
      </c>
      <c r="K59" s="1"/>
      <c r="L59" s="1"/>
      <c r="M59" s="23" t="s">
        <v>285</v>
      </c>
      <c r="N59" s="15">
        <v>46287</v>
      </c>
      <c r="O59" s="11" t="s">
        <v>18</v>
      </c>
      <c r="Q59" t="str">
        <f t="shared" si="0"/>
        <v>Structural</v>
      </c>
      <c r="R59" s="54">
        <f t="shared" si="1"/>
        <v>46277</v>
      </c>
    </row>
    <row r="60" spans="2:18" ht="31.2" customHeight="1" x14ac:dyDescent="0.3">
      <c r="B60" s="17" t="s">
        <v>286</v>
      </c>
      <c r="C60" s="4">
        <v>0</v>
      </c>
      <c r="D60" s="1" t="s">
        <v>287</v>
      </c>
      <c r="E60" s="21" t="s">
        <v>288</v>
      </c>
      <c r="F60" s="58">
        <v>46277</v>
      </c>
      <c r="G60" s="27"/>
      <c r="H60" s="22"/>
      <c r="I60" s="4"/>
      <c r="J60" s="5"/>
      <c r="K60" s="1"/>
      <c r="L60" s="1"/>
      <c r="M60" s="23" t="s">
        <v>289</v>
      </c>
      <c r="N60" s="15">
        <v>46280</v>
      </c>
      <c r="O60" s="11" t="s">
        <v>18</v>
      </c>
      <c r="Q60" t="str">
        <f t="shared" si="0"/>
        <v>Structural</v>
      </c>
      <c r="R60" s="54">
        <f t="shared" si="1"/>
        <v>46277</v>
      </c>
    </row>
    <row r="61" spans="2:18" ht="31.2" customHeight="1" x14ac:dyDescent="0.3">
      <c r="B61" s="17" t="s">
        <v>290</v>
      </c>
      <c r="C61" s="4">
        <v>0</v>
      </c>
      <c r="D61" s="1" t="s">
        <v>291</v>
      </c>
      <c r="E61" s="21" t="s">
        <v>292</v>
      </c>
      <c r="F61" s="58">
        <v>46277</v>
      </c>
      <c r="G61" s="27"/>
      <c r="H61" s="22"/>
      <c r="I61" s="4"/>
      <c r="J61" s="5"/>
      <c r="K61" s="1"/>
      <c r="L61" s="1"/>
      <c r="M61" s="23" t="s">
        <v>293</v>
      </c>
      <c r="N61" s="15">
        <v>46280</v>
      </c>
      <c r="O61" s="11" t="s">
        <v>18</v>
      </c>
      <c r="Q61" t="str">
        <f t="shared" si="0"/>
        <v>Structural</v>
      </c>
      <c r="R61" s="54">
        <f t="shared" si="1"/>
        <v>46277</v>
      </c>
    </row>
    <row r="62" spans="2:18" ht="31.2" customHeight="1" x14ac:dyDescent="0.3">
      <c r="B62" s="17" t="s">
        <v>294</v>
      </c>
      <c r="C62" s="4">
        <v>0</v>
      </c>
      <c r="D62" s="1" t="s">
        <v>295</v>
      </c>
      <c r="E62" s="21" t="s">
        <v>296</v>
      </c>
      <c r="F62" s="58">
        <v>46277</v>
      </c>
      <c r="G62" s="27"/>
      <c r="H62" s="22"/>
      <c r="I62" s="4"/>
      <c r="J62" s="5"/>
      <c r="K62" s="1"/>
      <c r="L62" s="1"/>
      <c r="M62" s="23" t="s">
        <v>297</v>
      </c>
      <c r="N62" s="15">
        <v>46282</v>
      </c>
      <c r="O62" s="11" t="s">
        <v>18</v>
      </c>
      <c r="Q62" t="str">
        <f t="shared" si="0"/>
        <v>Structural</v>
      </c>
      <c r="R62" s="54">
        <f t="shared" si="1"/>
        <v>46277</v>
      </c>
    </row>
    <row r="63" spans="2:18" ht="31.2" customHeight="1" x14ac:dyDescent="0.3">
      <c r="B63" s="17" t="s">
        <v>298</v>
      </c>
      <c r="C63" s="4">
        <v>0</v>
      </c>
      <c r="D63" s="1" t="s">
        <v>299</v>
      </c>
      <c r="E63" s="21" t="s">
        <v>300</v>
      </c>
      <c r="F63" s="58">
        <v>46277</v>
      </c>
      <c r="G63" s="27"/>
      <c r="H63" s="22"/>
      <c r="I63" s="4"/>
      <c r="J63" s="5"/>
      <c r="K63" s="1"/>
      <c r="L63" s="1"/>
      <c r="M63" s="23" t="s">
        <v>301</v>
      </c>
      <c r="N63" s="15">
        <v>46282</v>
      </c>
      <c r="O63" s="11" t="s">
        <v>18</v>
      </c>
      <c r="Q63" t="str">
        <f t="shared" si="0"/>
        <v>Structural</v>
      </c>
      <c r="R63" s="54">
        <f t="shared" si="1"/>
        <v>46277</v>
      </c>
    </row>
    <row r="64" spans="2:18" ht="31.2" customHeight="1" x14ac:dyDescent="0.3">
      <c r="B64" s="17" t="s">
        <v>302</v>
      </c>
      <c r="C64" s="4">
        <v>0</v>
      </c>
      <c r="D64" s="1" t="s">
        <v>303</v>
      </c>
      <c r="E64" s="21" t="s">
        <v>304</v>
      </c>
      <c r="F64" s="58">
        <v>46277</v>
      </c>
      <c r="G64" s="27"/>
      <c r="H64" s="22"/>
      <c r="I64" s="4"/>
      <c r="J64" s="5"/>
      <c r="K64" s="1"/>
      <c r="L64" s="1"/>
      <c r="M64" s="23" t="s">
        <v>305</v>
      </c>
      <c r="N64" s="15">
        <v>46281</v>
      </c>
      <c r="O64" s="11" t="s">
        <v>18</v>
      </c>
      <c r="Q64" t="str">
        <f t="shared" si="0"/>
        <v>Structural</v>
      </c>
      <c r="R64" s="54">
        <f t="shared" si="1"/>
        <v>46277</v>
      </c>
    </row>
    <row r="65" spans="1:18" ht="31.2" customHeight="1" x14ac:dyDescent="0.3">
      <c r="B65" s="17" t="s">
        <v>306</v>
      </c>
      <c r="C65" s="4">
        <v>0</v>
      </c>
      <c r="D65" s="1" t="s">
        <v>307</v>
      </c>
      <c r="E65" s="21" t="s">
        <v>308</v>
      </c>
      <c r="F65" s="58">
        <v>46278</v>
      </c>
      <c r="G65" s="27"/>
      <c r="H65" s="22"/>
      <c r="I65" s="4"/>
      <c r="J65" s="5"/>
      <c r="K65" s="1"/>
      <c r="L65" s="1"/>
      <c r="M65" s="23" t="s">
        <v>309</v>
      </c>
      <c r="N65" s="15">
        <v>46282</v>
      </c>
      <c r="O65" s="11" t="s">
        <v>18</v>
      </c>
      <c r="Q65" t="str">
        <f t="shared" si="0"/>
        <v>Structural</v>
      </c>
      <c r="R65" s="54">
        <f t="shared" si="1"/>
        <v>46278</v>
      </c>
    </row>
    <row r="66" spans="1:18" ht="31.2" customHeight="1" x14ac:dyDescent="0.3">
      <c r="B66" s="17" t="s">
        <v>306</v>
      </c>
      <c r="C66" s="34">
        <v>1</v>
      </c>
      <c r="D66" s="1" t="s">
        <v>307</v>
      </c>
      <c r="E66" s="21" t="s">
        <v>310</v>
      </c>
      <c r="F66" s="58">
        <v>46292</v>
      </c>
      <c r="G66" s="27"/>
      <c r="H66" s="22"/>
      <c r="I66" s="4" t="s">
        <v>311</v>
      </c>
      <c r="J66" s="5">
        <v>46292</v>
      </c>
      <c r="K66" s="1"/>
      <c r="L66" s="1"/>
      <c r="M66" s="23" t="s">
        <v>312</v>
      </c>
      <c r="N66" s="15">
        <v>46299</v>
      </c>
      <c r="O66" s="11" t="s">
        <v>18</v>
      </c>
      <c r="Q66" t="str">
        <f t="shared" si="0"/>
        <v>Structural</v>
      </c>
      <c r="R66" s="54">
        <f t="shared" si="1"/>
        <v>46292</v>
      </c>
    </row>
    <row r="67" spans="1:18" ht="31.2" customHeight="1" x14ac:dyDescent="0.3">
      <c r="B67" s="17" t="s">
        <v>313</v>
      </c>
      <c r="C67" s="4">
        <v>0</v>
      </c>
      <c r="D67" s="1" t="s">
        <v>314</v>
      </c>
      <c r="E67" s="21" t="s">
        <v>315</v>
      </c>
      <c r="F67" s="58">
        <v>46287</v>
      </c>
      <c r="G67" s="27" t="s">
        <v>316</v>
      </c>
      <c r="H67" s="22">
        <v>46287</v>
      </c>
      <c r="I67" s="4"/>
      <c r="J67" s="5"/>
      <c r="K67" s="1"/>
      <c r="L67" s="1"/>
      <c r="M67" s="23" t="s">
        <v>317</v>
      </c>
      <c r="N67" s="15">
        <v>46292</v>
      </c>
      <c r="O67" s="11" t="s">
        <v>18</v>
      </c>
      <c r="Q67" t="str">
        <f t="shared" si="0"/>
        <v>Structural</v>
      </c>
      <c r="R67" s="54">
        <f t="shared" si="1"/>
        <v>46287</v>
      </c>
    </row>
    <row r="68" spans="1:18" ht="31.2" customHeight="1" x14ac:dyDescent="0.3">
      <c r="B68" s="17" t="s">
        <v>318</v>
      </c>
      <c r="C68" s="4">
        <v>0</v>
      </c>
      <c r="D68" s="1" t="s">
        <v>319</v>
      </c>
      <c r="E68" s="21" t="s">
        <v>320</v>
      </c>
      <c r="F68" s="58">
        <v>46287</v>
      </c>
      <c r="G68" s="27" t="s">
        <v>321</v>
      </c>
      <c r="H68" s="22">
        <v>46287</v>
      </c>
      <c r="I68" s="4"/>
      <c r="J68" s="5"/>
      <c r="K68" s="1"/>
      <c r="L68" s="1"/>
      <c r="M68" s="23" t="s">
        <v>322</v>
      </c>
      <c r="N68" s="15">
        <v>46292</v>
      </c>
      <c r="O68" s="11" t="s">
        <v>18</v>
      </c>
      <c r="Q68" t="str">
        <f t="shared" si="0"/>
        <v>Structural</v>
      </c>
      <c r="R68" s="54">
        <f t="shared" si="1"/>
        <v>46287</v>
      </c>
    </row>
    <row r="69" spans="1:18" ht="31.2" customHeight="1" x14ac:dyDescent="0.3">
      <c r="B69" s="17" t="s">
        <v>323</v>
      </c>
      <c r="C69" s="4">
        <v>0</v>
      </c>
      <c r="D69" s="1" t="s">
        <v>324</v>
      </c>
      <c r="E69" s="21" t="s">
        <v>325</v>
      </c>
      <c r="F69" s="58">
        <v>46287</v>
      </c>
      <c r="G69" s="27" t="s">
        <v>326</v>
      </c>
      <c r="H69" s="22">
        <v>46287</v>
      </c>
      <c r="I69" s="4"/>
      <c r="J69" s="5"/>
      <c r="K69" s="1"/>
      <c r="L69" s="1"/>
      <c r="M69" s="23" t="s">
        <v>327</v>
      </c>
      <c r="N69" s="15">
        <v>46292</v>
      </c>
      <c r="O69" s="11" t="s">
        <v>18</v>
      </c>
      <c r="Q69" t="str">
        <f t="shared" ref="Q69:Q85" si="2">IF(COUNTA(A69:P69)=0,"",IF(ISNUMBER(SEARCH("-AR-",E69)),"Architectural",IF(ISNUMBER(SEARCH("-ST-",E69)),"Structural",IF(ISNUMBER(SEARCH("-ME-",E69)),"Mechanical",IF(ISNUMBER(SEARCH("-EL-",E69)),"Electrical",IF(ISNUMBER(SEARCH("-GE-",E69)),"General",IF(ISNUMBER(SEARCH("-AR-",D69)),"Architectural",IF(ISNUMBER(SEARCH("-ST-",D69)),"Structural",IF(ISNUMBER(SEARCH("-ME-",D69)),"Mechanical",IF(ISNUMBER(SEARCH("-EL-",D69)),"Electrical",IF(ISNUMBER(SEARCH("-GE-",D69)),"General","Other")))))))))))</f>
        <v>Structural</v>
      </c>
      <c r="R69" s="54">
        <f t="shared" ref="R69:R85" si="3">IF(F69="","",IFERROR(IF(ISNUMBER(F69),F69,DATEVALUE(F69)),""))</f>
        <v>46287</v>
      </c>
    </row>
    <row r="70" spans="1:18" ht="34.950000000000003" customHeight="1" x14ac:dyDescent="0.3">
      <c r="A70" s="17"/>
      <c r="B70" s="4" t="s">
        <v>328</v>
      </c>
      <c r="C70" s="1">
        <v>0</v>
      </c>
      <c r="D70" s="21" t="s">
        <v>329</v>
      </c>
      <c r="E70" s="24" t="s">
        <v>330</v>
      </c>
      <c r="F70" s="58">
        <v>46287</v>
      </c>
      <c r="G70" s="27" t="s">
        <v>331</v>
      </c>
      <c r="H70" s="22">
        <v>46301</v>
      </c>
      <c r="I70" s="4" t="s">
        <v>331</v>
      </c>
      <c r="J70" s="5">
        <v>46301</v>
      </c>
      <c r="K70" s="1"/>
      <c r="L70" s="1"/>
      <c r="M70" s="23"/>
      <c r="O70" s="11" t="s">
        <v>24</v>
      </c>
      <c r="Q70" t="str">
        <f t="shared" si="2"/>
        <v>Architectural</v>
      </c>
      <c r="R70" s="54">
        <f t="shared" si="3"/>
        <v>46287</v>
      </c>
    </row>
    <row r="71" spans="1:18" ht="31.2" customHeight="1" x14ac:dyDescent="0.3">
      <c r="B71" s="17" t="s">
        <v>332</v>
      </c>
      <c r="C71" s="4">
        <v>0</v>
      </c>
      <c r="D71" s="1" t="s">
        <v>333</v>
      </c>
      <c r="E71" s="21" t="s">
        <v>334</v>
      </c>
      <c r="F71" s="58">
        <v>46289</v>
      </c>
      <c r="G71" s="27"/>
      <c r="H71" s="22"/>
      <c r="I71" s="4" t="s">
        <v>335</v>
      </c>
      <c r="J71" s="5">
        <v>46289</v>
      </c>
      <c r="K71" s="1"/>
      <c r="L71" s="1"/>
      <c r="M71" s="23" t="s">
        <v>336</v>
      </c>
      <c r="N71" s="15">
        <v>46292</v>
      </c>
      <c r="O71" s="11" t="s">
        <v>18</v>
      </c>
      <c r="Q71" t="str">
        <f t="shared" si="2"/>
        <v>Structural</v>
      </c>
      <c r="R71" s="54">
        <f t="shared" si="3"/>
        <v>46289</v>
      </c>
    </row>
    <row r="72" spans="1:18" ht="31.2" customHeight="1" x14ac:dyDescent="0.3">
      <c r="B72" s="17" t="s">
        <v>337</v>
      </c>
      <c r="C72" s="4">
        <v>0</v>
      </c>
      <c r="D72" s="1" t="s">
        <v>338</v>
      </c>
      <c r="E72" s="21" t="s">
        <v>339</v>
      </c>
      <c r="F72" s="58">
        <v>46289</v>
      </c>
      <c r="G72" s="27" t="s">
        <v>340</v>
      </c>
      <c r="H72" s="22">
        <v>46289</v>
      </c>
      <c r="I72" s="4"/>
      <c r="J72" s="5"/>
      <c r="K72" s="1"/>
      <c r="L72" s="1"/>
      <c r="M72" s="23" t="s">
        <v>341</v>
      </c>
      <c r="N72" s="15">
        <v>46292</v>
      </c>
      <c r="O72" s="11" t="s">
        <v>18</v>
      </c>
      <c r="Q72" t="str">
        <f t="shared" si="2"/>
        <v>Structural</v>
      </c>
      <c r="R72" s="54">
        <f t="shared" si="3"/>
        <v>46289</v>
      </c>
    </row>
    <row r="73" spans="1:18" ht="46.95" customHeight="1" x14ac:dyDescent="0.3">
      <c r="B73" s="17" t="s">
        <v>342</v>
      </c>
      <c r="C73" s="4">
        <v>0</v>
      </c>
      <c r="D73" s="1" t="s">
        <v>343</v>
      </c>
      <c r="E73" s="21" t="s">
        <v>344</v>
      </c>
      <c r="F73" s="58">
        <v>46289</v>
      </c>
      <c r="G73" s="27" t="s">
        <v>345</v>
      </c>
      <c r="H73" s="22">
        <v>46289</v>
      </c>
      <c r="I73" s="4"/>
      <c r="J73" s="5"/>
      <c r="K73" s="1"/>
      <c r="L73" s="1"/>
      <c r="M73" s="23" t="s">
        <v>346</v>
      </c>
      <c r="N73" s="15">
        <v>46292</v>
      </c>
      <c r="O73" s="11" t="s">
        <v>18</v>
      </c>
      <c r="Q73" t="str">
        <f t="shared" si="2"/>
        <v>Structural</v>
      </c>
      <c r="R73" s="54">
        <f t="shared" si="3"/>
        <v>46289</v>
      </c>
    </row>
    <row r="74" spans="1:18" ht="31.2" customHeight="1" x14ac:dyDescent="0.3">
      <c r="B74" s="17" t="s">
        <v>347</v>
      </c>
      <c r="C74" s="4">
        <v>0</v>
      </c>
      <c r="D74" s="1" t="s">
        <v>348</v>
      </c>
      <c r="E74" s="21" t="s">
        <v>349</v>
      </c>
      <c r="F74" s="58">
        <v>46289</v>
      </c>
      <c r="G74" s="27" t="s">
        <v>350</v>
      </c>
      <c r="H74" s="22">
        <v>46289</v>
      </c>
      <c r="I74" s="4"/>
      <c r="J74" s="5"/>
      <c r="K74" s="1"/>
      <c r="L74" s="1"/>
      <c r="M74" s="23" t="s">
        <v>347</v>
      </c>
      <c r="N74" s="15">
        <v>46289</v>
      </c>
      <c r="O74" s="11" t="s">
        <v>18</v>
      </c>
      <c r="Q74" t="str">
        <f t="shared" si="2"/>
        <v>Structural</v>
      </c>
      <c r="R74" s="54">
        <f t="shared" si="3"/>
        <v>46289</v>
      </c>
    </row>
    <row r="75" spans="1:18" ht="31.2" customHeight="1" x14ac:dyDescent="0.3">
      <c r="B75" s="17" t="s">
        <v>458</v>
      </c>
      <c r="C75" s="34">
        <v>1</v>
      </c>
      <c r="D75" s="1" t="s">
        <v>348</v>
      </c>
      <c r="E75" s="21" t="s">
        <v>457</v>
      </c>
      <c r="F75" s="58">
        <v>46303</v>
      </c>
      <c r="G75" s="27"/>
      <c r="H75" s="22"/>
      <c r="I75" s="4" t="s">
        <v>459</v>
      </c>
      <c r="J75" s="5">
        <v>46304</v>
      </c>
      <c r="K75" s="1"/>
      <c r="L75" s="1"/>
      <c r="M75" s="23"/>
      <c r="N75" s="15"/>
      <c r="O75" s="11" t="s">
        <v>24</v>
      </c>
      <c r="R75" s="54"/>
    </row>
    <row r="76" spans="1:18" ht="31.2" customHeight="1" x14ac:dyDescent="0.3">
      <c r="B76" s="17" t="s">
        <v>351</v>
      </c>
      <c r="C76" s="4">
        <v>0</v>
      </c>
      <c r="D76" s="1" t="s">
        <v>352</v>
      </c>
      <c r="E76" s="21" t="s">
        <v>353</v>
      </c>
      <c r="F76" s="58">
        <v>46289</v>
      </c>
      <c r="G76" s="27" t="s">
        <v>354</v>
      </c>
      <c r="H76" s="22">
        <v>46289</v>
      </c>
      <c r="I76" s="4"/>
      <c r="J76" s="5"/>
      <c r="K76" s="1"/>
      <c r="L76" s="1"/>
      <c r="M76" s="23" t="s">
        <v>355</v>
      </c>
      <c r="N76" s="15">
        <v>46292</v>
      </c>
      <c r="O76" s="11" t="s">
        <v>18</v>
      </c>
      <c r="Q76" t="str">
        <f t="shared" si="2"/>
        <v>Structural</v>
      </c>
      <c r="R76" s="54">
        <f t="shared" si="3"/>
        <v>46289</v>
      </c>
    </row>
    <row r="77" spans="1:18" ht="31.2" customHeight="1" x14ac:dyDescent="0.3">
      <c r="B77" s="17" t="s">
        <v>356</v>
      </c>
      <c r="C77" s="4">
        <v>0</v>
      </c>
      <c r="D77" s="1" t="s">
        <v>357</v>
      </c>
      <c r="E77" s="21" t="s">
        <v>358</v>
      </c>
      <c r="F77" s="58">
        <v>46292</v>
      </c>
      <c r="G77" s="27"/>
      <c r="H77" s="22"/>
      <c r="I77" s="4" t="s">
        <v>359</v>
      </c>
      <c r="J77" s="5">
        <v>46292</v>
      </c>
      <c r="K77" s="1"/>
      <c r="L77" s="1"/>
      <c r="M77" s="23" t="s">
        <v>360</v>
      </c>
      <c r="N77" s="15">
        <v>46294</v>
      </c>
      <c r="O77" s="11" t="s">
        <v>18</v>
      </c>
      <c r="Q77" t="str">
        <f t="shared" si="2"/>
        <v>Structural</v>
      </c>
      <c r="R77" s="54">
        <f t="shared" si="3"/>
        <v>46292</v>
      </c>
    </row>
    <row r="78" spans="1:18" ht="31.2" customHeight="1" x14ac:dyDescent="0.3">
      <c r="B78" s="17" t="s">
        <v>361</v>
      </c>
      <c r="C78" s="4">
        <v>0</v>
      </c>
      <c r="D78" s="1" t="s">
        <v>362</v>
      </c>
      <c r="E78" s="21" t="s">
        <v>363</v>
      </c>
      <c r="F78" s="58">
        <v>46292</v>
      </c>
      <c r="G78" s="27"/>
      <c r="H78" s="22"/>
      <c r="I78" s="4" t="s">
        <v>364</v>
      </c>
      <c r="J78" s="5">
        <v>46292</v>
      </c>
      <c r="K78" s="1"/>
      <c r="L78" s="1"/>
      <c r="M78" s="23" t="s">
        <v>360</v>
      </c>
      <c r="N78" s="15">
        <v>46294</v>
      </c>
      <c r="O78" s="11" t="s">
        <v>18</v>
      </c>
      <c r="Q78" t="str">
        <f t="shared" si="2"/>
        <v>Structural</v>
      </c>
      <c r="R78" s="54">
        <f t="shared" si="3"/>
        <v>46292</v>
      </c>
    </row>
    <row r="79" spans="1:18" ht="31.2" customHeight="1" x14ac:dyDescent="0.3">
      <c r="B79" s="17" t="s">
        <v>365</v>
      </c>
      <c r="C79" s="4">
        <v>0</v>
      </c>
      <c r="D79" s="1" t="s">
        <v>366</v>
      </c>
      <c r="E79" s="21" t="s">
        <v>367</v>
      </c>
      <c r="F79" s="58">
        <v>46292</v>
      </c>
      <c r="G79" s="27"/>
      <c r="H79" s="22"/>
      <c r="I79" s="4" t="s">
        <v>368</v>
      </c>
      <c r="J79" s="5">
        <v>46292</v>
      </c>
      <c r="K79" s="1"/>
      <c r="L79" s="1"/>
      <c r="M79" s="23" t="s">
        <v>369</v>
      </c>
      <c r="N79" s="15">
        <v>46294</v>
      </c>
      <c r="O79" s="11" t="s">
        <v>18</v>
      </c>
      <c r="Q79" t="str">
        <f t="shared" si="2"/>
        <v>Structural</v>
      </c>
      <c r="R79" s="54">
        <f t="shared" si="3"/>
        <v>46292</v>
      </c>
    </row>
    <row r="80" spans="1:18" ht="31.2" customHeight="1" x14ac:dyDescent="0.3">
      <c r="B80" s="17" t="s">
        <v>370</v>
      </c>
      <c r="C80" s="4">
        <v>0</v>
      </c>
      <c r="D80" s="1" t="s">
        <v>371</v>
      </c>
      <c r="E80" s="21" t="s">
        <v>372</v>
      </c>
      <c r="F80" s="58">
        <v>46292</v>
      </c>
      <c r="G80" s="27"/>
      <c r="H80" s="22"/>
      <c r="I80" s="4" t="s">
        <v>373</v>
      </c>
      <c r="J80" s="5">
        <v>46292</v>
      </c>
      <c r="K80" s="1"/>
      <c r="L80" s="1"/>
      <c r="M80" s="23" t="s">
        <v>374</v>
      </c>
      <c r="N80" s="15">
        <v>46299</v>
      </c>
      <c r="O80" s="11" t="s">
        <v>18</v>
      </c>
      <c r="Q80" t="str">
        <f t="shared" si="2"/>
        <v>Structural</v>
      </c>
      <c r="R80" s="54">
        <f t="shared" si="3"/>
        <v>46292</v>
      </c>
    </row>
    <row r="81" spans="2:18" ht="31.2" customHeight="1" x14ac:dyDescent="0.3">
      <c r="B81" s="17" t="s">
        <v>375</v>
      </c>
      <c r="C81" s="4">
        <v>0</v>
      </c>
      <c r="D81" s="1" t="s">
        <v>376</v>
      </c>
      <c r="E81" s="21" t="s">
        <v>377</v>
      </c>
      <c r="F81" s="58">
        <v>46292</v>
      </c>
      <c r="G81" s="27"/>
      <c r="H81" s="22"/>
      <c r="I81" s="4" t="s">
        <v>378</v>
      </c>
      <c r="J81" s="5">
        <v>46292</v>
      </c>
      <c r="K81" s="1"/>
      <c r="L81" s="1"/>
      <c r="M81" s="23" t="s">
        <v>379</v>
      </c>
      <c r="N81" s="15">
        <v>46294</v>
      </c>
      <c r="O81" s="11" t="s">
        <v>18</v>
      </c>
      <c r="Q81" t="str">
        <f t="shared" si="2"/>
        <v>Structural</v>
      </c>
      <c r="R81" s="54">
        <f t="shared" si="3"/>
        <v>46292</v>
      </c>
    </row>
    <row r="82" spans="2:18" ht="31.2" customHeight="1" x14ac:dyDescent="0.3">
      <c r="B82" s="17" t="s">
        <v>380</v>
      </c>
      <c r="C82" s="4">
        <v>0</v>
      </c>
      <c r="D82" s="1" t="s">
        <v>381</v>
      </c>
      <c r="E82" s="21" t="s">
        <v>382</v>
      </c>
      <c r="F82" s="58">
        <v>46292</v>
      </c>
      <c r="G82" s="27"/>
      <c r="H82" s="22"/>
      <c r="I82" s="4" t="s">
        <v>383</v>
      </c>
      <c r="J82" s="5">
        <v>46292</v>
      </c>
      <c r="K82" s="1"/>
      <c r="L82" s="1"/>
      <c r="M82" s="23" t="s">
        <v>384</v>
      </c>
      <c r="N82" s="15">
        <v>46294</v>
      </c>
      <c r="O82" s="11" t="s">
        <v>18</v>
      </c>
      <c r="Q82" t="str">
        <f t="shared" si="2"/>
        <v>Structural</v>
      </c>
      <c r="R82" s="54">
        <f t="shared" si="3"/>
        <v>46292</v>
      </c>
    </row>
    <row r="83" spans="2:18" ht="28.5" customHeight="1" x14ac:dyDescent="0.3">
      <c r="B83" s="17" t="s">
        <v>385</v>
      </c>
      <c r="C83" s="4">
        <v>0</v>
      </c>
      <c r="D83" s="1" t="s">
        <v>386</v>
      </c>
      <c r="E83" s="21" t="s">
        <v>387</v>
      </c>
      <c r="F83" s="58">
        <v>46292</v>
      </c>
      <c r="G83" s="27"/>
      <c r="H83" s="22"/>
      <c r="I83" s="4" t="s">
        <v>388</v>
      </c>
      <c r="J83" s="5">
        <v>46292</v>
      </c>
      <c r="K83" s="1"/>
      <c r="L83" s="1"/>
      <c r="M83" s="23" t="s">
        <v>389</v>
      </c>
      <c r="N83" s="15">
        <v>46294</v>
      </c>
      <c r="O83" s="11" t="s">
        <v>18</v>
      </c>
      <c r="Q83" t="str">
        <f t="shared" si="2"/>
        <v>Structural</v>
      </c>
      <c r="R83" s="54">
        <f t="shared" si="3"/>
        <v>46292</v>
      </c>
    </row>
    <row r="84" spans="2:18" ht="28.5" customHeight="1" x14ac:dyDescent="0.3">
      <c r="B84" s="17" t="s">
        <v>390</v>
      </c>
      <c r="C84" s="4">
        <v>0</v>
      </c>
      <c r="D84" s="1" t="s">
        <v>391</v>
      </c>
      <c r="E84" s="21" t="s">
        <v>392</v>
      </c>
      <c r="F84" s="58">
        <v>46296</v>
      </c>
      <c r="G84" s="27"/>
      <c r="H84" s="22"/>
      <c r="I84" s="4" t="s">
        <v>393</v>
      </c>
      <c r="J84" s="5">
        <v>46296</v>
      </c>
      <c r="K84" s="1"/>
      <c r="L84" s="1"/>
      <c r="M84" s="23" t="s">
        <v>394</v>
      </c>
      <c r="N84" s="15">
        <v>46301</v>
      </c>
      <c r="O84" s="11" t="s">
        <v>18</v>
      </c>
      <c r="Q84" t="str">
        <f t="shared" si="2"/>
        <v>Structural</v>
      </c>
      <c r="R84" s="54">
        <f t="shared" si="3"/>
        <v>46296</v>
      </c>
    </row>
    <row r="85" spans="2:18" ht="28.5" customHeight="1" x14ac:dyDescent="0.3">
      <c r="B85" s="17" t="s">
        <v>395</v>
      </c>
      <c r="C85" s="4">
        <v>0</v>
      </c>
      <c r="D85" s="1" t="s">
        <v>396</v>
      </c>
      <c r="E85" s="21" t="s">
        <v>397</v>
      </c>
      <c r="F85" s="58">
        <v>46299</v>
      </c>
      <c r="G85" s="27"/>
      <c r="H85" s="22"/>
      <c r="I85" s="4" t="s">
        <v>398</v>
      </c>
      <c r="J85" s="5">
        <v>46299</v>
      </c>
      <c r="K85" s="1"/>
      <c r="L85" s="1"/>
      <c r="M85" s="23" t="s">
        <v>399</v>
      </c>
      <c r="N85" s="15">
        <v>46300</v>
      </c>
      <c r="O85" s="11" t="s">
        <v>18</v>
      </c>
      <c r="Q85" t="str">
        <f t="shared" si="2"/>
        <v>Structural</v>
      </c>
      <c r="R85" s="54">
        <f t="shared" si="3"/>
        <v>46299</v>
      </c>
    </row>
    <row r="86" spans="2:18" ht="43.8" customHeight="1" x14ac:dyDescent="0.3">
      <c r="B86" s="1" t="s">
        <v>402</v>
      </c>
      <c r="C86" s="4">
        <v>0</v>
      </c>
      <c r="D86" s="1" t="s">
        <v>400</v>
      </c>
      <c r="E86" s="21" t="s">
        <v>401</v>
      </c>
      <c r="F86" s="56">
        <v>46302</v>
      </c>
      <c r="G86" s="57"/>
      <c r="H86" s="5"/>
      <c r="I86" s="1" t="s">
        <v>403</v>
      </c>
      <c r="J86" s="22">
        <v>46302</v>
      </c>
      <c r="K86" s="4"/>
      <c r="L86" s="59"/>
      <c r="M86" s="23"/>
      <c r="N86" s="15"/>
      <c r="O86" s="11" t="s">
        <v>24</v>
      </c>
      <c r="Q86" t="str">
        <f t="shared" ref="Q86" si="4">IF(COUNTA(A86:P86)=0,"",IF(ISNUMBER(SEARCH("-AR-",E86)),"Architectural",IF(ISNUMBER(SEARCH("-ST-",E86)),"Structural",IF(ISNUMBER(SEARCH("-ME-",E86)),"Mechanical",IF(ISNUMBER(SEARCH("-EL-",E86)),"Electrical",IF(ISNUMBER(SEARCH("-GE-",E86)),"General",IF(ISNUMBER(SEARCH("-AR-",D86)),"Architectural",IF(ISNUMBER(SEARCH("-ST-",D86)),"Structural",IF(ISNUMBER(SEARCH("-ME-",D86)),"Mechanical",IF(ISNUMBER(SEARCH("-EL-",D86)),"Electrical",IF(ISNUMBER(SEARCH("-GE-",D86)),"General","Other")))))))))))</f>
        <v>Architectural</v>
      </c>
      <c r="R86" s="54">
        <f t="shared" ref="R86" si="5">IF(F86="","",IFERROR(IF(ISNUMBER(F86),F86,DATEVALUE(F86)),""))</f>
        <v>46302</v>
      </c>
    </row>
    <row r="87" spans="2:18" ht="28.5" customHeight="1" x14ac:dyDescent="0.3">
      <c r="B87" s="17" t="s">
        <v>420</v>
      </c>
      <c r="C87" s="4">
        <v>0</v>
      </c>
      <c r="D87" s="1" t="s">
        <v>405</v>
      </c>
      <c r="E87" s="21" t="s">
        <v>419</v>
      </c>
      <c r="F87" s="56">
        <v>46303</v>
      </c>
      <c r="G87" s="27"/>
      <c r="H87" s="22"/>
      <c r="I87" s="4" t="s">
        <v>421</v>
      </c>
      <c r="J87" s="5">
        <v>46306</v>
      </c>
      <c r="K87" s="1"/>
      <c r="L87" s="1"/>
      <c r="M87" s="23"/>
      <c r="N87" s="15"/>
      <c r="O87" s="11" t="s">
        <v>24</v>
      </c>
      <c r="Q87" t="str">
        <f t="shared" ref="Q87:Q150" si="6">IF(COUNTA(A87:P87)=0,"",IF(ISNUMBER(SEARCH("-AR-",E101)),"Architectural",IF(ISNUMBER(SEARCH("-ST-",E101)),"Structural",IF(ISNUMBER(SEARCH("-ME-",E101)),"Mechanical",IF(ISNUMBER(SEARCH("-EL-",E101)),"Electrical",IF(ISNUMBER(SEARCH("-GE-",E101)),"General",IF(ISNUMBER(SEARCH("-AR-",D101)),"Architectural",IF(ISNUMBER(SEARCH("-ST-",D101)),"Structural",IF(ISNUMBER(SEARCH("-ME-",D101)),"Mechanical",IF(ISNUMBER(SEARCH("-EL-",D101)),"Electrical",IF(ISNUMBER(SEARCH("-GE-",D101)),"General","Other")))))))))))</f>
        <v>Other</v>
      </c>
      <c r="R87" s="54" t="str">
        <f t="shared" ref="R87:R130" si="7">IF(F101="","",IFERROR(IF(ISNUMBER(F101),F101,DATEVALUE(F101)),""))</f>
        <v/>
      </c>
    </row>
    <row r="88" spans="2:18" ht="43.8" customHeight="1" x14ac:dyDescent="0.3">
      <c r="B88" s="1" t="s">
        <v>423</v>
      </c>
      <c r="C88" s="4">
        <v>0</v>
      </c>
      <c r="D88" s="1" t="s">
        <v>406</v>
      </c>
      <c r="E88" s="21" t="s">
        <v>422</v>
      </c>
      <c r="F88" s="56">
        <v>46303</v>
      </c>
      <c r="G88" s="57"/>
      <c r="H88" s="5"/>
      <c r="I88" s="1" t="s">
        <v>424</v>
      </c>
      <c r="J88" s="22">
        <v>46306</v>
      </c>
      <c r="K88" s="4"/>
      <c r="L88" s="59"/>
      <c r="M88" s="23"/>
      <c r="N88" s="15"/>
      <c r="O88" s="11" t="s">
        <v>24</v>
      </c>
      <c r="Q88" t="str">
        <f t="shared" si="6"/>
        <v>Other</v>
      </c>
      <c r="R88" s="54" t="str">
        <f t="shared" si="7"/>
        <v/>
      </c>
    </row>
    <row r="89" spans="2:18" ht="28.5" customHeight="1" x14ac:dyDescent="0.3">
      <c r="B89" s="17" t="s">
        <v>426</v>
      </c>
      <c r="C89" s="4">
        <v>0</v>
      </c>
      <c r="D89" s="1" t="s">
        <v>407</v>
      </c>
      <c r="E89" s="21" t="s">
        <v>427</v>
      </c>
      <c r="F89" s="56">
        <v>46303</v>
      </c>
      <c r="G89" s="27"/>
      <c r="H89" s="22"/>
      <c r="I89" s="4" t="s">
        <v>425</v>
      </c>
      <c r="J89" s="5">
        <v>46306</v>
      </c>
      <c r="K89" s="1"/>
      <c r="L89" s="1"/>
      <c r="M89" s="23"/>
      <c r="N89" s="15"/>
      <c r="O89" s="11" t="s">
        <v>24</v>
      </c>
      <c r="Q89" t="str">
        <f t="shared" si="6"/>
        <v>Other</v>
      </c>
      <c r="R89" s="54" t="str">
        <f t="shared" si="7"/>
        <v/>
      </c>
    </row>
    <row r="90" spans="2:18" ht="43.8" customHeight="1" x14ac:dyDescent="0.3">
      <c r="B90" s="1" t="s">
        <v>429</v>
      </c>
      <c r="C90" s="4">
        <v>0</v>
      </c>
      <c r="D90" s="1" t="s">
        <v>408</v>
      </c>
      <c r="E90" s="21" t="s">
        <v>428</v>
      </c>
      <c r="F90" s="56">
        <v>46303</v>
      </c>
      <c r="G90" s="57"/>
      <c r="H90" s="5"/>
      <c r="I90" s="1" t="s">
        <v>430</v>
      </c>
      <c r="J90" s="22">
        <v>46306</v>
      </c>
      <c r="K90" s="4"/>
      <c r="L90" s="59"/>
      <c r="M90" s="23"/>
      <c r="N90" s="15"/>
      <c r="O90" s="11" t="s">
        <v>24</v>
      </c>
      <c r="Q90" t="str">
        <f t="shared" si="6"/>
        <v>Other</v>
      </c>
      <c r="R90" s="54" t="str">
        <f t="shared" si="7"/>
        <v/>
      </c>
    </row>
    <row r="91" spans="2:18" ht="28.5" customHeight="1" x14ac:dyDescent="0.3">
      <c r="B91" s="17" t="s">
        <v>432</v>
      </c>
      <c r="C91" s="4">
        <v>0</v>
      </c>
      <c r="D91" s="1" t="s">
        <v>409</v>
      </c>
      <c r="E91" s="21" t="s">
        <v>431</v>
      </c>
      <c r="F91" s="56">
        <v>46303</v>
      </c>
      <c r="G91" s="27"/>
      <c r="H91" s="22"/>
      <c r="I91" s="4" t="s">
        <v>433</v>
      </c>
      <c r="J91" s="5">
        <v>46304</v>
      </c>
      <c r="K91" s="1"/>
      <c r="L91" s="1"/>
      <c r="M91" s="23"/>
      <c r="N91" s="15"/>
      <c r="O91" s="11" t="s">
        <v>24</v>
      </c>
      <c r="Q91" t="str">
        <f t="shared" si="6"/>
        <v>Other</v>
      </c>
      <c r="R91" s="54" t="str">
        <f t="shared" si="7"/>
        <v/>
      </c>
    </row>
    <row r="92" spans="2:18" ht="43.8" customHeight="1" x14ac:dyDescent="0.3">
      <c r="B92" s="1" t="s">
        <v>435</v>
      </c>
      <c r="C92" s="4">
        <v>0</v>
      </c>
      <c r="D92" s="1" t="s">
        <v>410</v>
      </c>
      <c r="E92" s="21" t="s">
        <v>434</v>
      </c>
      <c r="F92" s="56">
        <v>46303</v>
      </c>
      <c r="G92" s="57"/>
      <c r="H92" s="5"/>
      <c r="I92" s="1" t="s">
        <v>436</v>
      </c>
      <c r="J92" s="22">
        <v>46306</v>
      </c>
      <c r="K92" s="4"/>
      <c r="L92" s="59"/>
      <c r="M92" s="23"/>
      <c r="N92" s="15"/>
      <c r="O92" s="11" t="s">
        <v>24</v>
      </c>
      <c r="Q92" t="str">
        <f t="shared" si="6"/>
        <v>Other</v>
      </c>
      <c r="R92" s="54" t="str">
        <f t="shared" si="7"/>
        <v/>
      </c>
    </row>
    <row r="93" spans="2:18" ht="28.5" customHeight="1" x14ac:dyDescent="0.3">
      <c r="B93" s="17" t="s">
        <v>438</v>
      </c>
      <c r="C93" s="4">
        <v>0</v>
      </c>
      <c r="D93" s="1" t="s">
        <v>411</v>
      </c>
      <c r="E93" s="21" t="s">
        <v>437</v>
      </c>
      <c r="F93" s="56">
        <v>46303</v>
      </c>
      <c r="G93" s="27"/>
      <c r="H93" s="22"/>
      <c r="I93" s="1" t="s">
        <v>439</v>
      </c>
      <c r="J93" s="22">
        <v>46306</v>
      </c>
      <c r="K93" s="1"/>
      <c r="L93" s="1"/>
      <c r="M93" s="23"/>
      <c r="N93" s="15"/>
      <c r="O93" s="11" t="s">
        <v>24</v>
      </c>
      <c r="Q93" t="str">
        <f t="shared" si="6"/>
        <v>Other</v>
      </c>
      <c r="R93" s="54" t="str">
        <f t="shared" si="7"/>
        <v/>
      </c>
    </row>
    <row r="94" spans="2:18" ht="43.8" customHeight="1" x14ac:dyDescent="0.3">
      <c r="B94" s="1" t="s">
        <v>441</v>
      </c>
      <c r="C94" s="4">
        <v>0</v>
      </c>
      <c r="D94" s="1" t="s">
        <v>412</v>
      </c>
      <c r="E94" s="21" t="s">
        <v>440</v>
      </c>
      <c r="F94" s="56">
        <v>46303</v>
      </c>
      <c r="G94" s="57"/>
      <c r="H94" s="5"/>
      <c r="I94" s="1" t="s">
        <v>442</v>
      </c>
      <c r="J94" s="22">
        <v>46306</v>
      </c>
      <c r="K94" s="4"/>
      <c r="L94" s="59"/>
      <c r="M94" s="23"/>
      <c r="N94" s="15"/>
      <c r="O94" s="11" t="s">
        <v>24</v>
      </c>
      <c r="Q94" t="str">
        <f t="shared" si="6"/>
        <v>Other</v>
      </c>
      <c r="R94" s="54" t="str">
        <f t="shared" si="7"/>
        <v/>
      </c>
    </row>
    <row r="95" spans="2:18" ht="28.5" customHeight="1" x14ac:dyDescent="0.3">
      <c r="B95" s="17" t="s">
        <v>444</v>
      </c>
      <c r="C95" s="4">
        <v>0</v>
      </c>
      <c r="D95" s="1" t="s">
        <v>413</v>
      </c>
      <c r="E95" s="21" t="s">
        <v>443</v>
      </c>
      <c r="F95" s="56">
        <v>46303</v>
      </c>
      <c r="G95" s="27"/>
      <c r="H95" s="22"/>
      <c r="I95" s="1" t="s">
        <v>460</v>
      </c>
      <c r="J95" s="22">
        <v>46306</v>
      </c>
      <c r="K95" s="1"/>
      <c r="L95" s="1"/>
      <c r="M95" s="23"/>
      <c r="N95" s="15"/>
      <c r="O95" s="11" t="s">
        <v>24</v>
      </c>
      <c r="Q95" t="str">
        <f t="shared" si="6"/>
        <v>Other</v>
      </c>
      <c r="R95" s="54" t="str">
        <f t="shared" si="7"/>
        <v/>
      </c>
    </row>
    <row r="96" spans="2:18" ht="43.8" customHeight="1" x14ac:dyDescent="0.3">
      <c r="B96" s="1" t="s">
        <v>446</v>
      </c>
      <c r="C96" s="4">
        <v>0</v>
      </c>
      <c r="D96" s="1" t="s">
        <v>414</v>
      </c>
      <c r="E96" s="21" t="s">
        <v>445</v>
      </c>
      <c r="F96" s="56">
        <v>46303</v>
      </c>
      <c r="G96" s="57"/>
      <c r="H96" s="5"/>
      <c r="I96" s="1" t="s">
        <v>461</v>
      </c>
      <c r="J96" s="22">
        <v>46306</v>
      </c>
      <c r="K96" s="4"/>
      <c r="L96" s="59"/>
      <c r="M96" s="23"/>
      <c r="N96" s="15"/>
      <c r="O96" s="11" t="s">
        <v>24</v>
      </c>
      <c r="Q96" t="str">
        <f t="shared" si="6"/>
        <v>Other</v>
      </c>
      <c r="R96" s="54" t="str">
        <f t="shared" si="7"/>
        <v/>
      </c>
    </row>
    <row r="97" spans="2:18" ht="28.5" customHeight="1" x14ac:dyDescent="0.3">
      <c r="B97" s="17" t="s">
        <v>448</v>
      </c>
      <c r="C97" s="4">
        <v>0</v>
      </c>
      <c r="D97" s="1" t="s">
        <v>415</v>
      </c>
      <c r="E97" s="21" t="s">
        <v>447</v>
      </c>
      <c r="F97" s="56">
        <v>46303</v>
      </c>
      <c r="G97" s="27"/>
      <c r="H97" s="22"/>
      <c r="I97" s="1" t="s">
        <v>462</v>
      </c>
      <c r="J97" s="22">
        <v>46306</v>
      </c>
      <c r="K97" s="1"/>
      <c r="L97" s="1"/>
      <c r="M97" s="23"/>
      <c r="N97" s="15"/>
      <c r="O97" s="11" t="s">
        <v>24</v>
      </c>
      <c r="Q97" t="str">
        <f t="shared" si="6"/>
        <v>Other</v>
      </c>
      <c r="R97" s="54" t="str">
        <f t="shared" si="7"/>
        <v/>
      </c>
    </row>
    <row r="98" spans="2:18" ht="43.8" customHeight="1" x14ac:dyDescent="0.3">
      <c r="B98" s="1" t="s">
        <v>450</v>
      </c>
      <c r="C98" s="4">
        <v>0</v>
      </c>
      <c r="D98" s="1" t="s">
        <v>416</v>
      </c>
      <c r="E98" s="21" t="s">
        <v>449</v>
      </c>
      <c r="F98" s="56">
        <v>46303</v>
      </c>
      <c r="G98" s="57"/>
      <c r="H98" s="5"/>
      <c r="I98" s="1" t="s">
        <v>451</v>
      </c>
      <c r="J98" s="22">
        <v>46304</v>
      </c>
      <c r="K98" s="4"/>
      <c r="L98" s="59"/>
      <c r="M98" s="23"/>
      <c r="N98" s="15"/>
      <c r="O98" s="11" t="s">
        <v>24</v>
      </c>
      <c r="Q98" t="str">
        <f t="shared" si="6"/>
        <v>Other</v>
      </c>
      <c r="R98" s="54" t="str">
        <f t="shared" si="7"/>
        <v/>
      </c>
    </row>
    <row r="99" spans="2:18" ht="28.5" customHeight="1" x14ac:dyDescent="0.3">
      <c r="B99" s="17" t="s">
        <v>453</v>
      </c>
      <c r="C99" s="4">
        <v>0</v>
      </c>
      <c r="D99" s="1" t="s">
        <v>417</v>
      </c>
      <c r="E99" s="21" t="s">
        <v>452</v>
      </c>
      <c r="F99" s="56">
        <v>46303</v>
      </c>
      <c r="G99" s="27"/>
      <c r="H99" s="22"/>
      <c r="I99" s="1" t="s">
        <v>454</v>
      </c>
      <c r="J99" s="22">
        <v>46304</v>
      </c>
      <c r="K99" s="1"/>
      <c r="L99" s="1"/>
      <c r="M99" s="23"/>
      <c r="N99" s="15"/>
      <c r="O99" s="11" t="s">
        <v>24</v>
      </c>
      <c r="Q99" t="str">
        <f t="shared" si="6"/>
        <v>Other</v>
      </c>
      <c r="R99" s="54" t="str">
        <f t="shared" si="7"/>
        <v/>
      </c>
    </row>
    <row r="100" spans="2:18" ht="43.8" customHeight="1" x14ac:dyDescent="0.3">
      <c r="B100" s="1" t="s">
        <v>456</v>
      </c>
      <c r="C100" s="4">
        <v>0</v>
      </c>
      <c r="D100" s="1" t="s">
        <v>418</v>
      </c>
      <c r="E100" s="21" t="s">
        <v>455</v>
      </c>
      <c r="F100" s="56">
        <v>46303</v>
      </c>
      <c r="G100" s="57"/>
      <c r="H100" s="5"/>
      <c r="I100" s="1" t="s">
        <v>463</v>
      </c>
      <c r="J100" s="22">
        <v>46306</v>
      </c>
      <c r="K100" s="4"/>
      <c r="L100" s="59"/>
      <c r="M100" s="23"/>
      <c r="N100" s="15"/>
      <c r="O100" s="11" t="s">
        <v>24</v>
      </c>
      <c r="Q100" t="str">
        <f t="shared" si="6"/>
        <v>Other</v>
      </c>
      <c r="R100" s="54" t="str">
        <f t="shared" si="7"/>
        <v/>
      </c>
    </row>
    <row r="101" spans="2:18" x14ac:dyDescent="0.3">
      <c r="Q101" t="str">
        <f t="shared" si="6"/>
        <v/>
      </c>
      <c r="R101" s="54" t="str">
        <f t="shared" si="7"/>
        <v/>
      </c>
    </row>
    <row r="102" spans="2:18" x14ac:dyDescent="0.3">
      <c r="Q102" t="str">
        <f t="shared" si="6"/>
        <v/>
      </c>
      <c r="R102" s="54" t="str">
        <f t="shared" si="7"/>
        <v/>
      </c>
    </row>
    <row r="103" spans="2:18" x14ac:dyDescent="0.3">
      <c r="Q103" t="str">
        <f t="shared" si="6"/>
        <v/>
      </c>
      <c r="R103" s="54" t="str">
        <f t="shared" si="7"/>
        <v/>
      </c>
    </row>
    <row r="104" spans="2:18" x14ac:dyDescent="0.3">
      <c r="Q104" t="str">
        <f t="shared" si="6"/>
        <v/>
      </c>
      <c r="R104" s="54" t="str">
        <f t="shared" si="7"/>
        <v/>
      </c>
    </row>
    <row r="105" spans="2:18" x14ac:dyDescent="0.3">
      <c r="Q105" t="str">
        <f t="shared" si="6"/>
        <v/>
      </c>
      <c r="R105" s="54" t="str">
        <f t="shared" si="7"/>
        <v/>
      </c>
    </row>
    <row r="106" spans="2:18" x14ac:dyDescent="0.3">
      <c r="Q106" t="str">
        <f t="shared" si="6"/>
        <v/>
      </c>
      <c r="R106" s="54" t="str">
        <f t="shared" si="7"/>
        <v/>
      </c>
    </row>
    <row r="107" spans="2:18" x14ac:dyDescent="0.3">
      <c r="Q107" t="str">
        <f t="shared" si="6"/>
        <v/>
      </c>
      <c r="R107" s="54" t="str">
        <f t="shared" si="7"/>
        <v/>
      </c>
    </row>
    <row r="108" spans="2:18" x14ac:dyDescent="0.3">
      <c r="Q108" t="str">
        <f t="shared" si="6"/>
        <v/>
      </c>
      <c r="R108" s="54" t="str">
        <f t="shared" si="7"/>
        <v/>
      </c>
    </row>
    <row r="109" spans="2:18" x14ac:dyDescent="0.3">
      <c r="Q109" t="str">
        <f t="shared" si="6"/>
        <v/>
      </c>
      <c r="R109" s="54" t="str">
        <f t="shared" si="7"/>
        <v/>
      </c>
    </row>
    <row r="110" spans="2:18" x14ac:dyDescent="0.3">
      <c r="Q110" t="str">
        <f t="shared" si="6"/>
        <v/>
      </c>
      <c r="R110" s="54" t="str">
        <f t="shared" si="7"/>
        <v/>
      </c>
    </row>
    <row r="111" spans="2:18" x14ac:dyDescent="0.3">
      <c r="Q111" t="str">
        <f t="shared" si="6"/>
        <v/>
      </c>
      <c r="R111" s="54" t="str">
        <f t="shared" si="7"/>
        <v/>
      </c>
    </row>
    <row r="112" spans="2:18" x14ac:dyDescent="0.3">
      <c r="Q112" t="str">
        <f t="shared" si="6"/>
        <v/>
      </c>
      <c r="R112" s="54" t="str">
        <f t="shared" si="7"/>
        <v/>
      </c>
    </row>
    <row r="113" spans="17:18" x14ac:dyDescent="0.3">
      <c r="Q113" t="str">
        <f t="shared" si="6"/>
        <v/>
      </c>
      <c r="R113" s="54" t="str">
        <f t="shared" si="7"/>
        <v/>
      </c>
    </row>
    <row r="114" spans="17:18" x14ac:dyDescent="0.3">
      <c r="Q114" t="str">
        <f t="shared" si="6"/>
        <v/>
      </c>
      <c r="R114" s="54" t="str">
        <f t="shared" si="7"/>
        <v/>
      </c>
    </row>
    <row r="115" spans="17:18" x14ac:dyDescent="0.3">
      <c r="Q115" t="str">
        <f t="shared" si="6"/>
        <v/>
      </c>
      <c r="R115" s="54" t="str">
        <f t="shared" si="7"/>
        <v/>
      </c>
    </row>
    <row r="116" spans="17:18" x14ac:dyDescent="0.3">
      <c r="Q116" t="str">
        <f t="shared" si="6"/>
        <v/>
      </c>
      <c r="R116" s="54" t="str">
        <f t="shared" si="7"/>
        <v/>
      </c>
    </row>
    <row r="117" spans="17:18" x14ac:dyDescent="0.3">
      <c r="Q117" t="str">
        <f t="shared" si="6"/>
        <v/>
      </c>
      <c r="R117" s="54" t="str">
        <f t="shared" si="7"/>
        <v/>
      </c>
    </row>
    <row r="118" spans="17:18" x14ac:dyDescent="0.3">
      <c r="Q118" t="str">
        <f t="shared" si="6"/>
        <v/>
      </c>
      <c r="R118" s="54" t="str">
        <f t="shared" si="7"/>
        <v/>
      </c>
    </row>
    <row r="119" spans="17:18" x14ac:dyDescent="0.3">
      <c r="Q119" t="str">
        <f t="shared" si="6"/>
        <v/>
      </c>
      <c r="R119" s="54" t="str">
        <f t="shared" si="7"/>
        <v/>
      </c>
    </row>
    <row r="120" spans="17:18" x14ac:dyDescent="0.3">
      <c r="Q120" t="str">
        <f t="shared" si="6"/>
        <v/>
      </c>
      <c r="R120" s="54" t="str">
        <f t="shared" si="7"/>
        <v/>
      </c>
    </row>
    <row r="121" spans="17:18" x14ac:dyDescent="0.3">
      <c r="Q121" t="str">
        <f t="shared" si="6"/>
        <v/>
      </c>
      <c r="R121" s="54" t="str">
        <f t="shared" si="7"/>
        <v/>
      </c>
    </row>
    <row r="122" spans="17:18" x14ac:dyDescent="0.3">
      <c r="Q122" t="str">
        <f t="shared" si="6"/>
        <v/>
      </c>
      <c r="R122" s="54" t="str">
        <f t="shared" si="7"/>
        <v/>
      </c>
    </row>
    <row r="123" spans="17:18" x14ac:dyDescent="0.3">
      <c r="Q123" t="str">
        <f t="shared" si="6"/>
        <v/>
      </c>
      <c r="R123" s="54" t="str">
        <f t="shared" si="7"/>
        <v/>
      </c>
    </row>
    <row r="124" spans="17:18" x14ac:dyDescent="0.3">
      <c r="Q124" t="str">
        <f t="shared" si="6"/>
        <v/>
      </c>
      <c r="R124" s="54" t="str">
        <f t="shared" si="7"/>
        <v/>
      </c>
    </row>
    <row r="125" spans="17:18" x14ac:dyDescent="0.3">
      <c r="Q125" t="str">
        <f t="shared" si="6"/>
        <v/>
      </c>
      <c r="R125" s="54" t="str">
        <f t="shared" si="7"/>
        <v/>
      </c>
    </row>
    <row r="126" spans="17:18" x14ac:dyDescent="0.3">
      <c r="Q126" t="str">
        <f t="shared" si="6"/>
        <v/>
      </c>
      <c r="R126" s="54" t="str">
        <f t="shared" si="7"/>
        <v/>
      </c>
    </row>
    <row r="127" spans="17:18" x14ac:dyDescent="0.3">
      <c r="Q127" t="str">
        <f t="shared" si="6"/>
        <v/>
      </c>
      <c r="R127" s="54" t="str">
        <f t="shared" si="7"/>
        <v/>
      </c>
    </row>
    <row r="128" spans="17:18" x14ac:dyDescent="0.3">
      <c r="Q128" t="str">
        <f t="shared" si="6"/>
        <v/>
      </c>
      <c r="R128" s="54" t="str">
        <f t="shared" si="7"/>
        <v/>
      </c>
    </row>
    <row r="129" spans="17:18" x14ac:dyDescent="0.3">
      <c r="Q129" t="str">
        <f t="shared" si="6"/>
        <v/>
      </c>
      <c r="R129" s="54" t="str">
        <f t="shared" si="7"/>
        <v/>
      </c>
    </row>
    <row r="130" spans="17:18" x14ac:dyDescent="0.3">
      <c r="Q130" t="str">
        <f t="shared" si="6"/>
        <v/>
      </c>
      <c r="R130" s="54" t="str">
        <f t="shared" si="7"/>
        <v/>
      </c>
    </row>
    <row r="131" spans="17:18" x14ac:dyDescent="0.3">
      <c r="Q131" t="str">
        <f t="shared" si="6"/>
        <v/>
      </c>
      <c r="R131" s="54" t="str">
        <f t="shared" ref="R131:R194" si="8">IF(F145="","",IFERROR(IF(ISNUMBER(F145),F145,DATEVALUE(F145)),""))</f>
        <v/>
      </c>
    </row>
    <row r="132" spans="17:18" x14ac:dyDescent="0.3">
      <c r="Q132" t="str">
        <f t="shared" si="6"/>
        <v/>
      </c>
      <c r="R132" s="54" t="str">
        <f t="shared" si="8"/>
        <v/>
      </c>
    </row>
    <row r="133" spans="17:18" x14ac:dyDescent="0.3">
      <c r="Q133" t="str">
        <f t="shared" si="6"/>
        <v/>
      </c>
      <c r="R133" s="54" t="str">
        <f t="shared" si="8"/>
        <v/>
      </c>
    </row>
    <row r="134" spans="17:18" x14ac:dyDescent="0.3">
      <c r="Q134" t="str">
        <f t="shared" si="6"/>
        <v/>
      </c>
      <c r="R134" s="54" t="str">
        <f t="shared" si="8"/>
        <v/>
      </c>
    </row>
    <row r="135" spans="17:18" x14ac:dyDescent="0.3">
      <c r="Q135" t="str">
        <f t="shared" si="6"/>
        <v/>
      </c>
      <c r="R135" s="54" t="str">
        <f t="shared" si="8"/>
        <v/>
      </c>
    </row>
    <row r="136" spans="17:18" x14ac:dyDescent="0.3">
      <c r="Q136" t="str">
        <f t="shared" si="6"/>
        <v/>
      </c>
      <c r="R136" s="54" t="str">
        <f t="shared" si="8"/>
        <v/>
      </c>
    </row>
    <row r="137" spans="17:18" x14ac:dyDescent="0.3">
      <c r="Q137" t="str">
        <f t="shared" si="6"/>
        <v/>
      </c>
      <c r="R137" s="54" t="str">
        <f t="shared" si="8"/>
        <v/>
      </c>
    </row>
    <row r="138" spans="17:18" x14ac:dyDescent="0.3">
      <c r="Q138" t="str">
        <f t="shared" si="6"/>
        <v/>
      </c>
      <c r="R138" s="54" t="str">
        <f t="shared" si="8"/>
        <v/>
      </c>
    </row>
    <row r="139" spans="17:18" x14ac:dyDescent="0.3">
      <c r="Q139" t="str">
        <f t="shared" si="6"/>
        <v/>
      </c>
      <c r="R139" s="54" t="str">
        <f t="shared" si="8"/>
        <v/>
      </c>
    </row>
    <row r="140" spans="17:18" x14ac:dyDescent="0.3">
      <c r="Q140" t="str">
        <f t="shared" si="6"/>
        <v/>
      </c>
      <c r="R140" s="54" t="str">
        <f t="shared" si="8"/>
        <v/>
      </c>
    </row>
    <row r="141" spans="17:18" x14ac:dyDescent="0.3">
      <c r="Q141" t="str">
        <f t="shared" si="6"/>
        <v/>
      </c>
      <c r="R141" s="54" t="str">
        <f t="shared" si="8"/>
        <v/>
      </c>
    </row>
    <row r="142" spans="17:18" x14ac:dyDescent="0.3">
      <c r="Q142" t="str">
        <f t="shared" si="6"/>
        <v/>
      </c>
      <c r="R142" s="54" t="str">
        <f t="shared" si="8"/>
        <v/>
      </c>
    </row>
    <row r="143" spans="17:18" x14ac:dyDescent="0.3">
      <c r="Q143" t="str">
        <f t="shared" si="6"/>
        <v/>
      </c>
      <c r="R143" s="54" t="str">
        <f t="shared" si="8"/>
        <v/>
      </c>
    </row>
    <row r="144" spans="17:18" x14ac:dyDescent="0.3">
      <c r="Q144" t="str">
        <f t="shared" si="6"/>
        <v/>
      </c>
      <c r="R144" s="54" t="str">
        <f t="shared" si="8"/>
        <v/>
      </c>
    </row>
    <row r="145" spans="17:18" x14ac:dyDescent="0.3">
      <c r="Q145" t="str">
        <f t="shared" si="6"/>
        <v/>
      </c>
      <c r="R145" s="54" t="str">
        <f t="shared" si="8"/>
        <v/>
      </c>
    </row>
    <row r="146" spans="17:18" x14ac:dyDescent="0.3">
      <c r="Q146" t="str">
        <f t="shared" si="6"/>
        <v/>
      </c>
      <c r="R146" s="54" t="str">
        <f t="shared" si="8"/>
        <v/>
      </c>
    </row>
    <row r="147" spans="17:18" x14ac:dyDescent="0.3">
      <c r="Q147" t="str">
        <f t="shared" si="6"/>
        <v/>
      </c>
      <c r="R147" s="54" t="str">
        <f t="shared" si="8"/>
        <v/>
      </c>
    </row>
    <row r="148" spans="17:18" x14ac:dyDescent="0.3">
      <c r="Q148" t="str">
        <f t="shared" si="6"/>
        <v/>
      </c>
      <c r="R148" s="54" t="str">
        <f t="shared" si="8"/>
        <v/>
      </c>
    </row>
    <row r="149" spans="17:18" x14ac:dyDescent="0.3">
      <c r="Q149" t="str">
        <f t="shared" si="6"/>
        <v/>
      </c>
      <c r="R149" s="54" t="str">
        <f t="shared" si="8"/>
        <v/>
      </c>
    </row>
    <row r="150" spans="17:18" x14ac:dyDescent="0.3">
      <c r="Q150" t="str">
        <f t="shared" si="6"/>
        <v/>
      </c>
      <c r="R150" s="54" t="str">
        <f t="shared" si="8"/>
        <v/>
      </c>
    </row>
    <row r="151" spans="17:18" x14ac:dyDescent="0.3">
      <c r="Q151" t="str">
        <f t="shared" ref="Q151:Q214" si="9">IF(COUNTA(A151:P151)=0,"",IF(ISNUMBER(SEARCH("-AR-",E165)),"Architectural",IF(ISNUMBER(SEARCH("-ST-",E165)),"Structural",IF(ISNUMBER(SEARCH("-ME-",E165)),"Mechanical",IF(ISNUMBER(SEARCH("-EL-",E165)),"Electrical",IF(ISNUMBER(SEARCH("-GE-",E165)),"General",IF(ISNUMBER(SEARCH("-AR-",D165)),"Architectural",IF(ISNUMBER(SEARCH("-ST-",D165)),"Structural",IF(ISNUMBER(SEARCH("-ME-",D165)),"Mechanical",IF(ISNUMBER(SEARCH("-EL-",D165)),"Electrical",IF(ISNUMBER(SEARCH("-GE-",D165)),"General","Other")))))))))))</f>
        <v/>
      </c>
      <c r="R151" s="54" t="str">
        <f t="shared" si="8"/>
        <v/>
      </c>
    </row>
    <row r="152" spans="17:18" x14ac:dyDescent="0.3">
      <c r="Q152" t="str">
        <f t="shared" si="9"/>
        <v/>
      </c>
      <c r="R152" s="54" t="str">
        <f t="shared" si="8"/>
        <v/>
      </c>
    </row>
    <row r="153" spans="17:18" x14ac:dyDescent="0.3">
      <c r="Q153" t="str">
        <f t="shared" si="9"/>
        <v/>
      </c>
      <c r="R153" s="54" t="str">
        <f t="shared" si="8"/>
        <v/>
      </c>
    </row>
    <row r="154" spans="17:18" x14ac:dyDescent="0.3">
      <c r="Q154" t="str">
        <f t="shared" si="9"/>
        <v/>
      </c>
      <c r="R154" s="54" t="str">
        <f t="shared" si="8"/>
        <v/>
      </c>
    </row>
    <row r="155" spans="17:18" x14ac:dyDescent="0.3">
      <c r="Q155" t="str">
        <f t="shared" si="9"/>
        <v/>
      </c>
      <c r="R155" s="54" t="str">
        <f t="shared" si="8"/>
        <v/>
      </c>
    </row>
    <row r="156" spans="17:18" x14ac:dyDescent="0.3">
      <c r="Q156" t="str">
        <f t="shared" si="9"/>
        <v/>
      </c>
      <c r="R156" s="54" t="str">
        <f t="shared" si="8"/>
        <v/>
      </c>
    </row>
    <row r="157" spans="17:18" x14ac:dyDescent="0.3">
      <c r="Q157" t="str">
        <f t="shared" si="9"/>
        <v/>
      </c>
      <c r="R157" s="54" t="str">
        <f t="shared" si="8"/>
        <v/>
      </c>
    </row>
    <row r="158" spans="17:18" x14ac:dyDescent="0.3">
      <c r="Q158" t="str">
        <f t="shared" si="9"/>
        <v/>
      </c>
      <c r="R158" s="54" t="str">
        <f t="shared" si="8"/>
        <v/>
      </c>
    </row>
    <row r="159" spans="17:18" x14ac:dyDescent="0.3">
      <c r="Q159" t="str">
        <f t="shared" si="9"/>
        <v/>
      </c>
      <c r="R159" s="54" t="str">
        <f t="shared" si="8"/>
        <v/>
      </c>
    </row>
    <row r="160" spans="17:18" x14ac:dyDescent="0.3">
      <c r="Q160" t="str">
        <f t="shared" si="9"/>
        <v/>
      </c>
      <c r="R160" s="54" t="str">
        <f t="shared" si="8"/>
        <v/>
      </c>
    </row>
    <row r="161" spans="17:18" x14ac:dyDescent="0.3">
      <c r="Q161" t="str">
        <f t="shared" si="9"/>
        <v/>
      </c>
      <c r="R161" s="54" t="str">
        <f t="shared" si="8"/>
        <v/>
      </c>
    </row>
    <row r="162" spans="17:18" x14ac:dyDescent="0.3">
      <c r="Q162" t="str">
        <f t="shared" si="9"/>
        <v/>
      </c>
      <c r="R162" s="54" t="str">
        <f t="shared" si="8"/>
        <v/>
      </c>
    </row>
    <row r="163" spans="17:18" x14ac:dyDescent="0.3">
      <c r="Q163" t="str">
        <f t="shared" si="9"/>
        <v/>
      </c>
      <c r="R163" s="54" t="str">
        <f t="shared" si="8"/>
        <v/>
      </c>
    </row>
    <row r="164" spans="17:18" x14ac:dyDescent="0.3">
      <c r="Q164" t="str">
        <f t="shared" si="9"/>
        <v/>
      </c>
      <c r="R164" s="54" t="str">
        <f t="shared" si="8"/>
        <v/>
      </c>
    </row>
    <row r="165" spans="17:18" x14ac:dyDescent="0.3">
      <c r="Q165" t="str">
        <f t="shared" si="9"/>
        <v/>
      </c>
      <c r="R165" s="54" t="str">
        <f t="shared" si="8"/>
        <v/>
      </c>
    </row>
    <row r="166" spans="17:18" x14ac:dyDescent="0.3">
      <c r="Q166" t="str">
        <f t="shared" si="9"/>
        <v/>
      </c>
      <c r="R166" s="54" t="str">
        <f t="shared" si="8"/>
        <v/>
      </c>
    </row>
    <row r="167" spans="17:18" x14ac:dyDescent="0.3">
      <c r="Q167" t="str">
        <f t="shared" si="9"/>
        <v/>
      </c>
      <c r="R167" s="54" t="str">
        <f t="shared" si="8"/>
        <v/>
      </c>
    </row>
    <row r="168" spans="17:18" x14ac:dyDescent="0.3">
      <c r="Q168" t="str">
        <f t="shared" si="9"/>
        <v/>
      </c>
      <c r="R168" s="54" t="str">
        <f t="shared" si="8"/>
        <v/>
      </c>
    </row>
    <row r="169" spans="17:18" x14ac:dyDescent="0.3">
      <c r="Q169" t="str">
        <f t="shared" si="9"/>
        <v/>
      </c>
      <c r="R169" s="54" t="str">
        <f t="shared" si="8"/>
        <v/>
      </c>
    </row>
    <row r="170" spans="17:18" x14ac:dyDescent="0.3">
      <c r="Q170" t="str">
        <f t="shared" si="9"/>
        <v/>
      </c>
      <c r="R170" s="54" t="str">
        <f t="shared" si="8"/>
        <v/>
      </c>
    </row>
    <row r="171" spans="17:18" x14ac:dyDescent="0.3">
      <c r="Q171" t="str">
        <f t="shared" si="9"/>
        <v/>
      </c>
      <c r="R171" s="54" t="str">
        <f t="shared" si="8"/>
        <v/>
      </c>
    </row>
    <row r="172" spans="17:18" x14ac:dyDescent="0.3">
      <c r="Q172" t="str">
        <f t="shared" si="9"/>
        <v/>
      </c>
      <c r="R172" s="54" t="str">
        <f t="shared" si="8"/>
        <v/>
      </c>
    </row>
    <row r="173" spans="17:18" x14ac:dyDescent="0.3">
      <c r="Q173" t="str">
        <f t="shared" si="9"/>
        <v/>
      </c>
      <c r="R173" s="54" t="str">
        <f t="shared" si="8"/>
        <v/>
      </c>
    </row>
    <row r="174" spans="17:18" x14ac:dyDescent="0.3">
      <c r="Q174" t="str">
        <f t="shared" si="9"/>
        <v/>
      </c>
      <c r="R174" s="54" t="str">
        <f t="shared" si="8"/>
        <v/>
      </c>
    </row>
    <row r="175" spans="17:18" x14ac:dyDescent="0.3">
      <c r="Q175" t="str">
        <f t="shared" si="9"/>
        <v/>
      </c>
      <c r="R175" s="54" t="str">
        <f t="shared" si="8"/>
        <v/>
      </c>
    </row>
    <row r="176" spans="17:18" x14ac:dyDescent="0.3">
      <c r="Q176" t="str">
        <f t="shared" si="9"/>
        <v/>
      </c>
      <c r="R176" s="54" t="str">
        <f t="shared" si="8"/>
        <v/>
      </c>
    </row>
    <row r="177" spans="17:18" x14ac:dyDescent="0.3">
      <c r="Q177" t="str">
        <f t="shared" si="9"/>
        <v/>
      </c>
      <c r="R177" s="54" t="str">
        <f t="shared" si="8"/>
        <v/>
      </c>
    </row>
    <row r="178" spans="17:18" x14ac:dyDescent="0.3">
      <c r="Q178" t="str">
        <f t="shared" si="9"/>
        <v/>
      </c>
      <c r="R178" s="54" t="str">
        <f t="shared" si="8"/>
        <v/>
      </c>
    </row>
    <row r="179" spans="17:18" x14ac:dyDescent="0.3">
      <c r="Q179" t="str">
        <f t="shared" si="9"/>
        <v/>
      </c>
      <c r="R179" s="54" t="str">
        <f t="shared" si="8"/>
        <v/>
      </c>
    </row>
    <row r="180" spans="17:18" x14ac:dyDescent="0.3">
      <c r="Q180" t="str">
        <f t="shared" si="9"/>
        <v/>
      </c>
      <c r="R180" s="54" t="str">
        <f t="shared" si="8"/>
        <v/>
      </c>
    </row>
    <row r="181" spans="17:18" x14ac:dyDescent="0.3">
      <c r="Q181" t="str">
        <f t="shared" si="9"/>
        <v/>
      </c>
      <c r="R181" s="54" t="str">
        <f t="shared" si="8"/>
        <v/>
      </c>
    </row>
    <row r="182" spans="17:18" x14ac:dyDescent="0.3">
      <c r="Q182" t="str">
        <f t="shared" si="9"/>
        <v/>
      </c>
      <c r="R182" s="54" t="str">
        <f t="shared" si="8"/>
        <v/>
      </c>
    </row>
    <row r="183" spans="17:18" x14ac:dyDescent="0.3">
      <c r="Q183" t="str">
        <f t="shared" si="9"/>
        <v/>
      </c>
      <c r="R183" s="54" t="str">
        <f t="shared" si="8"/>
        <v/>
      </c>
    </row>
    <row r="184" spans="17:18" x14ac:dyDescent="0.3">
      <c r="Q184" t="str">
        <f t="shared" si="9"/>
        <v/>
      </c>
      <c r="R184" s="54" t="str">
        <f t="shared" si="8"/>
        <v/>
      </c>
    </row>
    <row r="185" spans="17:18" x14ac:dyDescent="0.3">
      <c r="Q185" t="str">
        <f t="shared" si="9"/>
        <v/>
      </c>
      <c r="R185" s="54" t="str">
        <f t="shared" si="8"/>
        <v/>
      </c>
    </row>
    <row r="186" spans="17:18" x14ac:dyDescent="0.3">
      <c r="Q186" t="str">
        <f t="shared" si="9"/>
        <v/>
      </c>
      <c r="R186" s="54" t="str">
        <f t="shared" si="8"/>
        <v/>
      </c>
    </row>
    <row r="187" spans="17:18" x14ac:dyDescent="0.3">
      <c r="Q187" t="str">
        <f t="shared" si="9"/>
        <v/>
      </c>
      <c r="R187" s="54" t="str">
        <f t="shared" si="8"/>
        <v/>
      </c>
    </row>
    <row r="188" spans="17:18" x14ac:dyDescent="0.3">
      <c r="Q188" t="str">
        <f t="shared" si="9"/>
        <v/>
      </c>
      <c r="R188" s="54" t="str">
        <f t="shared" si="8"/>
        <v/>
      </c>
    </row>
    <row r="189" spans="17:18" x14ac:dyDescent="0.3">
      <c r="Q189" t="str">
        <f t="shared" si="9"/>
        <v/>
      </c>
      <c r="R189" s="54" t="str">
        <f t="shared" si="8"/>
        <v/>
      </c>
    </row>
    <row r="190" spans="17:18" x14ac:dyDescent="0.3">
      <c r="Q190" t="str">
        <f t="shared" si="9"/>
        <v/>
      </c>
      <c r="R190" s="54" t="str">
        <f t="shared" si="8"/>
        <v/>
      </c>
    </row>
    <row r="191" spans="17:18" x14ac:dyDescent="0.3">
      <c r="Q191" t="str">
        <f t="shared" si="9"/>
        <v/>
      </c>
      <c r="R191" s="54" t="str">
        <f t="shared" si="8"/>
        <v/>
      </c>
    </row>
    <row r="192" spans="17:18" x14ac:dyDescent="0.3">
      <c r="Q192" t="str">
        <f t="shared" si="9"/>
        <v/>
      </c>
      <c r="R192" s="54" t="str">
        <f t="shared" si="8"/>
        <v/>
      </c>
    </row>
    <row r="193" spans="17:18" x14ac:dyDescent="0.3">
      <c r="Q193" t="str">
        <f t="shared" si="9"/>
        <v/>
      </c>
      <c r="R193" s="54" t="str">
        <f t="shared" si="8"/>
        <v/>
      </c>
    </row>
    <row r="194" spans="17:18" x14ac:dyDescent="0.3">
      <c r="Q194" t="str">
        <f t="shared" si="9"/>
        <v/>
      </c>
      <c r="R194" s="54" t="str">
        <f t="shared" si="8"/>
        <v/>
      </c>
    </row>
    <row r="195" spans="17:18" x14ac:dyDescent="0.3">
      <c r="Q195" t="str">
        <f t="shared" si="9"/>
        <v/>
      </c>
      <c r="R195" s="54" t="str">
        <f t="shared" ref="R195:R258" si="10">IF(F209="","",IFERROR(IF(ISNUMBER(F209),F209,DATEVALUE(F209)),""))</f>
        <v/>
      </c>
    </row>
    <row r="196" spans="17:18" x14ac:dyDescent="0.3">
      <c r="Q196" t="str">
        <f t="shared" si="9"/>
        <v/>
      </c>
      <c r="R196" s="54" t="str">
        <f t="shared" si="10"/>
        <v/>
      </c>
    </row>
    <row r="197" spans="17:18" x14ac:dyDescent="0.3">
      <c r="Q197" t="str">
        <f t="shared" si="9"/>
        <v/>
      </c>
      <c r="R197" s="54" t="str">
        <f t="shared" si="10"/>
        <v/>
      </c>
    </row>
    <row r="198" spans="17:18" x14ac:dyDescent="0.3">
      <c r="Q198" t="str">
        <f t="shared" si="9"/>
        <v/>
      </c>
      <c r="R198" s="54" t="str">
        <f t="shared" si="10"/>
        <v/>
      </c>
    </row>
    <row r="199" spans="17:18" x14ac:dyDescent="0.3">
      <c r="Q199" t="str">
        <f t="shared" si="9"/>
        <v/>
      </c>
      <c r="R199" s="54" t="str">
        <f t="shared" si="10"/>
        <v/>
      </c>
    </row>
    <row r="200" spans="17:18" x14ac:dyDescent="0.3">
      <c r="Q200" t="str">
        <f t="shared" si="9"/>
        <v/>
      </c>
      <c r="R200" s="54" t="str">
        <f t="shared" si="10"/>
        <v/>
      </c>
    </row>
    <row r="201" spans="17:18" x14ac:dyDescent="0.3">
      <c r="Q201" t="str">
        <f t="shared" si="9"/>
        <v/>
      </c>
      <c r="R201" s="54" t="str">
        <f t="shared" si="10"/>
        <v/>
      </c>
    </row>
    <row r="202" spans="17:18" x14ac:dyDescent="0.3">
      <c r="Q202" t="str">
        <f t="shared" si="9"/>
        <v/>
      </c>
      <c r="R202" s="54" t="str">
        <f t="shared" si="10"/>
        <v/>
      </c>
    </row>
    <row r="203" spans="17:18" x14ac:dyDescent="0.3">
      <c r="Q203" t="str">
        <f t="shared" si="9"/>
        <v/>
      </c>
      <c r="R203" s="54" t="str">
        <f t="shared" si="10"/>
        <v/>
      </c>
    </row>
    <row r="204" spans="17:18" x14ac:dyDescent="0.3">
      <c r="Q204" t="str">
        <f t="shared" si="9"/>
        <v/>
      </c>
      <c r="R204" s="54" t="str">
        <f t="shared" si="10"/>
        <v/>
      </c>
    </row>
    <row r="205" spans="17:18" x14ac:dyDescent="0.3">
      <c r="Q205" t="str">
        <f t="shared" si="9"/>
        <v/>
      </c>
      <c r="R205" s="54" t="str">
        <f t="shared" si="10"/>
        <v/>
      </c>
    </row>
    <row r="206" spans="17:18" x14ac:dyDescent="0.3">
      <c r="Q206" t="str">
        <f t="shared" si="9"/>
        <v/>
      </c>
      <c r="R206" s="54" t="str">
        <f t="shared" si="10"/>
        <v/>
      </c>
    </row>
    <row r="207" spans="17:18" x14ac:dyDescent="0.3">
      <c r="Q207" t="str">
        <f t="shared" si="9"/>
        <v/>
      </c>
      <c r="R207" s="54" t="str">
        <f t="shared" si="10"/>
        <v/>
      </c>
    </row>
    <row r="208" spans="17:18" x14ac:dyDescent="0.3">
      <c r="Q208" t="str">
        <f t="shared" si="9"/>
        <v/>
      </c>
      <c r="R208" s="54" t="str">
        <f t="shared" si="10"/>
        <v/>
      </c>
    </row>
    <row r="209" spans="17:18" x14ac:dyDescent="0.3">
      <c r="Q209" t="str">
        <f t="shared" si="9"/>
        <v/>
      </c>
      <c r="R209" s="54" t="str">
        <f t="shared" si="10"/>
        <v/>
      </c>
    </row>
    <row r="210" spans="17:18" x14ac:dyDescent="0.3">
      <c r="Q210" t="str">
        <f t="shared" si="9"/>
        <v/>
      </c>
      <c r="R210" s="54" t="str">
        <f t="shared" si="10"/>
        <v/>
      </c>
    </row>
    <row r="211" spans="17:18" x14ac:dyDescent="0.3">
      <c r="Q211" t="str">
        <f t="shared" si="9"/>
        <v/>
      </c>
      <c r="R211" s="54" t="str">
        <f t="shared" si="10"/>
        <v/>
      </c>
    </row>
    <row r="212" spans="17:18" x14ac:dyDescent="0.3">
      <c r="Q212" t="str">
        <f t="shared" si="9"/>
        <v/>
      </c>
      <c r="R212" s="54" t="str">
        <f t="shared" si="10"/>
        <v/>
      </c>
    </row>
    <row r="213" spans="17:18" x14ac:dyDescent="0.3">
      <c r="Q213" t="str">
        <f t="shared" si="9"/>
        <v/>
      </c>
      <c r="R213" s="54" t="str">
        <f t="shared" si="10"/>
        <v/>
      </c>
    </row>
    <row r="214" spans="17:18" x14ac:dyDescent="0.3">
      <c r="Q214" t="str">
        <f t="shared" si="9"/>
        <v/>
      </c>
      <c r="R214" s="54" t="str">
        <f t="shared" si="10"/>
        <v/>
      </c>
    </row>
    <row r="215" spans="17:18" x14ac:dyDescent="0.3">
      <c r="Q215" t="str">
        <f t="shared" ref="Q215:Q278" si="11">IF(COUNTA(A215:P215)=0,"",IF(ISNUMBER(SEARCH("-AR-",E229)),"Architectural",IF(ISNUMBER(SEARCH("-ST-",E229)),"Structural",IF(ISNUMBER(SEARCH("-ME-",E229)),"Mechanical",IF(ISNUMBER(SEARCH("-EL-",E229)),"Electrical",IF(ISNUMBER(SEARCH("-GE-",E229)),"General",IF(ISNUMBER(SEARCH("-AR-",D229)),"Architectural",IF(ISNUMBER(SEARCH("-ST-",D229)),"Structural",IF(ISNUMBER(SEARCH("-ME-",D229)),"Mechanical",IF(ISNUMBER(SEARCH("-EL-",D229)),"Electrical",IF(ISNUMBER(SEARCH("-GE-",D229)),"General","Other")))))))))))</f>
        <v/>
      </c>
      <c r="R215" s="54" t="str">
        <f t="shared" si="10"/>
        <v/>
      </c>
    </row>
    <row r="216" spans="17:18" x14ac:dyDescent="0.3">
      <c r="Q216" t="str">
        <f t="shared" si="11"/>
        <v/>
      </c>
      <c r="R216" s="54" t="str">
        <f t="shared" si="10"/>
        <v/>
      </c>
    </row>
    <row r="217" spans="17:18" x14ac:dyDescent="0.3">
      <c r="Q217" t="str">
        <f t="shared" si="11"/>
        <v/>
      </c>
      <c r="R217" s="54" t="str">
        <f t="shared" si="10"/>
        <v/>
      </c>
    </row>
    <row r="218" spans="17:18" x14ac:dyDescent="0.3">
      <c r="Q218" t="str">
        <f t="shared" si="11"/>
        <v/>
      </c>
      <c r="R218" s="54" t="str">
        <f t="shared" si="10"/>
        <v/>
      </c>
    </row>
    <row r="219" spans="17:18" x14ac:dyDescent="0.3">
      <c r="Q219" t="str">
        <f t="shared" si="11"/>
        <v/>
      </c>
      <c r="R219" s="54" t="str">
        <f t="shared" si="10"/>
        <v/>
      </c>
    </row>
    <row r="220" spans="17:18" x14ac:dyDescent="0.3">
      <c r="Q220" t="str">
        <f t="shared" si="11"/>
        <v/>
      </c>
      <c r="R220" s="54" t="str">
        <f t="shared" si="10"/>
        <v/>
      </c>
    </row>
    <row r="221" spans="17:18" x14ac:dyDescent="0.3">
      <c r="Q221" t="str">
        <f t="shared" si="11"/>
        <v/>
      </c>
      <c r="R221" s="54" t="str">
        <f t="shared" si="10"/>
        <v/>
      </c>
    </row>
    <row r="222" spans="17:18" x14ac:dyDescent="0.3">
      <c r="Q222" t="str">
        <f t="shared" si="11"/>
        <v/>
      </c>
      <c r="R222" s="54" t="str">
        <f t="shared" si="10"/>
        <v/>
      </c>
    </row>
    <row r="223" spans="17:18" x14ac:dyDescent="0.3">
      <c r="Q223" t="str">
        <f t="shared" si="11"/>
        <v/>
      </c>
      <c r="R223" s="54" t="str">
        <f t="shared" si="10"/>
        <v/>
      </c>
    </row>
    <row r="224" spans="17:18" x14ac:dyDescent="0.3">
      <c r="Q224" t="str">
        <f t="shared" si="11"/>
        <v/>
      </c>
      <c r="R224" s="54" t="str">
        <f t="shared" si="10"/>
        <v/>
      </c>
    </row>
    <row r="225" spans="17:18" x14ac:dyDescent="0.3">
      <c r="Q225" t="str">
        <f t="shared" si="11"/>
        <v/>
      </c>
      <c r="R225" s="54" t="str">
        <f t="shared" si="10"/>
        <v/>
      </c>
    </row>
    <row r="226" spans="17:18" x14ac:dyDescent="0.3">
      <c r="Q226" t="str">
        <f t="shared" si="11"/>
        <v/>
      </c>
      <c r="R226" s="54" t="str">
        <f t="shared" si="10"/>
        <v/>
      </c>
    </row>
    <row r="227" spans="17:18" x14ac:dyDescent="0.3">
      <c r="Q227" t="str">
        <f t="shared" si="11"/>
        <v/>
      </c>
      <c r="R227" s="54" t="str">
        <f t="shared" si="10"/>
        <v/>
      </c>
    </row>
    <row r="228" spans="17:18" x14ac:dyDescent="0.3">
      <c r="Q228" t="str">
        <f t="shared" si="11"/>
        <v/>
      </c>
      <c r="R228" s="54" t="str">
        <f t="shared" si="10"/>
        <v/>
      </c>
    </row>
    <row r="229" spans="17:18" x14ac:dyDescent="0.3">
      <c r="Q229" t="str">
        <f t="shared" si="11"/>
        <v/>
      </c>
      <c r="R229" s="54" t="str">
        <f t="shared" si="10"/>
        <v/>
      </c>
    </row>
    <row r="230" spans="17:18" x14ac:dyDescent="0.3">
      <c r="Q230" t="str">
        <f t="shared" si="11"/>
        <v/>
      </c>
      <c r="R230" s="54" t="str">
        <f t="shared" si="10"/>
        <v/>
      </c>
    </row>
    <row r="231" spans="17:18" x14ac:dyDescent="0.3">
      <c r="Q231" t="str">
        <f t="shared" si="11"/>
        <v/>
      </c>
      <c r="R231" s="54" t="str">
        <f t="shared" si="10"/>
        <v/>
      </c>
    </row>
    <row r="232" spans="17:18" x14ac:dyDescent="0.3">
      <c r="Q232" t="str">
        <f t="shared" si="11"/>
        <v/>
      </c>
      <c r="R232" s="54" t="str">
        <f t="shared" si="10"/>
        <v/>
      </c>
    </row>
    <row r="233" spans="17:18" x14ac:dyDescent="0.3">
      <c r="Q233" t="str">
        <f t="shared" si="11"/>
        <v/>
      </c>
      <c r="R233" s="54" t="str">
        <f t="shared" si="10"/>
        <v/>
      </c>
    </row>
    <row r="234" spans="17:18" x14ac:dyDescent="0.3">
      <c r="Q234" t="str">
        <f t="shared" si="11"/>
        <v/>
      </c>
      <c r="R234" s="54" t="str">
        <f t="shared" si="10"/>
        <v/>
      </c>
    </row>
    <row r="235" spans="17:18" x14ac:dyDescent="0.3">
      <c r="Q235" t="str">
        <f t="shared" si="11"/>
        <v/>
      </c>
      <c r="R235" s="54" t="str">
        <f t="shared" si="10"/>
        <v/>
      </c>
    </row>
    <row r="236" spans="17:18" x14ac:dyDescent="0.3">
      <c r="Q236" t="str">
        <f t="shared" si="11"/>
        <v/>
      </c>
      <c r="R236" s="54" t="str">
        <f t="shared" si="10"/>
        <v/>
      </c>
    </row>
    <row r="237" spans="17:18" x14ac:dyDescent="0.3">
      <c r="Q237" t="str">
        <f t="shared" si="11"/>
        <v/>
      </c>
      <c r="R237" s="54" t="str">
        <f t="shared" si="10"/>
        <v/>
      </c>
    </row>
    <row r="238" spans="17:18" x14ac:dyDescent="0.3">
      <c r="Q238" t="str">
        <f t="shared" si="11"/>
        <v/>
      </c>
      <c r="R238" s="54" t="str">
        <f t="shared" si="10"/>
        <v/>
      </c>
    </row>
    <row r="239" spans="17:18" x14ac:dyDescent="0.3">
      <c r="Q239" t="str">
        <f t="shared" si="11"/>
        <v/>
      </c>
      <c r="R239" s="54" t="str">
        <f t="shared" si="10"/>
        <v/>
      </c>
    </row>
    <row r="240" spans="17:18" x14ac:dyDescent="0.3">
      <c r="Q240" t="str">
        <f t="shared" si="11"/>
        <v/>
      </c>
      <c r="R240" s="54" t="str">
        <f t="shared" si="10"/>
        <v/>
      </c>
    </row>
    <row r="241" spans="17:18" x14ac:dyDescent="0.3">
      <c r="Q241" t="str">
        <f t="shared" si="11"/>
        <v/>
      </c>
      <c r="R241" s="54" t="str">
        <f t="shared" si="10"/>
        <v/>
      </c>
    </row>
    <row r="242" spans="17:18" x14ac:dyDescent="0.3">
      <c r="Q242" t="str">
        <f t="shared" si="11"/>
        <v/>
      </c>
      <c r="R242" s="54" t="str">
        <f t="shared" si="10"/>
        <v/>
      </c>
    </row>
    <row r="243" spans="17:18" x14ac:dyDescent="0.3">
      <c r="Q243" t="str">
        <f t="shared" si="11"/>
        <v/>
      </c>
      <c r="R243" s="54" t="str">
        <f t="shared" si="10"/>
        <v/>
      </c>
    </row>
    <row r="244" spans="17:18" x14ac:dyDescent="0.3">
      <c r="Q244" t="str">
        <f t="shared" si="11"/>
        <v/>
      </c>
      <c r="R244" s="54" t="str">
        <f t="shared" si="10"/>
        <v/>
      </c>
    </row>
    <row r="245" spans="17:18" x14ac:dyDescent="0.3">
      <c r="Q245" t="str">
        <f t="shared" si="11"/>
        <v/>
      </c>
      <c r="R245" s="54" t="str">
        <f t="shared" si="10"/>
        <v/>
      </c>
    </row>
    <row r="246" spans="17:18" x14ac:dyDescent="0.3">
      <c r="Q246" t="str">
        <f t="shared" si="11"/>
        <v/>
      </c>
      <c r="R246" s="54" t="str">
        <f t="shared" si="10"/>
        <v/>
      </c>
    </row>
    <row r="247" spans="17:18" x14ac:dyDescent="0.3">
      <c r="Q247" t="str">
        <f t="shared" si="11"/>
        <v/>
      </c>
      <c r="R247" s="54" t="str">
        <f t="shared" si="10"/>
        <v/>
      </c>
    </row>
    <row r="248" spans="17:18" x14ac:dyDescent="0.3">
      <c r="Q248" t="str">
        <f t="shared" si="11"/>
        <v/>
      </c>
      <c r="R248" s="54" t="str">
        <f t="shared" si="10"/>
        <v/>
      </c>
    </row>
    <row r="249" spans="17:18" x14ac:dyDescent="0.3">
      <c r="Q249" t="str">
        <f t="shared" si="11"/>
        <v/>
      </c>
      <c r="R249" s="54" t="str">
        <f t="shared" si="10"/>
        <v/>
      </c>
    </row>
    <row r="250" spans="17:18" x14ac:dyDescent="0.3">
      <c r="Q250" t="str">
        <f t="shared" si="11"/>
        <v/>
      </c>
      <c r="R250" s="54" t="str">
        <f t="shared" si="10"/>
        <v/>
      </c>
    </row>
    <row r="251" spans="17:18" x14ac:dyDescent="0.3">
      <c r="Q251" t="str">
        <f t="shared" si="11"/>
        <v/>
      </c>
      <c r="R251" s="54" t="str">
        <f t="shared" si="10"/>
        <v/>
      </c>
    </row>
    <row r="252" spans="17:18" x14ac:dyDescent="0.3">
      <c r="Q252" t="str">
        <f t="shared" si="11"/>
        <v/>
      </c>
      <c r="R252" s="54" t="str">
        <f t="shared" si="10"/>
        <v/>
      </c>
    </row>
    <row r="253" spans="17:18" x14ac:dyDescent="0.3">
      <c r="Q253" t="str">
        <f t="shared" si="11"/>
        <v/>
      </c>
      <c r="R253" s="54" t="str">
        <f t="shared" si="10"/>
        <v/>
      </c>
    </row>
    <row r="254" spans="17:18" x14ac:dyDescent="0.3">
      <c r="Q254" t="str">
        <f t="shared" si="11"/>
        <v/>
      </c>
      <c r="R254" s="54" t="str">
        <f t="shared" si="10"/>
        <v/>
      </c>
    </row>
    <row r="255" spans="17:18" x14ac:dyDescent="0.3">
      <c r="Q255" t="str">
        <f t="shared" si="11"/>
        <v/>
      </c>
      <c r="R255" s="54" t="str">
        <f t="shared" si="10"/>
        <v/>
      </c>
    </row>
    <row r="256" spans="17:18" x14ac:dyDescent="0.3">
      <c r="Q256" t="str">
        <f t="shared" si="11"/>
        <v/>
      </c>
      <c r="R256" s="54" t="str">
        <f t="shared" si="10"/>
        <v/>
      </c>
    </row>
    <row r="257" spans="17:18" x14ac:dyDescent="0.3">
      <c r="Q257" t="str">
        <f t="shared" si="11"/>
        <v/>
      </c>
      <c r="R257" s="54" t="str">
        <f t="shared" si="10"/>
        <v/>
      </c>
    </row>
    <row r="258" spans="17:18" x14ac:dyDescent="0.3">
      <c r="Q258" t="str">
        <f t="shared" si="11"/>
        <v/>
      </c>
      <c r="R258" s="54" t="str">
        <f t="shared" si="10"/>
        <v/>
      </c>
    </row>
    <row r="259" spans="17:18" x14ac:dyDescent="0.3">
      <c r="Q259" t="str">
        <f t="shared" si="11"/>
        <v/>
      </c>
      <c r="R259" s="54" t="str">
        <f t="shared" ref="R259:R322" si="12">IF(F273="","",IFERROR(IF(ISNUMBER(F273),F273,DATEVALUE(F273)),""))</f>
        <v/>
      </c>
    </row>
    <row r="260" spans="17:18" x14ac:dyDescent="0.3">
      <c r="Q260" t="str">
        <f t="shared" si="11"/>
        <v/>
      </c>
      <c r="R260" s="54" t="str">
        <f t="shared" si="12"/>
        <v/>
      </c>
    </row>
    <row r="261" spans="17:18" x14ac:dyDescent="0.3">
      <c r="Q261" t="str">
        <f t="shared" si="11"/>
        <v/>
      </c>
      <c r="R261" s="54" t="str">
        <f t="shared" si="12"/>
        <v/>
      </c>
    </row>
    <row r="262" spans="17:18" x14ac:dyDescent="0.3">
      <c r="Q262" t="str">
        <f t="shared" si="11"/>
        <v/>
      </c>
      <c r="R262" s="54" t="str">
        <f t="shared" si="12"/>
        <v/>
      </c>
    </row>
    <row r="263" spans="17:18" x14ac:dyDescent="0.3">
      <c r="Q263" t="str">
        <f t="shared" si="11"/>
        <v/>
      </c>
      <c r="R263" s="54" t="str">
        <f t="shared" si="12"/>
        <v/>
      </c>
    </row>
    <row r="264" spans="17:18" x14ac:dyDescent="0.3">
      <c r="Q264" t="str">
        <f t="shared" si="11"/>
        <v/>
      </c>
      <c r="R264" s="54" t="str">
        <f t="shared" si="12"/>
        <v/>
      </c>
    </row>
    <row r="265" spans="17:18" x14ac:dyDescent="0.3">
      <c r="Q265" t="str">
        <f t="shared" si="11"/>
        <v/>
      </c>
      <c r="R265" s="54" t="str">
        <f t="shared" si="12"/>
        <v/>
      </c>
    </row>
    <row r="266" spans="17:18" x14ac:dyDescent="0.3">
      <c r="Q266" t="str">
        <f t="shared" si="11"/>
        <v/>
      </c>
      <c r="R266" s="54" t="str">
        <f t="shared" si="12"/>
        <v/>
      </c>
    </row>
    <row r="267" spans="17:18" x14ac:dyDescent="0.3">
      <c r="Q267" t="str">
        <f t="shared" si="11"/>
        <v/>
      </c>
      <c r="R267" s="54" t="str">
        <f t="shared" si="12"/>
        <v/>
      </c>
    </row>
    <row r="268" spans="17:18" x14ac:dyDescent="0.3">
      <c r="Q268" t="str">
        <f t="shared" si="11"/>
        <v/>
      </c>
      <c r="R268" s="54" t="str">
        <f t="shared" si="12"/>
        <v/>
      </c>
    </row>
    <row r="269" spans="17:18" x14ac:dyDescent="0.3">
      <c r="Q269" t="str">
        <f t="shared" si="11"/>
        <v/>
      </c>
      <c r="R269" s="54" t="str">
        <f t="shared" si="12"/>
        <v/>
      </c>
    </row>
    <row r="270" spans="17:18" x14ac:dyDescent="0.3">
      <c r="Q270" t="str">
        <f t="shared" si="11"/>
        <v/>
      </c>
      <c r="R270" s="54" t="str">
        <f t="shared" si="12"/>
        <v/>
      </c>
    </row>
    <row r="271" spans="17:18" x14ac:dyDescent="0.3">
      <c r="Q271" t="str">
        <f t="shared" si="11"/>
        <v/>
      </c>
      <c r="R271" s="54" t="str">
        <f t="shared" si="12"/>
        <v/>
      </c>
    </row>
    <row r="272" spans="17:18" x14ac:dyDescent="0.3">
      <c r="Q272" t="str">
        <f t="shared" si="11"/>
        <v/>
      </c>
      <c r="R272" s="54" t="str">
        <f t="shared" si="12"/>
        <v/>
      </c>
    </row>
    <row r="273" spans="17:18" x14ac:dyDescent="0.3">
      <c r="Q273" t="str">
        <f t="shared" si="11"/>
        <v/>
      </c>
      <c r="R273" s="54" t="str">
        <f t="shared" si="12"/>
        <v/>
      </c>
    </row>
    <row r="274" spans="17:18" x14ac:dyDescent="0.3">
      <c r="Q274" t="str">
        <f t="shared" si="11"/>
        <v/>
      </c>
      <c r="R274" s="54" t="str">
        <f t="shared" si="12"/>
        <v/>
      </c>
    </row>
    <row r="275" spans="17:18" x14ac:dyDescent="0.3">
      <c r="Q275" t="str">
        <f t="shared" si="11"/>
        <v/>
      </c>
      <c r="R275" s="54" t="str">
        <f t="shared" si="12"/>
        <v/>
      </c>
    </row>
    <row r="276" spans="17:18" x14ac:dyDescent="0.3">
      <c r="Q276" t="str">
        <f t="shared" si="11"/>
        <v/>
      </c>
      <c r="R276" s="54" t="str">
        <f t="shared" si="12"/>
        <v/>
      </c>
    </row>
    <row r="277" spans="17:18" x14ac:dyDescent="0.3">
      <c r="Q277" t="str">
        <f t="shared" si="11"/>
        <v/>
      </c>
      <c r="R277" s="54" t="str">
        <f t="shared" si="12"/>
        <v/>
      </c>
    </row>
    <row r="278" spans="17:18" x14ac:dyDescent="0.3">
      <c r="Q278" t="str">
        <f t="shared" si="11"/>
        <v/>
      </c>
      <c r="R278" s="54" t="str">
        <f t="shared" si="12"/>
        <v/>
      </c>
    </row>
    <row r="279" spans="17:18" x14ac:dyDescent="0.3">
      <c r="Q279" t="str">
        <f t="shared" ref="Q279:Q342" si="13">IF(COUNTA(A279:P279)=0,"",IF(ISNUMBER(SEARCH("-AR-",E293)),"Architectural",IF(ISNUMBER(SEARCH("-ST-",E293)),"Structural",IF(ISNUMBER(SEARCH("-ME-",E293)),"Mechanical",IF(ISNUMBER(SEARCH("-EL-",E293)),"Electrical",IF(ISNUMBER(SEARCH("-GE-",E293)),"General",IF(ISNUMBER(SEARCH("-AR-",D293)),"Architectural",IF(ISNUMBER(SEARCH("-ST-",D293)),"Structural",IF(ISNUMBER(SEARCH("-ME-",D293)),"Mechanical",IF(ISNUMBER(SEARCH("-EL-",D293)),"Electrical",IF(ISNUMBER(SEARCH("-GE-",D293)),"General","Other")))))))))))</f>
        <v/>
      </c>
      <c r="R279" s="54" t="str">
        <f t="shared" si="12"/>
        <v/>
      </c>
    </row>
    <row r="280" spans="17:18" x14ac:dyDescent="0.3">
      <c r="Q280" t="str">
        <f t="shared" si="13"/>
        <v/>
      </c>
      <c r="R280" s="54" t="str">
        <f t="shared" si="12"/>
        <v/>
      </c>
    </row>
    <row r="281" spans="17:18" x14ac:dyDescent="0.3">
      <c r="Q281" t="str">
        <f t="shared" si="13"/>
        <v/>
      </c>
      <c r="R281" s="54" t="str">
        <f t="shared" si="12"/>
        <v/>
      </c>
    </row>
    <row r="282" spans="17:18" x14ac:dyDescent="0.3">
      <c r="Q282" t="str">
        <f t="shared" si="13"/>
        <v/>
      </c>
      <c r="R282" s="54" t="str">
        <f t="shared" si="12"/>
        <v/>
      </c>
    </row>
    <row r="283" spans="17:18" x14ac:dyDescent="0.3">
      <c r="Q283" t="str">
        <f t="shared" si="13"/>
        <v/>
      </c>
      <c r="R283" s="54" t="str">
        <f t="shared" si="12"/>
        <v/>
      </c>
    </row>
    <row r="284" spans="17:18" x14ac:dyDescent="0.3">
      <c r="Q284" t="str">
        <f t="shared" si="13"/>
        <v/>
      </c>
      <c r="R284" s="54" t="str">
        <f t="shared" si="12"/>
        <v/>
      </c>
    </row>
    <row r="285" spans="17:18" x14ac:dyDescent="0.3">
      <c r="Q285" t="str">
        <f t="shared" si="13"/>
        <v/>
      </c>
      <c r="R285" s="54" t="str">
        <f t="shared" si="12"/>
        <v/>
      </c>
    </row>
    <row r="286" spans="17:18" x14ac:dyDescent="0.3">
      <c r="Q286" t="str">
        <f t="shared" si="13"/>
        <v/>
      </c>
      <c r="R286" s="54" t="str">
        <f t="shared" si="12"/>
        <v/>
      </c>
    </row>
    <row r="287" spans="17:18" x14ac:dyDescent="0.3">
      <c r="Q287" t="str">
        <f t="shared" si="13"/>
        <v/>
      </c>
      <c r="R287" s="54" t="str">
        <f t="shared" si="12"/>
        <v/>
      </c>
    </row>
    <row r="288" spans="17:18" x14ac:dyDescent="0.3">
      <c r="Q288" t="str">
        <f t="shared" si="13"/>
        <v/>
      </c>
      <c r="R288" s="54" t="str">
        <f t="shared" si="12"/>
        <v/>
      </c>
    </row>
    <row r="289" spans="17:18" x14ac:dyDescent="0.3">
      <c r="Q289" t="str">
        <f t="shared" si="13"/>
        <v/>
      </c>
      <c r="R289" s="54" t="str">
        <f t="shared" si="12"/>
        <v/>
      </c>
    </row>
    <row r="290" spans="17:18" x14ac:dyDescent="0.3">
      <c r="Q290" t="str">
        <f t="shared" si="13"/>
        <v/>
      </c>
      <c r="R290" s="54" t="str">
        <f t="shared" si="12"/>
        <v/>
      </c>
    </row>
    <row r="291" spans="17:18" x14ac:dyDescent="0.3">
      <c r="Q291" t="str">
        <f t="shared" si="13"/>
        <v/>
      </c>
      <c r="R291" s="54" t="str">
        <f t="shared" si="12"/>
        <v/>
      </c>
    </row>
    <row r="292" spans="17:18" x14ac:dyDescent="0.3">
      <c r="Q292" t="str">
        <f t="shared" si="13"/>
        <v/>
      </c>
      <c r="R292" s="54" t="str">
        <f t="shared" si="12"/>
        <v/>
      </c>
    </row>
    <row r="293" spans="17:18" x14ac:dyDescent="0.3">
      <c r="Q293" t="str">
        <f t="shared" si="13"/>
        <v/>
      </c>
      <c r="R293" s="54" t="str">
        <f t="shared" si="12"/>
        <v/>
      </c>
    </row>
    <row r="294" spans="17:18" x14ac:dyDescent="0.3">
      <c r="Q294" t="str">
        <f t="shared" si="13"/>
        <v/>
      </c>
      <c r="R294" s="54" t="str">
        <f t="shared" si="12"/>
        <v/>
      </c>
    </row>
    <row r="295" spans="17:18" x14ac:dyDescent="0.3">
      <c r="Q295" t="str">
        <f t="shared" si="13"/>
        <v/>
      </c>
      <c r="R295" s="54" t="str">
        <f t="shared" si="12"/>
        <v/>
      </c>
    </row>
    <row r="296" spans="17:18" x14ac:dyDescent="0.3">
      <c r="Q296" t="str">
        <f t="shared" si="13"/>
        <v/>
      </c>
      <c r="R296" s="54" t="str">
        <f t="shared" si="12"/>
        <v/>
      </c>
    </row>
    <row r="297" spans="17:18" x14ac:dyDescent="0.3">
      <c r="Q297" t="str">
        <f t="shared" si="13"/>
        <v/>
      </c>
      <c r="R297" s="54" t="str">
        <f t="shared" si="12"/>
        <v/>
      </c>
    </row>
    <row r="298" spans="17:18" x14ac:dyDescent="0.3">
      <c r="Q298" t="str">
        <f t="shared" si="13"/>
        <v/>
      </c>
      <c r="R298" s="54" t="str">
        <f t="shared" si="12"/>
        <v/>
      </c>
    </row>
    <row r="299" spans="17:18" x14ac:dyDescent="0.3">
      <c r="Q299" t="str">
        <f t="shared" si="13"/>
        <v/>
      </c>
      <c r="R299" s="54" t="str">
        <f t="shared" si="12"/>
        <v/>
      </c>
    </row>
    <row r="300" spans="17:18" x14ac:dyDescent="0.3">
      <c r="Q300" t="str">
        <f t="shared" si="13"/>
        <v/>
      </c>
      <c r="R300" s="54" t="str">
        <f t="shared" si="12"/>
        <v/>
      </c>
    </row>
    <row r="301" spans="17:18" x14ac:dyDescent="0.3">
      <c r="Q301" t="str">
        <f t="shared" si="13"/>
        <v/>
      </c>
      <c r="R301" s="54" t="str">
        <f t="shared" si="12"/>
        <v/>
      </c>
    </row>
    <row r="302" spans="17:18" x14ac:dyDescent="0.3">
      <c r="Q302" t="str">
        <f t="shared" si="13"/>
        <v/>
      </c>
      <c r="R302" s="54" t="str">
        <f t="shared" si="12"/>
        <v/>
      </c>
    </row>
    <row r="303" spans="17:18" x14ac:dyDescent="0.3">
      <c r="Q303" t="str">
        <f t="shared" si="13"/>
        <v/>
      </c>
      <c r="R303" s="54" t="str">
        <f t="shared" si="12"/>
        <v/>
      </c>
    </row>
    <row r="304" spans="17:18" x14ac:dyDescent="0.3">
      <c r="Q304" t="str">
        <f t="shared" si="13"/>
        <v/>
      </c>
      <c r="R304" s="54" t="str">
        <f t="shared" si="12"/>
        <v/>
      </c>
    </row>
    <row r="305" spans="17:18" x14ac:dyDescent="0.3">
      <c r="Q305" t="str">
        <f t="shared" si="13"/>
        <v/>
      </c>
      <c r="R305" s="54" t="str">
        <f t="shared" si="12"/>
        <v/>
      </c>
    </row>
    <row r="306" spans="17:18" x14ac:dyDescent="0.3">
      <c r="Q306" t="str">
        <f t="shared" si="13"/>
        <v/>
      </c>
      <c r="R306" s="54" t="str">
        <f t="shared" si="12"/>
        <v/>
      </c>
    </row>
    <row r="307" spans="17:18" x14ac:dyDescent="0.3">
      <c r="Q307" t="str">
        <f t="shared" si="13"/>
        <v/>
      </c>
      <c r="R307" s="54" t="str">
        <f t="shared" si="12"/>
        <v/>
      </c>
    </row>
    <row r="308" spans="17:18" x14ac:dyDescent="0.3">
      <c r="Q308" t="str">
        <f t="shared" si="13"/>
        <v/>
      </c>
      <c r="R308" s="54" t="str">
        <f t="shared" si="12"/>
        <v/>
      </c>
    </row>
    <row r="309" spans="17:18" x14ac:dyDescent="0.3">
      <c r="Q309" t="str">
        <f t="shared" si="13"/>
        <v/>
      </c>
      <c r="R309" s="54" t="str">
        <f t="shared" si="12"/>
        <v/>
      </c>
    </row>
    <row r="310" spans="17:18" x14ac:dyDescent="0.3">
      <c r="Q310" t="str">
        <f t="shared" si="13"/>
        <v/>
      </c>
      <c r="R310" s="54" t="str">
        <f t="shared" si="12"/>
        <v/>
      </c>
    </row>
    <row r="311" spans="17:18" x14ac:dyDescent="0.3">
      <c r="Q311" t="str">
        <f t="shared" si="13"/>
        <v/>
      </c>
      <c r="R311" s="54" t="str">
        <f t="shared" si="12"/>
        <v/>
      </c>
    </row>
    <row r="312" spans="17:18" x14ac:dyDescent="0.3">
      <c r="Q312" t="str">
        <f t="shared" si="13"/>
        <v/>
      </c>
      <c r="R312" s="54" t="str">
        <f t="shared" si="12"/>
        <v/>
      </c>
    </row>
    <row r="313" spans="17:18" x14ac:dyDescent="0.3">
      <c r="Q313" t="str">
        <f t="shared" si="13"/>
        <v/>
      </c>
      <c r="R313" s="54" t="str">
        <f t="shared" si="12"/>
        <v/>
      </c>
    </row>
    <row r="314" spans="17:18" x14ac:dyDescent="0.3">
      <c r="Q314" t="str">
        <f t="shared" si="13"/>
        <v/>
      </c>
      <c r="R314" s="54" t="str">
        <f t="shared" si="12"/>
        <v/>
      </c>
    </row>
    <row r="315" spans="17:18" x14ac:dyDescent="0.3">
      <c r="Q315" t="str">
        <f t="shared" si="13"/>
        <v/>
      </c>
      <c r="R315" s="54" t="str">
        <f t="shared" si="12"/>
        <v/>
      </c>
    </row>
    <row r="316" spans="17:18" x14ac:dyDescent="0.3">
      <c r="Q316" t="str">
        <f t="shared" si="13"/>
        <v/>
      </c>
      <c r="R316" s="54" t="str">
        <f t="shared" si="12"/>
        <v/>
      </c>
    </row>
    <row r="317" spans="17:18" x14ac:dyDescent="0.3">
      <c r="Q317" t="str">
        <f t="shared" si="13"/>
        <v/>
      </c>
      <c r="R317" s="54" t="str">
        <f t="shared" si="12"/>
        <v/>
      </c>
    </row>
    <row r="318" spans="17:18" x14ac:dyDescent="0.3">
      <c r="Q318" t="str">
        <f t="shared" si="13"/>
        <v/>
      </c>
      <c r="R318" s="54" t="str">
        <f t="shared" si="12"/>
        <v/>
      </c>
    </row>
    <row r="319" spans="17:18" x14ac:dyDescent="0.3">
      <c r="Q319" t="str">
        <f t="shared" si="13"/>
        <v/>
      </c>
      <c r="R319" s="54" t="str">
        <f t="shared" si="12"/>
        <v/>
      </c>
    </row>
    <row r="320" spans="17:18" x14ac:dyDescent="0.3">
      <c r="Q320" t="str">
        <f t="shared" si="13"/>
        <v/>
      </c>
      <c r="R320" s="54" t="str">
        <f t="shared" si="12"/>
        <v/>
      </c>
    </row>
    <row r="321" spans="17:18" x14ac:dyDescent="0.3">
      <c r="Q321" t="str">
        <f t="shared" si="13"/>
        <v/>
      </c>
      <c r="R321" s="54" t="str">
        <f t="shared" si="12"/>
        <v/>
      </c>
    </row>
    <row r="322" spans="17:18" x14ac:dyDescent="0.3">
      <c r="Q322" t="str">
        <f t="shared" si="13"/>
        <v/>
      </c>
      <c r="R322" s="54" t="str">
        <f t="shared" si="12"/>
        <v/>
      </c>
    </row>
    <row r="323" spans="17:18" x14ac:dyDescent="0.3">
      <c r="Q323" t="str">
        <f t="shared" si="13"/>
        <v/>
      </c>
      <c r="R323" s="54" t="str">
        <f t="shared" ref="R323:R386" si="14">IF(F337="","",IFERROR(IF(ISNUMBER(F337),F337,DATEVALUE(F337)),""))</f>
        <v/>
      </c>
    </row>
    <row r="324" spans="17:18" x14ac:dyDescent="0.3">
      <c r="Q324" t="str">
        <f t="shared" si="13"/>
        <v/>
      </c>
      <c r="R324" s="54" t="str">
        <f t="shared" si="14"/>
        <v/>
      </c>
    </row>
    <row r="325" spans="17:18" x14ac:dyDescent="0.3">
      <c r="Q325" t="str">
        <f t="shared" si="13"/>
        <v/>
      </c>
      <c r="R325" s="54" t="str">
        <f t="shared" si="14"/>
        <v/>
      </c>
    </row>
    <row r="326" spans="17:18" x14ac:dyDescent="0.3">
      <c r="Q326" t="str">
        <f t="shared" si="13"/>
        <v/>
      </c>
      <c r="R326" s="54" t="str">
        <f t="shared" si="14"/>
        <v/>
      </c>
    </row>
    <row r="327" spans="17:18" x14ac:dyDescent="0.3">
      <c r="Q327" t="str">
        <f t="shared" si="13"/>
        <v/>
      </c>
      <c r="R327" s="54" t="str">
        <f t="shared" si="14"/>
        <v/>
      </c>
    </row>
    <row r="328" spans="17:18" x14ac:dyDescent="0.3">
      <c r="Q328" t="str">
        <f t="shared" si="13"/>
        <v/>
      </c>
      <c r="R328" s="54" t="str">
        <f t="shared" si="14"/>
        <v/>
      </c>
    </row>
    <row r="329" spans="17:18" x14ac:dyDescent="0.3">
      <c r="Q329" t="str">
        <f t="shared" si="13"/>
        <v/>
      </c>
      <c r="R329" s="54" t="str">
        <f t="shared" si="14"/>
        <v/>
      </c>
    </row>
    <row r="330" spans="17:18" x14ac:dyDescent="0.3">
      <c r="Q330" t="str">
        <f t="shared" si="13"/>
        <v/>
      </c>
      <c r="R330" s="54" t="str">
        <f t="shared" si="14"/>
        <v/>
      </c>
    </row>
    <row r="331" spans="17:18" x14ac:dyDescent="0.3">
      <c r="Q331" t="str">
        <f t="shared" si="13"/>
        <v/>
      </c>
      <c r="R331" s="54" t="str">
        <f t="shared" si="14"/>
        <v/>
      </c>
    </row>
    <row r="332" spans="17:18" x14ac:dyDescent="0.3">
      <c r="Q332" t="str">
        <f t="shared" si="13"/>
        <v/>
      </c>
      <c r="R332" s="54" t="str">
        <f t="shared" si="14"/>
        <v/>
      </c>
    </row>
    <row r="333" spans="17:18" x14ac:dyDescent="0.3">
      <c r="Q333" t="str">
        <f t="shared" si="13"/>
        <v/>
      </c>
      <c r="R333" s="54" t="str">
        <f t="shared" si="14"/>
        <v/>
      </c>
    </row>
    <row r="334" spans="17:18" x14ac:dyDescent="0.3">
      <c r="Q334" t="str">
        <f t="shared" si="13"/>
        <v/>
      </c>
      <c r="R334" s="54" t="str">
        <f t="shared" si="14"/>
        <v/>
      </c>
    </row>
    <row r="335" spans="17:18" x14ac:dyDescent="0.3">
      <c r="Q335" t="str">
        <f t="shared" si="13"/>
        <v/>
      </c>
      <c r="R335" s="54" t="str">
        <f t="shared" si="14"/>
        <v/>
      </c>
    </row>
    <row r="336" spans="17:18" x14ac:dyDescent="0.3">
      <c r="Q336" t="str">
        <f t="shared" si="13"/>
        <v/>
      </c>
      <c r="R336" s="54" t="str">
        <f t="shared" si="14"/>
        <v/>
      </c>
    </row>
    <row r="337" spans="17:18" x14ac:dyDescent="0.3">
      <c r="Q337" t="str">
        <f t="shared" si="13"/>
        <v/>
      </c>
      <c r="R337" s="54" t="str">
        <f t="shared" si="14"/>
        <v/>
      </c>
    </row>
    <row r="338" spans="17:18" x14ac:dyDescent="0.3">
      <c r="Q338" t="str">
        <f t="shared" si="13"/>
        <v/>
      </c>
      <c r="R338" s="54" t="str">
        <f t="shared" si="14"/>
        <v/>
      </c>
    </row>
    <row r="339" spans="17:18" x14ac:dyDescent="0.3">
      <c r="Q339" t="str">
        <f t="shared" si="13"/>
        <v/>
      </c>
      <c r="R339" s="54" t="str">
        <f t="shared" si="14"/>
        <v/>
      </c>
    </row>
    <row r="340" spans="17:18" x14ac:dyDescent="0.3">
      <c r="Q340" t="str">
        <f t="shared" si="13"/>
        <v/>
      </c>
      <c r="R340" s="54" t="str">
        <f t="shared" si="14"/>
        <v/>
      </c>
    </row>
    <row r="341" spans="17:18" x14ac:dyDescent="0.3">
      <c r="Q341" t="str">
        <f t="shared" si="13"/>
        <v/>
      </c>
      <c r="R341" s="54" t="str">
        <f t="shared" si="14"/>
        <v/>
      </c>
    </row>
    <row r="342" spans="17:18" x14ac:dyDescent="0.3">
      <c r="Q342" t="str">
        <f t="shared" si="13"/>
        <v/>
      </c>
      <c r="R342" s="54" t="str">
        <f t="shared" si="14"/>
        <v/>
      </c>
    </row>
    <row r="343" spans="17:18" x14ac:dyDescent="0.3">
      <c r="Q343" t="str">
        <f t="shared" ref="Q343:Q406" si="15">IF(COUNTA(A343:P343)=0,"",IF(ISNUMBER(SEARCH("-AR-",E357)),"Architectural",IF(ISNUMBER(SEARCH("-ST-",E357)),"Structural",IF(ISNUMBER(SEARCH("-ME-",E357)),"Mechanical",IF(ISNUMBER(SEARCH("-EL-",E357)),"Electrical",IF(ISNUMBER(SEARCH("-GE-",E357)),"General",IF(ISNUMBER(SEARCH("-AR-",D357)),"Architectural",IF(ISNUMBER(SEARCH("-ST-",D357)),"Structural",IF(ISNUMBER(SEARCH("-ME-",D357)),"Mechanical",IF(ISNUMBER(SEARCH("-EL-",D357)),"Electrical",IF(ISNUMBER(SEARCH("-GE-",D357)),"General","Other")))))))))))</f>
        <v/>
      </c>
      <c r="R343" s="54" t="str">
        <f t="shared" si="14"/>
        <v/>
      </c>
    </row>
    <row r="344" spans="17:18" x14ac:dyDescent="0.3">
      <c r="Q344" t="str">
        <f t="shared" si="15"/>
        <v/>
      </c>
      <c r="R344" s="54" t="str">
        <f t="shared" si="14"/>
        <v/>
      </c>
    </row>
    <row r="345" spans="17:18" x14ac:dyDescent="0.3">
      <c r="Q345" t="str">
        <f t="shared" si="15"/>
        <v/>
      </c>
      <c r="R345" s="54" t="str">
        <f t="shared" si="14"/>
        <v/>
      </c>
    </row>
    <row r="346" spans="17:18" x14ac:dyDescent="0.3">
      <c r="Q346" t="str">
        <f t="shared" si="15"/>
        <v/>
      </c>
      <c r="R346" s="54" t="str">
        <f t="shared" si="14"/>
        <v/>
      </c>
    </row>
    <row r="347" spans="17:18" x14ac:dyDescent="0.3">
      <c r="Q347" t="str">
        <f t="shared" si="15"/>
        <v/>
      </c>
      <c r="R347" s="54" t="str">
        <f t="shared" si="14"/>
        <v/>
      </c>
    </row>
    <row r="348" spans="17:18" x14ac:dyDescent="0.3">
      <c r="Q348" t="str">
        <f t="shared" si="15"/>
        <v/>
      </c>
      <c r="R348" s="54" t="str">
        <f t="shared" si="14"/>
        <v/>
      </c>
    </row>
    <row r="349" spans="17:18" x14ac:dyDescent="0.3">
      <c r="Q349" t="str">
        <f t="shared" si="15"/>
        <v/>
      </c>
      <c r="R349" s="54" t="str">
        <f t="shared" si="14"/>
        <v/>
      </c>
    </row>
    <row r="350" spans="17:18" x14ac:dyDescent="0.3">
      <c r="Q350" t="str">
        <f t="shared" si="15"/>
        <v/>
      </c>
      <c r="R350" s="54" t="str">
        <f t="shared" si="14"/>
        <v/>
      </c>
    </row>
    <row r="351" spans="17:18" x14ac:dyDescent="0.3">
      <c r="Q351" t="str">
        <f t="shared" si="15"/>
        <v/>
      </c>
      <c r="R351" s="54" t="str">
        <f t="shared" si="14"/>
        <v/>
      </c>
    </row>
    <row r="352" spans="17:18" x14ac:dyDescent="0.3">
      <c r="Q352" t="str">
        <f t="shared" si="15"/>
        <v/>
      </c>
      <c r="R352" s="54" t="str">
        <f t="shared" si="14"/>
        <v/>
      </c>
    </row>
    <row r="353" spans="17:18" x14ac:dyDescent="0.3">
      <c r="Q353" t="str">
        <f t="shared" si="15"/>
        <v/>
      </c>
      <c r="R353" s="54" t="str">
        <f t="shared" si="14"/>
        <v/>
      </c>
    </row>
    <row r="354" spans="17:18" x14ac:dyDescent="0.3">
      <c r="Q354" t="str">
        <f t="shared" si="15"/>
        <v/>
      </c>
      <c r="R354" s="54" t="str">
        <f t="shared" si="14"/>
        <v/>
      </c>
    </row>
    <row r="355" spans="17:18" x14ac:dyDescent="0.3">
      <c r="Q355" t="str">
        <f t="shared" si="15"/>
        <v/>
      </c>
      <c r="R355" s="54" t="str">
        <f t="shared" si="14"/>
        <v/>
      </c>
    </row>
    <row r="356" spans="17:18" x14ac:dyDescent="0.3">
      <c r="Q356" t="str">
        <f t="shared" si="15"/>
        <v/>
      </c>
      <c r="R356" s="54" t="str">
        <f t="shared" si="14"/>
        <v/>
      </c>
    </row>
    <row r="357" spans="17:18" x14ac:dyDescent="0.3">
      <c r="Q357" t="str">
        <f t="shared" si="15"/>
        <v/>
      </c>
      <c r="R357" s="54" t="str">
        <f t="shared" si="14"/>
        <v/>
      </c>
    </row>
    <row r="358" spans="17:18" x14ac:dyDescent="0.3">
      <c r="Q358" t="str">
        <f t="shared" si="15"/>
        <v/>
      </c>
      <c r="R358" s="54" t="str">
        <f t="shared" si="14"/>
        <v/>
      </c>
    </row>
    <row r="359" spans="17:18" x14ac:dyDescent="0.3">
      <c r="Q359" t="str">
        <f t="shared" si="15"/>
        <v/>
      </c>
      <c r="R359" s="54" t="str">
        <f t="shared" si="14"/>
        <v/>
      </c>
    </row>
    <row r="360" spans="17:18" x14ac:dyDescent="0.3">
      <c r="Q360" t="str">
        <f t="shared" si="15"/>
        <v/>
      </c>
      <c r="R360" s="54" t="str">
        <f t="shared" si="14"/>
        <v/>
      </c>
    </row>
    <row r="361" spans="17:18" x14ac:dyDescent="0.3">
      <c r="Q361" t="str">
        <f t="shared" si="15"/>
        <v/>
      </c>
      <c r="R361" s="54" t="str">
        <f t="shared" si="14"/>
        <v/>
      </c>
    </row>
    <row r="362" spans="17:18" x14ac:dyDescent="0.3">
      <c r="Q362" t="str">
        <f t="shared" si="15"/>
        <v/>
      </c>
      <c r="R362" s="54" t="str">
        <f t="shared" si="14"/>
        <v/>
      </c>
    </row>
    <row r="363" spans="17:18" x14ac:dyDescent="0.3">
      <c r="Q363" t="str">
        <f t="shared" si="15"/>
        <v/>
      </c>
      <c r="R363" s="54" t="str">
        <f t="shared" si="14"/>
        <v/>
      </c>
    </row>
    <row r="364" spans="17:18" x14ac:dyDescent="0.3">
      <c r="Q364" t="str">
        <f t="shared" si="15"/>
        <v/>
      </c>
      <c r="R364" s="54" t="str">
        <f t="shared" si="14"/>
        <v/>
      </c>
    </row>
    <row r="365" spans="17:18" x14ac:dyDescent="0.3">
      <c r="Q365" t="str">
        <f t="shared" si="15"/>
        <v/>
      </c>
      <c r="R365" s="54" t="str">
        <f t="shared" si="14"/>
        <v/>
      </c>
    </row>
    <row r="366" spans="17:18" x14ac:dyDescent="0.3">
      <c r="Q366" t="str">
        <f t="shared" si="15"/>
        <v/>
      </c>
      <c r="R366" s="54" t="str">
        <f t="shared" si="14"/>
        <v/>
      </c>
    </row>
    <row r="367" spans="17:18" x14ac:dyDescent="0.3">
      <c r="Q367" t="str">
        <f t="shared" si="15"/>
        <v/>
      </c>
      <c r="R367" s="54" t="str">
        <f t="shared" si="14"/>
        <v/>
      </c>
    </row>
    <row r="368" spans="17:18" x14ac:dyDescent="0.3">
      <c r="Q368" t="str">
        <f t="shared" si="15"/>
        <v/>
      </c>
      <c r="R368" s="54" t="str">
        <f t="shared" si="14"/>
        <v/>
      </c>
    </row>
    <row r="369" spans="17:18" x14ac:dyDescent="0.3">
      <c r="Q369" t="str">
        <f t="shared" si="15"/>
        <v/>
      </c>
      <c r="R369" s="54" t="str">
        <f t="shared" si="14"/>
        <v/>
      </c>
    </row>
    <row r="370" spans="17:18" x14ac:dyDescent="0.3">
      <c r="Q370" t="str">
        <f t="shared" si="15"/>
        <v/>
      </c>
      <c r="R370" s="54" t="str">
        <f t="shared" si="14"/>
        <v/>
      </c>
    </row>
    <row r="371" spans="17:18" x14ac:dyDescent="0.3">
      <c r="Q371" t="str">
        <f t="shared" si="15"/>
        <v/>
      </c>
      <c r="R371" s="54" t="str">
        <f t="shared" si="14"/>
        <v/>
      </c>
    </row>
    <row r="372" spans="17:18" x14ac:dyDescent="0.3">
      <c r="Q372" t="str">
        <f t="shared" si="15"/>
        <v/>
      </c>
      <c r="R372" s="54" t="str">
        <f t="shared" si="14"/>
        <v/>
      </c>
    </row>
    <row r="373" spans="17:18" x14ac:dyDescent="0.3">
      <c r="Q373" t="str">
        <f t="shared" si="15"/>
        <v/>
      </c>
      <c r="R373" s="54" t="str">
        <f t="shared" si="14"/>
        <v/>
      </c>
    </row>
    <row r="374" spans="17:18" x14ac:dyDescent="0.3">
      <c r="Q374" t="str">
        <f t="shared" si="15"/>
        <v/>
      </c>
      <c r="R374" s="54" t="str">
        <f t="shared" si="14"/>
        <v/>
      </c>
    </row>
    <row r="375" spans="17:18" x14ac:dyDescent="0.3">
      <c r="Q375" t="str">
        <f t="shared" si="15"/>
        <v/>
      </c>
      <c r="R375" s="54" t="str">
        <f t="shared" si="14"/>
        <v/>
      </c>
    </row>
    <row r="376" spans="17:18" x14ac:dyDescent="0.3">
      <c r="Q376" t="str">
        <f t="shared" si="15"/>
        <v/>
      </c>
      <c r="R376" s="54" t="str">
        <f t="shared" si="14"/>
        <v/>
      </c>
    </row>
    <row r="377" spans="17:18" x14ac:dyDescent="0.3">
      <c r="Q377" t="str">
        <f t="shared" si="15"/>
        <v/>
      </c>
      <c r="R377" s="54" t="str">
        <f t="shared" si="14"/>
        <v/>
      </c>
    </row>
    <row r="378" spans="17:18" x14ac:dyDescent="0.3">
      <c r="Q378" t="str">
        <f t="shared" si="15"/>
        <v/>
      </c>
      <c r="R378" s="54" t="str">
        <f t="shared" si="14"/>
        <v/>
      </c>
    </row>
    <row r="379" spans="17:18" x14ac:dyDescent="0.3">
      <c r="Q379" t="str">
        <f t="shared" si="15"/>
        <v/>
      </c>
      <c r="R379" s="54" t="str">
        <f t="shared" si="14"/>
        <v/>
      </c>
    </row>
    <row r="380" spans="17:18" x14ac:dyDescent="0.3">
      <c r="Q380" t="str">
        <f t="shared" si="15"/>
        <v/>
      </c>
      <c r="R380" s="54" t="str">
        <f t="shared" si="14"/>
        <v/>
      </c>
    </row>
    <row r="381" spans="17:18" x14ac:dyDescent="0.3">
      <c r="Q381" t="str">
        <f t="shared" si="15"/>
        <v/>
      </c>
      <c r="R381" s="54" t="str">
        <f t="shared" si="14"/>
        <v/>
      </c>
    </row>
    <row r="382" spans="17:18" x14ac:dyDescent="0.3">
      <c r="Q382" t="str">
        <f t="shared" si="15"/>
        <v/>
      </c>
      <c r="R382" s="54" t="str">
        <f t="shared" si="14"/>
        <v/>
      </c>
    </row>
    <row r="383" spans="17:18" x14ac:dyDescent="0.3">
      <c r="Q383" t="str">
        <f t="shared" si="15"/>
        <v/>
      </c>
      <c r="R383" s="54" t="str">
        <f t="shared" si="14"/>
        <v/>
      </c>
    </row>
    <row r="384" spans="17:18" x14ac:dyDescent="0.3">
      <c r="Q384" t="str">
        <f t="shared" si="15"/>
        <v/>
      </c>
      <c r="R384" s="54" t="str">
        <f t="shared" si="14"/>
        <v/>
      </c>
    </row>
    <row r="385" spans="17:18" x14ac:dyDescent="0.3">
      <c r="Q385" t="str">
        <f t="shared" si="15"/>
        <v/>
      </c>
      <c r="R385" s="54" t="str">
        <f t="shared" si="14"/>
        <v/>
      </c>
    </row>
    <row r="386" spans="17:18" x14ac:dyDescent="0.3">
      <c r="Q386" t="str">
        <f t="shared" si="15"/>
        <v/>
      </c>
      <c r="R386" s="54" t="str">
        <f t="shared" si="14"/>
        <v/>
      </c>
    </row>
    <row r="387" spans="17:18" x14ac:dyDescent="0.3">
      <c r="Q387" t="str">
        <f t="shared" si="15"/>
        <v/>
      </c>
      <c r="R387" s="54" t="str">
        <f t="shared" ref="R387:R450" si="16">IF(F401="","",IFERROR(IF(ISNUMBER(F401),F401,DATEVALUE(F401)),""))</f>
        <v/>
      </c>
    </row>
    <row r="388" spans="17:18" x14ac:dyDescent="0.3">
      <c r="Q388" t="str">
        <f t="shared" si="15"/>
        <v/>
      </c>
      <c r="R388" s="54" t="str">
        <f t="shared" si="16"/>
        <v/>
      </c>
    </row>
    <row r="389" spans="17:18" x14ac:dyDescent="0.3">
      <c r="Q389" t="str">
        <f t="shared" si="15"/>
        <v/>
      </c>
      <c r="R389" s="54" t="str">
        <f t="shared" si="16"/>
        <v/>
      </c>
    </row>
    <row r="390" spans="17:18" x14ac:dyDescent="0.3">
      <c r="Q390" t="str">
        <f t="shared" si="15"/>
        <v/>
      </c>
      <c r="R390" s="54" t="str">
        <f t="shared" si="16"/>
        <v/>
      </c>
    </row>
    <row r="391" spans="17:18" x14ac:dyDescent="0.3">
      <c r="Q391" t="str">
        <f t="shared" si="15"/>
        <v/>
      </c>
      <c r="R391" s="54" t="str">
        <f t="shared" si="16"/>
        <v/>
      </c>
    </row>
    <row r="392" spans="17:18" x14ac:dyDescent="0.3">
      <c r="Q392" t="str">
        <f t="shared" si="15"/>
        <v/>
      </c>
      <c r="R392" s="54" t="str">
        <f t="shared" si="16"/>
        <v/>
      </c>
    </row>
    <row r="393" spans="17:18" x14ac:dyDescent="0.3">
      <c r="Q393" t="str">
        <f t="shared" si="15"/>
        <v/>
      </c>
      <c r="R393" s="54" t="str">
        <f t="shared" si="16"/>
        <v/>
      </c>
    </row>
    <row r="394" spans="17:18" x14ac:dyDescent="0.3">
      <c r="Q394" t="str">
        <f t="shared" si="15"/>
        <v/>
      </c>
      <c r="R394" s="54" t="str">
        <f t="shared" si="16"/>
        <v/>
      </c>
    </row>
    <row r="395" spans="17:18" x14ac:dyDescent="0.3">
      <c r="Q395" t="str">
        <f t="shared" si="15"/>
        <v/>
      </c>
      <c r="R395" s="54" t="str">
        <f t="shared" si="16"/>
        <v/>
      </c>
    </row>
    <row r="396" spans="17:18" x14ac:dyDescent="0.3">
      <c r="Q396" t="str">
        <f t="shared" si="15"/>
        <v/>
      </c>
      <c r="R396" s="54" t="str">
        <f t="shared" si="16"/>
        <v/>
      </c>
    </row>
    <row r="397" spans="17:18" x14ac:dyDescent="0.3">
      <c r="Q397" t="str">
        <f t="shared" si="15"/>
        <v/>
      </c>
      <c r="R397" s="54" t="str">
        <f t="shared" si="16"/>
        <v/>
      </c>
    </row>
    <row r="398" spans="17:18" x14ac:dyDescent="0.3">
      <c r="Q398" t="str">
        <f t="shared" si="15"/>
        <v/>
      </c>
      <c r="R398" s="54" t="str">
        <f t="shared" si="16"/>
        <v/>
      </c>
    </row>
    <row r="399" spans="17:18" x14ac:dyDescent="0.3">
      <c r="Q399" t="str">
        <f t="shared" si="15"/>
        <v/>
      </c>
      <c r="R399" s="54" t="str">
        <f t="shared" si="16"/>
        <v/>
      </c>
    </row>
    <row r="400" spans="17:18" x14ac:dyDescent="0.3">
      <c r="Q400" t="str">
        <f t="shared" si="15"/>
        <v/>
      </c>
      <c r="R400" s="54" t="str">
        <f t="shared" si="16"/>
        <v/>
      </c>
    </row>
    <row r="401" spans="17:18" x14ac:dyDescent="0.3">
      <c r="Q401" t="str">
        <f t="shared" si="15"/>
        <v/>
      </c>
      <c r="R401" s="54" t="str">
        <f t="shared" si="16"/>
        <v/>
      </c>
    </row>
    <row r="402" spans="17:18" x14ac:dyDescent="0.3">
      <c r="Q402" t="str">
        <f t="shared" si="15"/>
        <v/>
      </c>
      <c r="R402" s="54" t="str">
        <f t="shared" si="16"/>
        <v/>
      </c>
    </row>
    <row r="403" spans="17:18" x14ac:dyDescent="0.3">
      <c r="Q403" t="str">
        <f t="shared" si="15"/>
        <v/>
      </c>
      <c r="R403" s="54" t="str">
        <f t="shared" si="16"/>
        <v/>
      </c>
    </row>
    <row r="404" spans="17:18" x14ac:dyDescent="0.3">
      <c r="Q404" t="str">
        <f t="shared" si="15"/>
        <v/>
      </c>
      <c r="R404" s="54" t="str">
        <f t="shared" si="16"/>
        <v/>
      </c>
    </row>
    <row r="405" spans="17:18" x14ac:dyDescent="0.3">
      <c r="Q405" t="str">
        <f t="shared" si="15"/>
        <v/>
      </c>
      <c r="R405" s="54" t="str">
        <f t="shared" si="16"/>
        <v/>
      </c>
    </row>
    <row r="406" spans="17:18" x14ac:dyDescent="0.3">
      <c r="Q406" t="str">
        <f t="shared" si="15"/>
        <v/>
      </c>
      <c r="R406" s="54" t="str">
        <f t="shared" si="16"/>
        <v/>
      </c>
    </row>
    <row r="407" spans="17:18" x14ac:dyDescent="0.3">
      <c r="Q407" t="str">
        <f t="shared" ref="Q407:Q470" si="17">IF(COUNTA(A407:P407)=0,"",IF(ISNUMBER(SEARCH("-AR-",E421)),"Architectural",IF(ISNUMBER(SEARCH("-ST-",E421)),"Structural",IF(ISNUMBER(SEARCH("-ME-",E421)),"Mechanical",IF(ISNUMBER(SEARCH("-EL-",E421)),"Electrical",IF(ISNUMBER(SEARCH("-GE-",E421)),"General",IF(ISNUMBER(SEARCH("-AR-",D421)),"Architectural",IF(ISNUMBER(SEARCH("-ST-",D421)),"Structural",IF(ISNUMBER(SEARCH("-ME-",D421)),"Mechanical",IF(ISNUMBER(SEARCH("-EL-",D421)),"Electrical",IF(ISNUMBER(SEARCH("-GE-",D421)),"General","Other")))))))))))</f>
        <v/>
      </c>
      <c r="R407" s="54" t="str">
        <f t="shared" si="16"/>
        <v/>
      </c>
    </row>
    <row r="408" spans="17:18" x14ac:dyDescent="0.3">
      <c r="Q408" t="str">
        <f t="shared" si="17"/>
        <v/>
      </c>
      <c r="R408" s="54" t="str">
        <f t="shared" si="16"/>
        <v/>
      </c>
    </row>
    <row r="409" spans="17:18" x14ac:dyDescent="0.3">
      <c r="Q409" t="str">
        <f t="shared" si="17"/>
        <v/>
      </c>
      <c r="R409" s="54" t="str">
        <f t="shared" si="16"/>
        <v/>
      </c>
    </row>
    <row r="410" spans="17:18" x14ac:dyDescent="0.3">
      <c r="Q410" t="str">
        <f t="shared" si="17"/>
        <v/>
      </c>
      <c r="R410" s="54" t="str">
        <f t="shared" si="16"/>
        <v/>
      </c>
    </row>
    <row r="411" spans="17:18" x14ac:dyDescent="0.3">
      <c r="Q411" t="str">
        <f t="shared" si="17"/>
        <v/>
      </c>
      <c r="R411" s="54" t="str">
        <f t="shared" si="16"/>
        <v/>
      </c>
    </row>
    <row r="412" spans="17:18" x14ac:dyDescent="0.3">
      <c r="Q412" t="str">
        <f t="shared" si="17"/>
        <v/>
      </c>
      <c r="R412" s="54" t="str">
        <f t="shared" si="16"/>
        <v/>
      </c>
    </row>
    <row r="413" spans="17:18" x14ac:dyDescent="0.3">
      <c r="Q413" t="str">
        <f t="shared" si="17"/>
        <v/>
      </c>
      <c r="R413" s="54" t="str">
        <f t="shared" si="16"/>
        <v/>
      </c>
    </row>
    <row r="414" spans="17:18" x14ac:dyDescent="0.3">
      <c r="Q414" t="str">
        <f t="shared" si="17"/>
        <v/>
      </c>
      <c r="R414" s="54" t="str">
        <f t="shared" si="16"/>
        <v/>
      </c>
    </row>
    <row r="415" spans="17:18" x14ac:dyDescent="0.3">
      <c r="Q415" t="str">
        <f t="shared" si="17"/>
        <v/>
      </c>
      <c r="R415" s="54" t="str">
        <f t="shared" si="16"/>
        <v/>
      </c>
    </row>
    <row r="416" spans="17:18" x14ac:dyDescent="0.3">
      <c r="Q416" t="str">
        <f t="shared" si="17"/>
        <v/>
      </c>
      <c r="R416" s="54" t="str">
        <f t="shared" si="16"/>
        <v/>
      </c>
    </row>
    <row r="417" spans="17:18" x14ac:dyDescent="0.3">
      <c r="Q417" t="str">
        <f t="shared" si="17"/>
        <v/>
      </c>
      <c r="R417" s="54" t="str">
        <f t="shared" si="16"/>
        <v/>
      </c>
    </row>
    <row r="418" spans="17:18" x14ac:dyDescent="0.3">
      <c r="Q418" t="str">
        <f t="shared" si="17"/>
        <v/>
      </c>
      <c r="R418" s="54" t="str">
        <f t="shared" si="16"/>
        <v/>
      </c>
    </row>
    <row r="419" spans="17:18" x14ac:dyDescent="0.3">
      <c r="Q419" t="str">
        <f t="shared" si="17"/>
        <v/>
      </c>
      <c r="R419" s="54" t="str">
        <f t="shared" si="16"/>
        <v/>
      </c>
    </row>
    <row r="420" spans="17:18" x14ac:dyDescent="0.3">
      <c r="Q420" t="str">
        <f t="shared" si="17"/>
        <v/>
      </c>
      <c r="R420" s="54" t="str">
        <f t="shared" si="16"/>
        <v/>
      </c>
    </row>
    <row r="421" spans="17:18" x14ac:dyDescent="0.3">
      <c r="Q421" t="str">
        <f t="shared" si="17"/>
        <v/>
      </c>
      <c r="R421" s="54" t="str">
        <f t="shared" si="16"/>
        <v/>
      </c>
    </row>
    <row r="422" spans="17:18" x14ac:dyDescent="0.3">
      <c r="Q422" t="str">
        <f t="shared" si="17"/>
        <v/>
      </c>
      <c r="R422" s="54" t="str">
        <f t="shared" si="16"/>
        <v/>
      </c>
    </row>
    <row r="423" spans="17:18" x14ac:dyDescent="0.3">
      <c r="Q423" t="str">
        <f t="shared" si="17"/>
        <v/>
      </c>
      <c r="R423" s="54" t="str">
        <f t="shared" si="16"/>
        <v/>
      </c>
    </row>
    <row r="424" spans="17:18" x14ac:dyDescent="0.3">
      <c r="Q424" t="str">
        <f t="shared" si="17"/>
        <v/>
      </c>
      <c r="R424" s="54" t="str">
        <f t="shared" si="16"/>
        <v/>
      </c>
    </row>
    <row r="425" spans="17:18" x14ac:dyDescent="0.3">
      <c r="Q425" t="str">
        <f t="shared" si="17"/>
        <v/>
      </c>
      <c r="R425" s="54" t="str">
        <f t="shared" si="16"/>
        <v/>
      </c>
    </row>
    <row r="426" spans="17:18" x14ac:dyDescent="0.3">
      <c r="Q426" t="str">
        <f t="shared" si="17"/>
        <v/>
      </c>
      <c r="R426" s="54" t="str">
        <f t="shared" si="16"/>
        <v/>
      </c>
    </row>
    <row r="427" spans="17:18" x14ac:dyDescent="0.3">
      <c r="Q427" t="str">
        <f t="shared" si="17"/>
        <v/>
      </c>
      <c r="R427" s="54" t="str">
        <f t="shared" si="16"/>
        <v/>
      </c>
    </row>
    <row r="428" spans="17:18" x14ac:dyDescent="0.3">
      <c r="Q428" t="str">
        <f t="shared" si="17"/>
        <v/>
      </c>
      <c r="R428" s="54" t="str">
        <f t="shared" si="16"/>
        <v/>
      </c>
    </row>
    <row r="429" spans="17:18" x14ac:dyDescent="0.3">
      <c r="Q429" t="str">
        <f t="shared" si="17"/>
        <v/>
      </c>
      <c r="R429" s="54" t="str">
        <f t="shared" si="16"/>
        <v/>
      </c>
    </row>
    <row r="430" spans="17:18" x14ac:dyDescent="0.3">
      <c r="Q430" t="str">
        <f t="shared" si="17"/>
        <v/>
      </c>
      <c r="R430" s="54" t="str">
        <f t="shared" si="16"/>
        <v/>
      </c>
    </row>
    <row r="431" spans="17:18" x14ac:dyDescent="0.3">
      <c r="Q431" t="str">
        <f t="shared" si="17"/>
        <v/>
      </c>
      <c r="R431" s="54" t="str">
        <f t="shared" si="16"/>
        <v/>
      </c>
    </row>
    <row r="432" spans="17:18" x14ac:dyDescent="0.3">
      <c r="Q432" t="str">
        <f t="shared" si="17"/>
        <v/>
      </c>
      <c r="R432" s="54" t="str">
        <f t="shared" si="16"/>
        <v/>
      </c>
    </row>
    <row r="433" spans="17:18" x14ac:dyDescent="0.3">
      <c r="Q433" t="str">
        <f t="shared" si="17"/>
        <v/>
      </c>
      <c r="R433" s="54" t="str">
        <f t="shared" si="16"/>
        <v/>
      </c>
    </row>
    <row r="434" spans="17:18" x14ac:dyDescent="0.3">
      <c r="Q434" t="str">
        <f t="shared" si="17"/>
        <v/>
      </c>
      <c r="R434" s="54" t="str">
        <f t="shared" si="16"/>
        <v/>
      </c>
    </row>
    <row r="435" spans="17:18" x14ac:dyDescent="0.3">
      <c r="Q435" t="str">
        <f t="shared" si="17"/>
        <v/>
      </c>
      <c r="R435" s="54" t="str">
        <f t="shared" si="16"/>
        <v/>
      </c>
    </row>
    <row r="436" spans="17:18" x14ac:dyDescent="0.3">
      <c r="Q436" t="str">
        <f t="shared" si="17"/>
        <v/>
      </c>
      <c r="R436" s="54" t="str">
        <f t="shared" si="16"/>
        <v/>
      </c>
    </row>
    <row r="437" spans="17:18" x14ac:dyDescent="0.3">
      <c r="Q437" t="str">
        <f t="shared" si="17"/>
        <v/>
      </c>
      <c r="R437" s="54" t="str">
        <f t="shared" si="16"/>
        <v/>
      </c>
    </row>
    <row r="438" spans="17:18" x14ac:dyDescent="0.3">
      <c r="Q438" t="str">
        <f t="shared" si="17"/>
        <v/>
      </c>
      <c r="R438" s="54" t="str">
        <f t="shared" si="16"/>
        <v/>
      </c>
    </row>
    <row r="439" spans="17:18" x14ac:dyDescent="0.3">
      <c r="Q439" t="str">
        <f t="shared" si="17"/>
        <v/>
      </c>
      <c r="R439" s="54" t="str">
        <f t="shared" si="16"/>
        <v/>
      </c>
    </row>
    <row r="440" spans="17:18" x14ac:dyDescent="0.3">
      <c r="Q440" t="str">
        <f t="shared" si="17"/>
        <v/>
      </c>
      <c r="R440" s="54" t="str">
        <f t="shared" si="16"/>
        <v/>
      </c>
    </row>
    <row r="441" spans="17:18" x14ac:dyDescent="0.3">
      <c r="Q441" t="str">
        <f t="shared" si="17"/>
        <v/>
      </c>
      <c r="R441" s="54" t="str">
        <f t="shared" si="16"/>
        <v/>
      </c>
    </row>
    <row r="442" spans="17:18" x14ac:dyDescent="0.3">
      <c r="Q442" t="str">
        <f t="shared" si="17"/>
        <v/>
      </c>
      <c r="R442" s="54" t="str">
        <f t="shared" si="16"/>
        <v/>
      </c>
    </row>
    <row r="443" spans="17:18" x14ac:dyDescent="0.3">
      <c r="Q443" t="str">
        <f t="shared" si="17"/>
        <v/>
      </c>
      <c r="R443" s="54" t="str">
        <f t="shared" si="16"/>
        <v/>
      </c>
    </row>
    <row r="444" spans="17:18" x14ac:dyDescent="0.3">
      <c r="Q444" t="str">
        <f t="shared" si="17"/>
        <v/>
      </c>
      <c r="R444" s="54" t="str">
        <f t="shared" si="16"/>
        <v/>
      </c>
    </row>
    <row r="445" spans="17:18" x14ac:dyDescent="0.3">
      <c r="Q445" t="str">
        <f t="shared" si="17"/>
        <v/>
      </c>
      <c r="R445" s="54" t="str">
        <f t="shared" si="16"/>
        <v/>
      </c>
    </row>
    <row r="446" spans="17:18" x14ac:dyDescent="0.3">
      <c r="Q446" t="str">
        <f t="shared" si="17"/>
        <v/>
      </c>
      <c r="R446" s="54" t="str">
        <f t="shared" si="16"/>
        <v/>
      </c>
    </row>
    <row r="447" spans="17:18" x14ac:dyDescent="0.3">
      <c r="Q447" t="str">
        <f t="shared" si="17"/>
        <v/>
      </c>
      <c r="R447" s="54" t="str">
        <f t="shared" si="16"/>
        <v/>
      </c>
    </row>
    <row r="448" spans="17:18" x14ac:dyDescent="0.3">
      <c r="Q448" t="str">
        <f t="shared" si="17"/>
        <v/>
      </c>
      <c r="R448" s="54" t="str">
        <f t="shared" si="16"/>
        <v/>
      </c>
    </row>
    <row r="449" spans="17:18" x14ac:dyDescent="0.3">
      <c r="Q449" t="str">
        <f t="shared" si="17"/>
        <v/>
      </c>
      <c r="R449" s="54" t="str">
        <f t="shared" si="16"/>
        <v/>
      </c>
    </row>
    <row r="450" spans="17:18" x14ac:dyDescent="0.3">
      <c r="Q450" t="str">
        <f t="shared" si="17"/>
        <v/>
      </c>
      <c r="R450" s="54" t="str">
        <f t="shared" si="16"/>
        <v/>
      </c>
    </row>
    <row r="451" spans="17:18" x14ac:dyDescent="0.3">
      <c r="Q451" t="str">
        <f t="shared" si="17"/>
        <v/>
      </c>
      <c r="R451" s="54" t="str">
        <f t="shared" ref="R451:R514" si="18">IF(F465="","",IFERROR(IF(ISNUMBER(F465),F465,DATEVALUE(F465)),""))</f>
        <v/>
      </c>
    </row>
    <row r="452" spans="17:18" x14ac:dyDescent="0.3">
      <c r="Q452" t="str">
        <f t="shared" si="17"/>
        <v/>
      </c>
      <c r="R452" s="54" t="str">
        <f t="shared" si="18"/>
        <v/>
      </c>
    </row>
    <row r="453" spans="17:18" x14ac:dyDescent="0.3">
      <c r="Q453" t="str">
        <f t="shared" si="17"/>
        <v/>
      </c>
      <c r="R453" s="54" t="str">
        <f t="shared" si="18"/>
        <v/>
      </c>
    </row>
    <row r="454" spans="17:18" x14ac:dyDescent="0.3">
      <c r="Q454" t="str">
        <f t="shared" si="17"/>
        <v/>
      </c>
      <c r="R454" s="54" t="str">
        <f t="shared" si="18"/>
        <v/>
      </c>
    </row>
    <row r="455" spans="17:18" x14ac:dyDescent="0.3">
      <c r="Q455" t="str">
        <f t="shared" si="17"/>
        <v/>
      </c>
      <c r="R455" s="54" t="str">
        <f t="shared" si="18"/>
        <v/>
      </c>
    </row>
    <row r="456" spans="17:18" x14ac:dyDescent="0.3">
      <c r="Q456" t="str">
        <f t="shared" si="17"/>
        <v/>
      </c>
      <c r="R456" s="54" t="str">
        <f t="shared" si="18"/>
        <v/>
      </c>
    </row>
    <row r="457" spans="17:18" x14ac:dyDescent="0.3">
      <c r="Q457" t="str">
        <f t="shared" si="17"/>
        <v/>
      </c>
      <c r="R457" s="54" t="str">
        <f t="shared" si="18"/>
        <v/>
      </c>
    </row>
    <row r="458" spans="17:18" x14ac:dyDescent="0.3">
      <c r="Q458" t="str">
        <f t="shared" si="17"/>
        <v/>
      </c>
      <c r="R458" s="54" t="str">
        <f t="shared" si="18"/>
        <v/>
      </c>
    </row>
    <row r="459" spans="17:18" x14ac:dyDescent="0.3">
      <c r="Q459" t="str">
        <f t="shared" si="17"/>
        <v/>
      </c>
      <c r="R459" s="54" t="str">
        <f t="shared" si="18"/>
        <v/>
      </c>
    </row>
    <row r="460" spans="17:18" x14ac:dyDescent="0.3">
      <c r="Q460" t="str">
        <f t="shared" si="17"/>
        <v/>
      </c>
      <c r="R460" s="54" t="str">
        <f t="shared" si="18"/>
        <v/>
      </c>
    </row>
    <row r="461" spans="17:18" x14ac:dyDescent="0.3">
      <c r="Q461" t="str">
        <f t="shared" si="17"/>
        <v/>
      </c>
      <c r="R461" s="54" t="str">
        <f t="shared" si="18"/>
        <v/>
      </c>
    </row>
    <row r="462" spans="17:18" x14ac:dyDescent="0.3">
      <c r="Q462" t="str">
        <f t="shared" si="17"/>
        <v/>
      </c>
      <c r="R462" s="54" t="str">
        <f t="shared" si="18"/>
        <v/>
      </c>
    </row>
    <row r="463" spans="17:18" x14ac:dyDescent="0.3">
      <c r="Q463" t="str">
        <f t="shared" si="17"/>
        <v/>
      </c>
      <c r="R463" s="54" t="str">
        <f t="shared" si="18"/>
        <v/>
      </c>
    </row>
    <row r="464" spans="17:18" x14ac:dyDescent="0.3">
      <c r="Q464" t="str">
        <f t="shared" si="17"/>
        <v/>
      </c>
      <c r="R464" s="54" t="str">
        <f t="shared" si="18"/>
        <v/>
      </c>
    </row>
    <row r="465" spans="17:18" x14ac:dyDescent="0.3">
      <c r="Q465" t="str">
        <f t="shared" si="17"/>
        <v/>
      </c>
      <c r="R465" s="54" t="str">
        <f t="shared" si="18"/>
        <v/>
      </c>
    </row>
    <row r="466" spans="17:18" x14ac:dyDescent="0.3">
      <c r="Q466" t="str">
        <f t="shared" si="17"/>
        <v/>
      </c>
      <c r="R466" s="54" t="str">
        <f t="shared" si="18"/>
        <v/>
      </c>
    </row>
    <row r="467" spans="17:18" x14ac:dyDescent="0.3">
      <c r="Q467" t="str">
        <f t="shared" si="17"/>
        <v/>
      </c>
      <c r="R467" s="54" t="str">
        <f t="shared" si="18"/>
        <v/>
      </c>
    </row>
    <row r="468" spans="17:18" x14ac:dyDescent="0.3">
      <c r="Q468" t="str">
        <f t="shared" si="17"/>
        <v/>
      </c>
      <c r="R468" s="54" t="str">
        <f t="shared" si="18"/>
        <v/>
      </c>
    </row>
    <row r="469" spans="17:18" x14ac:dyDescent="0.3">
      <c r="Q469" t="str">
        <f t="shared" si="17"/>
        <v/>
      </c>
      <c r="R469" s="54" t="str">
        <f t="shared" si="18"/>
        <v/>
      </c>
    </row>
    <row r="470" spans="17:18" x14ac:dyDescent="0.3">
      <c r="Q470" t="str">
        <f t="shared" si="17"/>
        <v/>
      </c>
      <c r="R470" s="54" t="str">
        <f t="shared" si="18"/>
        <v/>
      </c>
    </row>
    <row r="471" spans="17:18" x14ac:dyDescent="0.3">
      <c r="Q471" t="str">
        <f t="shared" ref="Q471:Q534" si="19">IF(COUNTA(A471:P471)=0,"",IF(ISNUMBER(SEARCH("-AR-",E485)),"Architectural",IF(ISNUMBER(SEARCH("-ST-",E485)),"Structural",IF(ISNUMBER(SEARCH("-ME-",E485)),"Mechanical",IF(ISNUMBER(SEARCH("-EL-",E485)),"Electrical",IF(ISNUMBER(SEARCH("-GE-",E485)),"General",IF(ISNUMBER(SEARCH("-AR-",D485)),"Architectural",IF(ISNUMBER(SEARCH("-ST-",D485)),"Structural",IF(ISNUMBER(SEARCH("-ME-",D485)),"Mechanical",IF(ISNUMBER(SEARCH("-EL-",D485)),"Electrical",IF(ISNUMBER(SEARCH("-GE-",D485)),"General","Other")))))))))))</f>
        <v/>
      </c>
      <c r="R471" s="54" t="str">
        <f t="shared" si="18"/>
        <v/>
      </c>
    </row>
    <row r="472" spans="17:18" x14ac:dyDescent="0.3">
      <c r="Q472" t="str">
        <f t="shared" si="19"/>
        <v/>
      </c>
      <c r="R472" s="54" t="str">
        <f t="shared" si="18"/>
        <v/>
      </c>
    </row>
    <row r="473" spans="17:18" x14ac:dyDescent="0.3">
      <c r="Q473" t="str">
        <f t="shared" si="19"/>
        <v/>
      </c>
      <c r="R473" s="54" t="str">
        <f t="shared" si="18"/>
        <v/>
      </c>
    </row>
    <row r="474" spans="17:18" x14ac:dyDescent="0.3">
      <c r="Q474" t="str">
        <f t="shared" si="19"/>
        <v/>
      </c>
      <c r="R474" s="54" t="str">
        <f t="shared" si="18"/>
        <v/>
      </c>
    </row>
    <row r="475" spans="17:18" x14ac:dyDescent="0.3">
      <c r="Q475" t="str">
        <f t="shared" si="19"/>
        <v/>
      </c>
      <c r="R475" s="54" t="str">
        <f t="shared" si="18"/>
        <v/>
      </c>
    </row>
    <row r="476" spans="17:18" x14ac:dyDescent="0.3">
      <c r="Q476" t="str">
        <f t="shared" si="19"/>
        <v/>
      </c>
      <c r="R476" s="54" t="str">
        <f t="shared" si="18"/>
        <v/>
      </c>
    </row>
    <row r="477" spans="17:18" x14ac:dyDescent="0.3">
      <c r="Q477" t="str">
        <f t="shared" si="19"/>
        <v/>
      </c>
      <c r="R477" s="54" t="str">
        <f t="shared" si="18"/>
        <v/>
      </c>
    </row>
    <row r="478" spans="17:18" x14ac:dyDescent="0.3">
      <c r="Q478" t="str">
        <f t="shared" si="19"/>
        <v/>
      </c>
      <c r="R478" s="54" t="str">
        <f t="shared" si="18"/>
        <v/>
      </c>
    </row>
    <row r="479" spans="17:18" x14ac:dyDescent="0.3">
      <c r="Q479" t="str">
        <f t="shared" si="19"/>
        <v/>
      </c>
      <c r="R479" s="54" t="str">
        <f t="shared" si="18"/>
        <v/>
      </c>
    </row>
    <row r="480" spans="17:18" x14ac:dyDescent="0.3">
      <c r="Q480" t="str">
        <f t="shared" si="19"/>
        <v/>
      </c>
      <c r="R480" s="54" t="str">
        <f t="shared" si="18"/>
        <v/>
      </c>
    </row>
    <row r="481" spans="17:18" x14ac:dyDescent="0.3">
      <c r="Q481" t="str">
        <f t="shared" si="19"/>
        <v/>
      </c>
      <c r="R481" s="54" t="str">
        <f t="shared" si="18"/>
        <v/>
      </c>
    </row>
    <row r="482" spans="17:18" x14ac:dyDescent="0.3">
      <c r="Q482" t="str">
        <f t="shared" si="19"/>
        <v/>
      </c>
      <c r="R482" s="54" t="str">
        <f t="shared" si="18"/>
        <v/>
      </c>
    </row>
    <row r="483" spans="17:18" x14ac:dyDescent="0.3">
      <c r="Q483" t="str">
        <f t="shared" si="19"/>
        <v/>
      </c>
      <c r="R483" s="54" t="str">
        <f t="shared" si="18"/>
        <v/>
      </c>
    </row>
    <row r="484" spans="17:18" x14ac:dyDescent="0.3">
      <c r="Q484" t="str">
        <f t="shared" si="19"/>
        <v/>
      </c>
      <c r="R484" s="54" t="str">
        <f t="shared" si="18"/>
        <v/>
      </c>
    </row>
    <row r="485" spans="17:18" x14ac:dyDescent="0.3">
      <c r="Q485" t="str">
        <f t="shared" si="19"/>
        <v/>
      </c>
      <c r="R485" s="54" t="str">
        <f t="shared" si="18"/>
        <v/>
      </c>
    </row>
    <row r="486" spans="17:18" x14ac:dyDescent="0.3">
      <c r="Q486" t="str">
        <f t="shared" si="19"/>
        <v/>
      </c>
      <c r="R486" s="54" t="str">
        <f t="shared" si="18"/>
        <v/>
      </c>
    </row>
    <row r="487" spans="17:18" x14ac:dyDescent="0.3">
      <c r="Q487" t="str">
        <f t="shared" si="19"/>
        <v/>
      </c>
      <c r="R487" s="54" t="str">
        <f t="shared" si="18"/>
        <v/>
      </c>
    </row>
    <row r="488" spans="17:18" x14ac:dyDescent="0.3">
      <c r="Q488" t="str">
        <f t="shared" si="19"/>
        <v/>
      </c>
      <c r="R488" s="54" t="str">
        <f t="shared" si="18"/>
        <v/>
      </c>
    </row>
    <row r="489" spans="17:18" x14ac:dyDescent="0.3">
      <c r="Q489" t="str">
        <f t="shared" si="19"/>
        <v/>
      </c>
      <c r="R489" s="54" t="str">
        <f t="shared" si="18"/>
        <v/>
      </c>
    </row>
    <row r="490" spans="17:18" x14ac:dyDescent="0.3">
      <c r="Q490" t="str">
        <f t="shared" si="19"/>
        <v/>
      </c>
      <c r="R490" s="54" t="str">
        <f t="shared" si="18"/>
        <v/>
      </c>
    </row>
    <row r="491" spans="17:18" x14ac:dyDescent="0.3">
      <c r="Q491" t="str">
        <f t="shared" si="19"/>
        <v/>
      </c>
      <c r="R491" s="54" t="str">
        <f t="shared" si="18"/>
        <v/>
      </c>
    </row>
    <row r="492" spans="17:18" x14ac:dyDescent="0.3">
      <c r="Q492" t="str">
        <f t="shared" si="19"/>
        <v/>
      </c>
      <c r="R492" s="54" t="str">
        <f t="shared" si="18"/>
        <v/>
      </c>
    </row>
    <row r="493" spans="17:18" x14ac:dyDescent="0.3">
      <c r="Q493" t="str">
        <f t="shared" si="19"/>
        <v/>
      </c>
      <c r="R493" s="54" t="str">
        <f t="shared" si="18"/>
        <v/>
      </c>
    </row>
    <row r="494" spans="17:18" x14ac:dyDescent="0.3">
      <c r="Q494" t="str">
        <f t="shared" si="19"/>
        <v/>
      </c>
      <c r="R494" s="54" t="str">
        <f t="shared" si="18"/>
        <v/>
      </c>
    </row>
    <row r="495" spans="17:18" x14ac:dyDescent="0.3">
      <c r="Q495" t="str">
        <f t="shared" si="19"/>
        <v/>
      </c>
      <c r="R495" s="54" t="str">
        <f t="shared" si="18"/>
        <v/>
      </c>
    </row>
    <row r="496" spans="17:18" x14ac:dyDescent="0.3">
      <c r="Q496" t="str">
        <f t="shared" si="19"/>
        <v/>
      </c>
      <c r="R496" s="54" t="str">
        <f t="shared" si="18"/>
        <v/>
      </c>
    </row>
    <row r="497" spans="17:18" x14ac:dyDescent="0.3">
      <c r="Q497" t="str">
        <f t="shared" si="19"/>
        <v/>
      </c>
      <c r="R497" s="54" t="str">
        <f t="shared" si="18"/>
        <v/>
      </c>
    </row>
    <row r="498" spans="17:18" x14ac:dyDescent="0.3">
      <c r="Q498" t="str">
        <f t="shared" si="19"/>
        <v/>
      </c>
      <c r="R498" s="54" t="str">
        <f t="shared" si="18"/>
        <v/>
      </c>
    </row>
    <row r="499" spans="17:18" x14ac:dyDescent="0.3">
      <c r="Q499" t="str">
        <f t="shared" si="19"/>
        <v/>
      </c>
      <c r="R499" s="54" t="str">
        <f t="shared" si="18"/>
        <v/>
      </c>
    </row>
    <row r="500" spans="17:18" x14ac:dyDescent="0.3">
      <c r="Q500" t="str">
        <f t="shared" si="19"/>
        <v/>
      </c>
      <c r="R500" s="54" t="str">
        <f t="shared" si="18"/>
        <v/>
      </c>
    </row>
    <row r="501" spans="17:18" x14ac:dyDescent="0.3">
      <c r="Q501" t="str">
        <f t="shared" si="19"/>
        <v/>
      </c>
      <c r="R501" s="54" t="str">
        <f t="shared" si="18"/>
        <v/>
      </c>
    </row>
    <row r="502" spans="17:18" x14ac:dyDescent="0.3">
      <c r="Q502" t="str">
        <f t="shared" si="19"/>
        <v/>
      </c>
      <c r="R502" s="54" t="str">
        <f t="shared" si="18"/>
        <v/>
      </c>
    </row>
    <row r="503" spans="17:18" x14ac:dyDescent="0.3">
      <c r="Q503" t="str">
        <f t="shared" si="19"/>
        <v/>
      </c>
      <c r="R503" s="54" t="str">
        <f t="shared" si="18"/>
        <v/>
      </c>
    </row>
    <row r="504" spans="17:18" x14ac:dyDescent="0.3">
      <c r="Q504" t="str">
        <f t="shared" si="19"/>
        <v/>
      </c>
      <c r="R504" s="54" t="str">
        <f t="shared" si="18"/>
        <v/>
      </c>
    </row>
    <row r="505" spans="17:18" x14ac:dyDescent="0.3">
      <c r="Q505" t="str">
        <f t="shared" si="19"/>
        <v/>
      </c>
      <c r="R505" s="54" t="str">
        <f t="shared" si="18"/>
        <v/>
      </c>
    </row>
    <row r="506" spans="17:18" x14ac:dyDescent="0.3">
      <c r="Q506" t="str">
        <f t="shared" si="19"/>
        <v/>
      </c>
      <c r="R506" s="54" t="str">
        <f t="shared" si="18"/>
        <v/>
      </c>
    </row>
    <row r="507" spans="17:18" x14ac:dyDescent="0.3">
      <c r="Q507" t="str">
        <f t="shared" si="19"/>
        <v/>
      </c>
      <c r="R507" s="54" t="str">
        <f t="shared" si="18"/>
        <v/>
      </c>
    </row>
    <row r="508" spans="17:18" x14ac:dyDescent="0.3">
      <c r="Q508" t="str">
        <f t="shared" si="19"/>
        <v/>
      </c>
      <c r="R508" s="54" t="str">
        <f t="shared" si="18"/>
        <v/>
      </c>
    </row>
    <row r="509" spans="17:18" x14ac:dyDescent="0.3">
      <c r="Q509" t="str">
        <f t="shared" si="19"/>
        <v/>
      </c>
      <c r="R509" s="54" t="str">
        <f t="shared" si="18"/>
        <v/>
      </c>
    </row>
    <row r="510" spans="17:18" x14ac:dyDescent="0.3">
      <c r="Q510" t="str">
        <f t="shared" si="19"/>
        <v/>
      </c>
      <c r="R510" s="54" t="str">
        <f t="shared" si="18"/>
        <v/>
      </c>
    </row>
    <row r="511" spans="17:18" x14ac:dyDescent="0.3">
      <c r="Q511" t="str">
        <f t="shared" si="19"/>
        <v/>
      </c>
      <c r="R511" s="54" t="str">
        <f t="shared" si="18"/>
        <v/>
      </c>
    </row>
    <row r="512" spans="17:18" x14ac:dyDescent="0.3">
      <c r="Q512" t="str">
        <f t="shared" si="19"/>
        <v/>
      </c>
      <c r="R512" s="54" t="str">
        <f t="shared" si="18"/>
        <v/>
      </c>
    </row>
    <row r="513" spans="17:18" x14ac:dyDescent="0.3">
      <c r="Q513" t="str">
        <f t="shared" si="19"/>
        <v/>
      </c>
      <c r="R513" s="54" t="str">
        <f t="shared" si="18"/>
        <v/>
      </c>
    </row>
    <row r="514" spans="17:18" x14ac:dyDescent="0.3">
      <c r="Q514" t="str">
        <f t="shared" si="19"/>
        <v/>
      </c>
      <c r="R514" s="54" t="str">
        <f t="shared" si="18"/>
        <v/>
      </c>
    </row>
    <row r="515" spans="17:18" x14ac:dyDescent="0.3">
      <c r="Q515" t="str">
        <f t="shared" si="19"/>
        <v/>
      </c>
      <c r="R515" s="54" t="str">
        <f t="shared" ref="R515:R578" si="20">IF(F529="","",IFERROR(IF(ISNUMBER(F529),F529,DATEVALUE(F529)),""))</f>
        <v/>
      </c>
    </row>
    <row r="516" spans="17:18" x14ac:dyDescent="0.3">
      <c r="Q516" t="str">
        <f t="shared" si="19"/>
        <v/>
      </c>
      <c r="R516" s="54" t="str">
        <f t="shared" si="20"/>
        <v/>
      </c>
    </row>
    <row r="517" spans="17:18" x14ac:dyDescent="0.3">
      <c r="Q517" t="str">
        <f t="shared" si="19"/>
        <v/>
      </c>
      <c r="R517" s="54" t="str">
        <f t="shared" si="20"/>
        <v/>
      </c>
    </row>
    <row r="518" spans="17:18" x14ac:dyDescent="0.3">
      <c r="Q518" t="str">
        <f t="shared" si="19"/>
        <v/>
      </c>
      <c r="R518" s="54" t="str">
        <f t="shared" si="20"/>
        <v/>
      </c>
    </row>
    <row r="519" spans="17:18" x14ac:dyDescent="0.3">
      <c r="Q519" t="str">
        <f t="shared" si="19"/>
        <v/>
      </c>
      <c r="R519" s="54" t="str">
        <f t="shared" si="20"/>
        <v/>
      </c>
    </row>
    <row r="520" spans="17:18" x14ac:dyDescent="0.3">
      <c r="Q520" t="str">
        <f t="shared" si="19"/>
        <v/>
      </c>
      <c r="R520" s="54" t="str">
        <f t="shared" si="20"/>
        <v/>
      </c>
    </row>
    <row r="521" spans="17:18" x14ac:dyDescent="0.3">
      <c r="Q521" t="str">
        <f t="shared" si="19"/>
        <v/>
      </c>
      <c r="R521" s="54" t="str">
        <f t="shared" si="20"/>
        <v/>
      </c>
    </row>
    <row r="522" spans="17:18" x14ac:dyDescent="0.3">
      <c r="Q522" t="str">
        <f t="shared" si="19"/>
        <v/>
      </c>
      <c r="R522" s="54" t="str">
        <f t="shared" si="20"/>
        <v/>
      </c>
    </row>
    <row r="523" spans="17:18" x14ac:dyDescent="0.3">
      <c r="Q523" t="str">
        <f t="shared" si="19"/>
        <v/>
      </c>
      <c r="R523" s="54" t="str">
        <f t="shared" si="20"/>
        <v/>
      </c>
    </row>
    <row r="524" spans="17:18" x14ac:dyDescent="0.3">
      <c r="Q524" t="str">
        <f t="shared" si="19"/>
        <v/>
      </c>
      <c r="R524" s="54" t="str">
        <f t="shared" si="20"/>
        <v/>
      </c>
    </row>
    <row r="525" spans="17:18" x14ac:dyDescent="0.3">
      <c r="Q525" t="str">
        <f t="shared" si="19"/>
        <v/>
      </c>
      <c r="R525" s="54" t="str">
        <f t="shared" si="20"/>
        <v/>
      </c>
    </row>
    <row r="526" spans="17:18" x14ac:dyDescent="0.3">
      <c r="Q526" t="str">
        <f t="shared" si="19"/>
        <v/>
      </c>
      <c r="R526" s="54" t="str">
        <f t="shared" si="20"/>
        <v/>
      </c>
    </row>
    <row r="527" spans="17:18" x14ac:dyDescent="0.3">
      <c r="Q527" t="str">
        <f t="shared" si="19"/>
        <v/>
      </c>
      <c r="R527" s="54" t="str">
        <f t="shared" si="20"/>
        <v/>
      </c>
    </row>
    <row r="528" spans="17:18" x14ac:dyDescent="0.3">
      <c r="Q528" t="str">
        <f t="shared" si="19"/>
        <v/>
      </c>
      <c r="R528" s="54" t="str">
        <f t="shared" si="20"/>
        <v/>
      </c>
    </row>
    <row r="529" spans="17:18" x14ac:dyDescent="0.3">
      <c r="Q529" t="str">
        <f t="shared" si="19"/>
        <v/>
      </c>
      <c r="R529" s="54" t="str">
        <f t="shared" si="20"/>
        <v/>
      </c>
    </row>
    <row r="530" spans="17:18" x14ac:dyDescent="0.3">
      <c r="Q530" t="str">
        <f t="shared" si="19"/>
        <v/>
      </c>
      <c r="R530" s="54" t="str">
        <f t="shared" si="20"/>
        <v/>
      </c>
    </row>
    <row r="531" spans="17:18" x14ac:dyDescent="0.3">
      <c r="Q531" t="str">
        <f t="shared" si="19"/>
        <v/>
      </c>
      <c r="R531" s="54" t="str">
        <f t="shared" si="20"/>
        <v/>
      </c>
    </row>
    <row r="532" spans="17:18" x14ac:dyDescent="0.3">
      <c r="Q532" t="str">
        <f t="shared" si="19"/>
        <v/>
      </c>
      <c r="R532" s="54" t="str">
        <f t="shared" si="20"/>
        <v/>
      </c>
    </row>
    <row r="533" spans="17:18" x14ac:dyDescent="0.3">
      <c r="Q533" t="str">
        <f t="shared" si="19"/>
        <v/>
      </c>
      <c r="R533" s="54" t="str">
        <f t="shared" si="20"/>
        <v/>
      </c>
    </row>
    <row r="534" spans="17:18" x14ac:dyDescent="0.3">
      <c r="Q534" t="str">
        <f t="shared" si="19"/>
        <v/>
      </c>
      <c r="R534" s="54" t="str">
        <f t="shared" si="20"/>
        <v/>
      </c>
    </row>
    <row r="535" spans="17:18" x14ac:dyDescent="0.3">
      <c r="Q535" t="str">
        <f t="shared" ref="Q535:Q598" si="21">IF(COUNTA(A535:P535)=0,"",IF(ISNUMBER(SEARCH("-AR-",E549)),"Architectural",IF(ISNUMBER(SEARCH("-ST-",E549)),"Structural",IF(ISNUMBER(SEARCH("-ME-",E549)),"Mechanical",IF(ISNUMBER(SEARCH("-EL-",E549)),"Electrical",IF(ISNUMBER(SEARCH("-GE-",E549)),"General",IF(ISNUMBER(SEARCH("-AR-",D549)),"Architectural",IF(ISNUMBER(SEARCH("-ST-",D549)),"Structural",IF(ISNUMBER(SEARCH("-ME-",D549)),"Mechanical",IF(ISNUMBER(SEARCH("-EL-",D549)),"Electrical",IF(ISNUMBER(SEARCH("-GE-",D549)),"General","Other")))))))))))</f>
        <v/>
      </c>
      <c r="R535" s="54" t="str">
        <f t="shared" si="20"/>
        <v/>
      </c>
    </row>
    <row r="536" spans="17:18" x14ac:dyDescent="0.3">
      <c r="Q536" t="str">
        <f t="shared" si="21"/>
        <v/>
      </c>
      <c r="R536" s="54" t="str">
        <f t="shared" si="20"/>
        <v/>
      </c>
    </row>
    <row r="537" spans="17:18" x14ac:dyDescent="0.3">
      <c r="Q537" t="str">
        <f t="shared" si="21"/>
        <v/>
      </c>
      <c r="R537" s="54" t="str">
        <f t="shared" si="20"/>
        <v/>
      </c>
    </row>
    <row r="538" spans="17:18" x14ac:dyDescent="0.3">
      <c r="Q538" t="str">
        <f t="shared" si="21"/>
        <v/>
      </c>
      <c r="R538" s="54" t="str">
        <f t="shared" si="20"/>
        <v/>
      </c>
    </row>
    <row r="539" spans="17:18" x14ac:dyDescent="0.3">
      <c r="Q539" t="str">
        <f t="shared" si="21"/>
        <v/>
      </c>
      <c r="R539" s="54" t="str">
        <f t="shared" si="20"/>
        <v/>
      </c>
    </row>
    <row r="540" spans="17:18" x14ac:dyDescent="0.3">
      <c r="Q540" t="str">
        <f t="shared" si="21"/>
        <v/>
      </c>
      <c r="R540" s="54" t="str">
        <f t="shared" si="20"/>
        <v/>
      </c>
    </row>
    <row r="541" spans="17:18" x14ac:dyDescent="0.3">
      <c r="Q541" t="str">
        <f t="shared" si="21"/>
        <v/>
      </c>
      <c r="R541" s="54" t="str">
        <f t="shared" si="20"/>
        <v/>
      </c>
    </row>
    <row r="542" spans="17:18" x14ac:dyDescent="0.3">
      <c r="Q542" t="str">
        <f t="shared" si="21"/>
        <v/>
      </c>
      <c r="R542" s="54" t="str">
        <f t="shared" si="20"/>
        <v/>
      </c>
    </row>
    <row r="543" spans="17:18" x14ac:dyDescent="0.3">
      <c r="Q543" t="str">
        <f t="shared" si="21"/>
        <v/>
      </c>
      <c r="R543" s="54" t="str">
        <f t="shared" si="20"/>
        <v/>
      </c>
    </row>
    <row r="544" spans="17:18" x14ac:dyDescent="0.3">
      <c r="Q544" t="str">
        <f t="shared" si="21"/>
        <v/>
      </c>
      <c r="R544" s="54" t="str">
        <f t="shared" si="20"/>
        <v/>
      </c>
    </row>
    <row r="545" spans="17:18" x14ac:dyDescent="0.3">
      <c r="Q545" t="str">
        <f t="shared" si="21"/>
        <v/>
      </c>
      <c r="R545" s="54" t="str">
        <f t="shared" si="20"/>
        <v/>
      </c>
    </row>
    <row r="546" spans="17:18" x14ac:dyDescent="0.3">
      <c r="Q546" t="str">
        <f t="shared" si="21"/>
        <v/>
      </c>
      <c r="R546" s="54" t="str">
        <f t="shared" si="20"/>
        <v/>
      </c>
    </row>
    <row r="547" spans="17:18" x14ac:dyDescent="0.3">
      <c r="Q547" t="str">
        <f t="shared" si="21"/>
        <v/>
      </c>
      <c r="R547" s="54" t="str">
        <f t="shared" si="20"/>
        <v/>
      </c>
    </row>
    <row r="548" spans="17:18" x14ac:dyDescent="0.3">
      <c r="Q548" t="str">
        <f t="shared" si="21"/>
        <v/>
      </c>
      <c r="R548" s="54" t="str">
        <f t="shared" si="20"/>
        <v/>
      </c>
    </row>
    <row r="549" spans="17:18" x14ac:dyDescent="0.3">
      <c r="Q549" t="str">
        <f t="shared" si="21"/>
        <v/>
      </c>
      <c r="R549" s="54" t="str">
        <f t="shared" si="20"/>
        <v/>
      </c>
    </row>
    <row r="550" spans="17:18" x14ac:dyDescent="0.3">
      <c r="Q550" t="str">
        <f t="shared" si="21"/>
        <v/>
      </c>
      <c r="R550" s="54" t="str">
        <f t="shared" si="20"/>
        <v/>
      </c>
    </row>
    <row r="551" spans="17:18" x14ac:dyDescent="0.3">
      <c r="Q551" t="str">
        <f t="shared" si="21"/>
        <v/>
      </c>
      <c r="R551" s="54" t="str">
        <f t="shared" si="20"/>
        <v/>
      </c>
    </row>
    <row r="552" spans="17:18" x14ac:dyDescent="0.3">
      <c r="Q552" t="str">
        <f t="shared" si="21"/>
        <v/>
      </c>
      <c r="R552" s="54" t="str">
        <f t="shared" si="20"/>
        <v/>
      </c>
    </row>
    <row r="553" spans="17:18" x14ac:dyDescent="0.3">
      <c r="Q553" t="str">
        <f t="shared" si="21"/>
        <v/>
      </c>
      <c r="R553" s="54" t="str">
        <f t="shared" si="20"/>
        <v/>
      </c>
    </row>
    <row r="554" spans="17:18" x14ac:dyDescent="0.3">
      <c r="Q554" t="str">
        <f t="shared" si="21"/>
        <v/>
      </c>
      <c r="R554" s="54" t="str">
        <f t="shared" si="20"/>
        <v/>
      </c>
    </row>
    <row r="555" spans="17:18" x14ac:dyDescent="0.3">
      <c r="Q555" t="str">
        <f t="shared" si="21"/>
        <v/>
      </c>
      <c r="R555" s="54" t="str">
        <f t="shared" si="20"/>
        <v/>
      </c>
    </row>
    <row r="556" spans="17:18" x14ac:dyDescent="0.3">
      <c r="Q556" t="str">
        <f t="shared" si="21"/>
        <v/>
      </c>
      <c r="R556" s="54" t="str">
        <f t="shared" si="20"/>
        <v/>
      </c>
    </row>
    <row r="557" spans="17:18" x14ac:dyDescent="0.3">
      <c r="Q557" t="str">
        <f t="shared" si="21"/>
        <v/>
      </c>
      <c r="R557" s="54" t="str">
        <f t="shared" si="20"/>
        <v/>
      </c>
    </row>
    <row r="558" spans="17:18" x14ac:dyDescent="0.3">
      <c r="Q558" t="str">
        <f t="shared" si="21"/>
        <v/>
      </c>
      <c r="R558" s="54" t="str">
        <f t="shared" si="20"/>
        <v/>
      </c>
    </row>
    <row r="559" spans="17:18" x14ac:dyDescent="0.3">
      <c r="Q559" t="str">
        <f t="shared" si="21"/>
        <v/>
      </c>
      <c r="R559" s="54" t="str">
        <f t="shared" si="20"/>
        <v/>
      </c>
    </row>
    <row r="560" spans="17:18" x14ac:dyDescent="0.3">
      <c r="Q560" t="str">
        <f t="shared" si="21"/>
        <v/>
      </c>
      <c r="R560" s="54" t="str">
        <f t="shared" si="20"/>
        <v/>
      </c>
    </row>
    <row r="561" spans="17:18" x14ac:dyDescent="0.3">
      <c r="Q561" t="str">
        <f t="shared" si="21"/>
        <v/>
      </c>
      <c r="R561" s="54" t="str">
        <f t="shared" si="20"/>
        <v/>
      </c>
    </row>
    <row r="562" spans="17:18" x14ac:dyDescent="0.3">
      <c r="Q562" t="str">
        <f t="shared" si="21"/>
        <v/>
      </c>
      <c r="R562" s="54" t="str">
        <f t="shared" si="20"/>
        <v/>
      </c>
    </row>
    <row r="563" spans="17:18" x14ac:dyDescent="0.3">
      <c r="Q563" t="str">
        <f t="shared" si="21"/>
        <v/>
      </c>
      <c r="R563" s="54" t="str">
        <f t="shared" si="20"/>
        <v/>
      </c>
    </row>
    <row r="564" spans="17:18" x14ac:dyDescent="0.3">
      <c r="Q564" t="str">
        <f t="shared" si="21"/>
        <v/>
      </c>
      <c r="R564" s="54" t="str">
        <f t="shared" si="20"/>
        <v/>
      </c>
    </row>
    <row r="565" spans="17:18" x14ac:dyDescent="0.3">
      <c r="Q565" t="str">
        <f t="shared" si="21"/>
        <v/>
      </c>
      <c r="R565" s="54" t="str">
        <f t="shared" si="20"/>
        <v/>
      </c>
    </row>
    <row r="566" spans="17:18" x14ac:dyDescent="0.3">
      <c r="Q566" t="str">
        <f t="shared" si="21"/>
        <v/>
      </c>
      <c r="R566" s="54" t="str">
        <f t="shared" si="20"/>
        <v/>
      </c>
    </row>
    <row r="567" spans="17:18" x14ac:dyDescent="0.3">
      <c r="Q567" t="str">
        <f t="shared" si="21"/>
        <v/>
      </c>
      <c r="R567" s="54" t="str">
        <f t="shared" si="20"/>
        <v/>
      </c>
    </row>
    <row r="568" spans="17:18" x14ac:dyDescent="0.3">
      <c r="Q568" t="str">
        <f t="shared" si="21"/>
        <v/>
      </c>
      <c r="R568" s="54" t="str">
        <f t="shared" si="20"/>
        <v/>
      </c>
    </row>
    <row r="569" spans="17:18" x14ac:dyDescent="0.3">
      <c r="Q569" t="str">
        <f t="shared" si="21"/>
        <v/>
      </c>
      <c r="R569" s="54" t="str">
        <f t="shared" si="20"/>
        <v/>
      </c>
    </row>
    <row r="570" spans="17:18" x14ac:dyDescent="0.3">
      <c r="Q570" t="str">
        <f t="shared" si="21"/>
        <v/>
      </c>
      <c r="R570" s="54" t="str">
        <f t="shared" si="20"/>
        <v/>
      </c>
    </row>
    <row r="571" spans="17:18" x14ac:dyDescent="0.3">
      <c r="Q571" t="str">
        <f t="shared" si="21"/>
        <v/>
      </c>
      <c r="R571" s="54" t="str">
        <f t="shared" si="20"/>
        <v/>
      </c>
    </row>
    <row r="572" spans="17:18" x14ac:dyDescent="0.3">
      <c r="Q572" t="str">
        <f t="shared" si="21"/>
        <v/>
      </c>
      <c r="R572" s="54" t="str">
        <f t="shared" si="20"/>
        <v/>
      </c>
    </row>
    <row r="573" spans="17:18" x14ac:dyDescent="0.3">
      <c r="Q573" t="str">
        <f t="shared" si="21"/>
        <v/>
      </c>
      <c r="R573" s="54" t="str">
        <f t="shared" si="20"/>
        <v/>
      </c>
    </row>
    <row r="574" spans="17:18" x14ac:dyDescent="0.3">
      <c r="Q574" t="str">
        <f t="shared" si="21"/>
        <v/>
      </c>
      <c r="R574" s="54" t="str">
        <f t="shared" si="20"/>
        <v/>
      </c>
    </row>
    <row r="575" spans="17:18" x14ac:dyDescent="0.3">
      <c r="Q575" t="str">
        <f t="shared" si="21"/>
        <v/>
      </c>
      <c r="R575" s="54" t="str">
        <f t="shared" si="20"/>
        <v/>
      </c>
    </row>
    <row r="576" spans="17:18" x14ac:dyDescent="0.3">
      <c r="Q576" t="str">
        <f t="shared" si="21"/>
        <v/>
      </c>
      <c r="R576" s="54" t="str">
        <f t="shared" si="20"/>
        <v/>
      </c>
    </row>
    <row r="577" spans="17:18" x14ac:dyDescent="0.3">
      <c r="Q577" t="str">
        <f t="shared" si="21"/>
        <v/>
      </c>
      <c r="R577" s="54" t="str">
        <f t="shared" si="20"/>
        <v/>
      </c>
    </row>
    <row r="578" spans="17:18" x14ac:dyDescent="0.3">
      <c r="Q578" t="str">
        <f t="shared" si="21"/>
        <v/>
      </c>
      <c r="R578" s="54" t="str">
        <f t="shared" si="20"/>
        <v/>
      </c>
    </row>
    <row r="579" spans="17:18" x14ac:dyDescent="0.3">
      <c r="Q579" t="str">
        <f t="shared" si="21"/>
        <v/>
      </c>
      <c r="R579" s="54" t="str">
        <f t="shared" ref="R579:R642" si="22">IF(F593="","",IFERROR(IF(ISNUMBER(F593),F593,DATEVALUE(F593)),""))</f>
        <v/>
      </c>
    </row>
    <row r="580" spans="17:18" x14ac:dyDescent="0.3">
      <c r="Q580" t="str">
        <f t="shared" si="21"/>
        <v/>
      </c>
      <c r="R580" s="54" t="str">
        <f t="shared" si="22"/>
        <v/>
      </c>
    </row>
    <row r="581" spans="17:18" x14ac:dyDescent="0.3">
      <c r="Q581" t="str">
        <f t="shared" si="21"/>
        <v/>
      </c>
      <c r="R581" s="54" t="str">
        <f t="shared" si="22"/>
        <v/>
      </c>
    </row>
    <row r="582" spans="17:18" x14ac:dyDescent="0.3">
      <c r="Q582" t="str">
        <f t="shared" si="21"/>
        <v/>
      </c>
      <c r="R582" s="54" t="str">
        <f t="shared" si="22"/>
        <v/>
      </c>
    </row>
    <row r="583" spans="17:18" x14ac:dyDescent="0.3">
      <c r="Q583" t="str">
        <f t="shared" si="21"/>
        <v/>
      </c>
      <c r="R583" s="54" t="str">
        <f t="shared" si="22"/>
        <v/>
      </c>
    </row>
    <row r="584" spans="17:18" x14ac:dyDescent="0.3">
      <c r="Q584" t="str">
        <f t="shared" si="21"/>
        <v/>
      </c>
      <c r="R584" s="54" t="str">
        <f t="shared" si="22"/>
        <v/>
      </c>
    </row>
    <row r="585" spans="17:18" x14ac:dyDescent="0.3">
      <c r="Q585" t="str">
        <f t="shared" si="21"/>
        <v/>
      </c>
      <c r="R585" s="54" t="str">
        <f t="shared" si="22"/>
        <v/>
      </c>
    </row>
    <row r="586" spans="17:18" x14ac:dyDescent="0.3">
      <c r="Q586" t="str">
        <f t="shared" si="21"/>
        <v/>
      </c>
      <c r="R586" s="54" t="str">
        <f t="shared" si="22"/>
        <v/>
      </c>
    </row>
    <row r="587" spans="17:18" x14ac:dyDescent="0.3">
      <c r="Q587" t="str">
        <f t="shared" si="21"/>
        <v/>
      </c>
      <c r="R587" s="54" t="str">
        <f t="shared" si="22"/>
        <v/>
      </c>
    </row>
    <row r="588" spans="17:18" x14ac:dyDescent="0.3">
      <c r="Q588" t="str">
        <f t="shared" si="21"/>
        <v/>
      </c>
      <c r="R588" s="54" t="str">
        <f t="shared" si="22"/>
        <v/>
      </c>
    </row>
    <row r="589" spans="17:18" x14ac:dyDescent="0.3">
      <c r="Q589" t="str">
        <f t="shared" si="21"/>
        <v/>
      </c>
      <c r="R589" s="54" t="str">
        <f t="shared" si="22"/>
        <v/>
      </c>
    </row>
    <row r="590" spans="17:18" x14ac:dyDescent="0.3">
      <c r="Q590" t="str">
        <f t="shared" si="21"/>
        <v/>
      </c>
      <c r="R590" s="54" t="str">
        <f t="shared" si="22"/>
        <v/>
      </c>
    </row>
    <row r="591" spans="17:18" x14ac:dyDescent="0.3">
      <c r="Q591" t="str">
        <f t="shared" si="21"/>
        <v/>
      </c>
      <c r="R591" s="54" t="str">
        <f t="shared" si="22"/>
        <v/>
      </c>
    </row>
    <row r="592" spans="17:18" x14ac:dyDescent="0.3">
      <c r="Q592" t="str">
        <f t="shared" si="21"/>
        <v/>
      </c>
      <c r="R592" s="54" t="str">
        <f t="shared" si="22"/>
        <v/>
      </c>
    </row>
    <row r="593" spans="17:18" x14ac:dyDescent="0.3">
      <c r="Q593" t="str">
        <f t="shared" si="21"/>
        <v/>
      </c>
      <c r="R593" s="54" t="str">
        <f t="shared" si="22"/>
        <v/>
      </c>
    </row>
    <row r="594" spans="17:18" x14ac:dyDescent="0.3">
      <c r="Q594" t="str">
        <f t="shared" si="21"/>
        <v/>
      </c>
      <c r="R594" s="54" t="str">
        <f t="shared" si="22"/>
        <v/>
      </c>
    </row>
    <row r="595" spans="17:18" x14ac:dyDescent="0.3">
      <c r="Q595" t="str">
        <f t="shared" si="21"/>
        <v/>
      </c>
      <c r="R595" s="54" t="str">
        <f t="shared" si="22"/>
        <v/>
      </c>
    </row>
    <row r="596" spans="17:18" x14ac:dyDescent="0.3">
      <c r="Q596" t="str">
        <f t="shared" si="21"/>
        <v/>
      </c>
      <c r="R596" s="54" t="str">
        <f t="shared" si="22"/>
        <v/>
      </c>
    </row>
    <row r="597" spans="17:18" x14ac:dyDescent="0.3">
      <c r="Q597" t="str">
        <f t="shared" si="21"/>
        <v/>
      </c>
      <c r="R597" s="54" t="str">
        <f t="shared" si="22"/>
        <v/>
      </c>
    </row>
    <row r="598" spans="17:18" x14ac:dyDescent="0.3">
      <c r="Q598" t="str">
        <f t="shared" si="21"/>
        <v/>
      </c>
      <c r="R598" s="54" t="str">
        <f t="shared" si="22"/>
        <v/>
      </c>
    </row>
    <row r="599" spans="17:18" x14ac:dyDescent="0.3">
      <c r="Q599" t="str">
        <f t="shared" ref="Q599:Q662" si="23">IF(COUNTA(A599:P599)=0,"",IF(ISNUMBER(SEARCH("-AR-",E613)),"Architectural",IF(ISNUMBER(SEARCH("-ST-",E613)),"Structural",IF(ISNUMBER(SEARCH("-ME-",E613)),"Mechanical",IF(ISNUMBER(SEARCH("-EL-",E613)),"Electrical",IF(ISNUMBER(SEARCH("-GE-",E613)),"General",IF(ISNUMBER(SEARCH("-AR-",D613)),"Architectural",IF(ISNUMBER(SEARCH("-ST-",D613)),"Structural",IF(ISNUMBER(SEARCH("-ME-",D613)),"Mechanical",IF(ISNUMBER(SEARCH("-EL-",D613)),"Electrical",IF(ISNUMBER(SEARCH("-GE-",D613)),"General","Other")))))))))))</f>
        <v/>
      </c>
      <c r="R599" s="54" t="str">
        <f t="shared" si="22"/>
        <v/>
      </c>
    </row>
    <row r="600" spans="17:18" x14ac:dyDescent="0.3">
      <c r="Q600" t="str">
        <f t="shared" si="23"/>
        <v/>
      </c>
      <c r="R600" s="54" t="str">
        <f t="shared" si="22"/>
        <v/>
      </c>
    </row>
    <row r="601" spans="17:18" x14ac:dyDescent="0.3">
      <c r="Q601" t="str">
        <f t="shared" si="23"/>
        <v/>
      </c>
      <c r="R601" s="54" t="str">
        <f t="shared" si="22"/>
        <v/>
      </c>
    </row>
    <row r="602" spans="17:18" x14ac:dyDescent="0.3">
      <c r="Q602" t="str">
        <f t="shared" si="23"/>
        <v/>
      </c>
      <c r="R602" s="54" t="str">
        <f t="shared" si="22"/>
        <v/>
      </c>
    </row>
    <row r="603" spans="17:18" x14ac:dyDescent="0.3">
      <c r="Q603" t="str">
        <f t="shared" si="23"/>
        <v/>
      </c>
      <c r="R603" s="54" t="str">
        <f t="shared" si="22"/>
        <v/>
      </c>
    </row>
    <row r="604" spans="17:18" x14ac:dyDescent="0.3">
      <c r="Q604" t="str">
        <f t="shared" si="23"/>
        <v/>
      </c>
      <c r="R604" s="54" t="str">
        <f t="shared" si="22"/>
        <v/>
      </c>
    </row>
    <row r="605" spans="17:18" x14ac:dyDescent="0.3">
      <c r="Q605" t="str">
        <f t="shared" si="23"/>
        <v/>
      </c>
      <c r="R605" s="54" t="str">
        <f t="shared" si="22"/>
        <v/>
      </c>
    </row>
    <row r="606" spans="17:18" x14ac:dyDescent="0.3">
      <c r="Q606" t="str">
        <f t="shared" si="23"/>
        <v/>
      </c>
      <c r="R606" s="54" t="str">
        <f t="shared" si="22"/>
        <v/>
      </c>
    </row>
    <row r="607" spans="17:18" x14ac:dyDescent="0.3">
      <c r="Q607" t="str">
        <f t="shared" si="23"/>
        <v/>
      </c>
      <c r="R607" s="54" t="str">
        <f t="shared" si="22"/>
        <v/>
      </c>
    </row>
    <row r="608" spans="17:18" x14ac:dyDescent="0.3">
      <c r="Q608" t="str">
        <f t="shared" si="23"/>
        <v/>
      </c>
      <c r="R608" s="54" t="str">
        <f t="shared" si="22"/>
        <v/>
      </c>
    </row>
    <row r="609" spans="17:18" x14ac:dyDescent="0.3">
      <c r="Q609" t="str">
        <f t="shared" si="23"/>
        <v/>
      </c>
      <c r="R609" s="54" t="str">
        <f t="shared" si="22"/>
        <v/>
      </c>
    </row>
    <row r="610" spans="17:18" x14ac:dyDescent="0.3">
      <c r="Q610" t="str">
        <f t="shared" si="23"/>
        <v/>
      </c>
      <c r="R610" s="54" t="str">
        <f t="shared" si="22"/>
        <v/>
      </c>
    </row>
    <row r="611" spans="17:18" x14ac:dyDescent="0.3">
      <c r="Q611" t="str">
        <f t="shared" si="23"/>
        <v/>
      </c>
      <c r="R611" s="54" t="str">
        <f t="shared" si="22"/>
        <v/>
      </c>
    </row>
    <row r="612" spans="17:18" x14ac:dyDescent="0.3">
      <c r="Q612" t="str">
        <f t="shared" si="23"/>
        <v/>
      </c>
      <c r="R612" s="54" t="str">
        <f t="shared" si="22"/>
        <v/>
      </c>
    </row>
    <row r="613" spans="17:18" x14ac:dyDescent="0.3">
      <c r="Q613" t="str">
        <f t="shared" si="23"/>
        <v/>
      </c>
      <c r="R613" s="54" t="str">
        <f t="shared" si="22"/>
        <v/>
      </c>
    </row>
    <row r="614" spans="17:18" x14ac:dyDescent="0.3">
      <c r="Q614" t="str">
        <f t="shared" si="23"/>
        <v/>
      </c>
      <c r="R614" s="54" t="str">
        <f t="shared" si="22"/>
        <v/>
      </c>
    </row>
    <row r="615" spans="17:18" x14ac:dyDescent="0.3">
      <c r="Q615" t="str">
        <f t="shared" si="23"/>
        <v/>
      </c>
      <c r="R615" s="54" t="str">
        <f t="shared" si="22"/>
        <v/>
      </c>
    </row>
    <row r="616" spans="17:18" x14ac:dyDescent="0.3">
      <c r="Q616" t="str">
        <f t="shared" si="23"/>
        <v/>
      </c>
      <c r="R616" s="54" t="str">
        <f t="shared" si="22"/>
        <v/>
      </c>
    </row>
    <row r="617" spans="17:18" x14ac:dyDescent="0.3">
      <c r="Q617" t="str">
        <f t="shared" si="23"/>
        <v/>
      </c>
      <c r="R617" s="54" t="str">
        <f t="shared" si="22"/>
        <v/>
      </c>
    </row>
    <row r="618" spans="17:18" x14ac:dyDescent="0.3">
      <c r="Q618" t="str">
        <f t="shared" si="23"/>
        <v/>
      </c>
      <c r="R618" s="54" t="str">
        <f t="shared" si="22"/>
        <v/>
      </c>
    </row>
    <row r="619" spans="17:18" x14ac:dyDescent="0.3">
      <c r="Q619" t="str">
        <f t="shared" si="23"/>
        <v/>
      </c>
      <c r="R619" s="54" t="str">
        <f t="shared" si="22"/>
        <v/>
      </c>
    </row>
    <row r="620" spans="17:18" x14ac:dyDescent="0.3">
      <c r="Q620" t="str">
        <f t="shared" si="23"/>
        <v/>
      </c>
      <c r="R620" s="54" t="str">
        <f t="shared" si="22"/>
        <v/>
      </c>
    </row>
    <row r="621" spans="17:18" x14ac:dyDescent="0.3">
      <c r="Q621" t="str">
        <f t="shared" si="23"/>
        <v/>
      </c>
      <c r="R621" s="54" t="str">
        <f t="shared" si="22"/>
        <v/>
      </c>
    </row>
    <row r="622" spans="17:18" x14ac:dyDescent="0.3">
      <c r="Q622" t="str">
        <f t="shared" si="23"/>
        <v/>
      </c>
      <c r="R622" s="54" t="str">
        <f t="shared" si="22"/>
        <v/>
      </c>
    </row>
    <row r="623" spans="17:18" x14ac:dyDescent="0.3">
      <c r="Q623" t="str">
        <f t="shared" si="23"/>
        <v/>
      </c>
      <c r="R623" s="54" t="str">
        <f t="shared" si="22"/>
        <v/>
      </c>
    </row>
    <row r="624" spans="17:18" x14ac:dyDescent="0.3">
      <c r="Q624" t="str">
        <f t="shared" si="23"/>
        <v/>
      </c>
      <c r="R624" s="54" t="str">
        <f t="shared" si="22"/>
        <v/>
      </c>
    </row>
    <row r="625" spans="17:18" x14ac:dyDescent="0.3">
      <c r="Q625" t="str">
        <f t="shared" si="23"/>
        <v/>
      </c>
      <c r="R625" s="54" t="str">
        <f t="shared" si="22"/>
        <v/>
      </c>
    </row>
    <row r="626" spans="17:18" x14ac:dyDescent="0.3">
      <c r="Q626" t="str">
        <f t="shared" si="23"/>
        <v/>
      </c>
      <c r="R626" s="54" t="str">
        <f t="shared" si="22"/>
        <v/>
      </c>
    </row>
    <row r="627" spans="17:18" x14ac:dyDescent="0.3">
      <c r="Q627" t="str">
        <f t="shared" si="23"/>
        <v/>
      </c>
      <c r="R627" s="54" t="str">
        <f t="shared" si="22"/>
        <v/>
      </c>
    </row>
    <row r="628" spans="17:18" x14ac:dyDescent="0.3">
      <c r="Q628" t="str">
        <f t="shared" si="23"/>
        <v/>
      </c>
      <c r="R628" s="54" t="str">
        <f t="shared" si="22"/>
        <v/>
      </c>
    </row>
    <row r="629" spans="17:18" x14ac:dyDescent="0.3">
      <c r="Q629" t="str">
        <f t="shared" si="23"/>
        <v/>
      </c>
      <c r="R629" s="54" t="str">
        <f t="shared" si="22"/>
        <v/>
      </c>
    </row>
    <row r="630" spans="17:18" x14ac:dyDescent="0.3">
      <c r="Q630" t="str">
        <f t="shared" si="23"/>
        <v/>
      </c>
      <c r="R630" s="54" t="str">
        <f t="shared" si="22"/>
        <v/>
      </c>
    </row>
    <row r="631" spans="17:18" x14ac:dyDescent="0.3">
      <c r="Q631" t="str">
        <f t="shared" si="23"/>
        <v/>
      </c>
      <c r="R631" s="54" t="str">
        <f t="shared" si="22"/>
        <v/>
      </c>
    </row>
    <row r="632" spans="17:18" x14ac:dyDescent="0.3">
      <c r="Q632" t="str">
        <f t="shared" si="23"/>
        <v/>
      </c>
      <c r="R632" s="54" t="str">
        <f t="shared" si="22"/>
        <v/>
      </c>
    </row>
    <row r="633" spans="17:18" x14ac:dyDescent="0.3">
      <c r="Q633" t="str">
        <f t="shared" si="23"/>
        <v/>
      </c>
      <c r="R633" s="54" t="str">
        <f t="shared" si="22"/>
        <v/>
      </c>
    </row>
    <row r="634" spans="17:18" x14ac:dyDescent="0.3">
      <c r="Q634" t="str">
        <f t="shared" si="23"/>
        <v/>
      </c>
      <c r="R634" s="54" t="str">
        <f t="shared" si="22"/>
        <v/>
      </c>
    </row>
    <row r="635" spans="17:18" x14ac:dyDescent="0.3">
      <c r="Q635" t="str">
        <f t="shared" si="23"/>
        <v/>
      </c>
      <c r="R635" s="54" t="str">
        <f t="shared" si="22"/>
        <v/>
      </c>
    </row>
    <row r="636" spans="17:18" x14ac:dyDescent="0.3">
      <c r="Q636" t="str">
        <f t="shared" si="23"/>
        <v/>
      </c>
      <c r="R636" s="54" t="str">
        <f t="shared" si="22"/>
        <v/>
      </c>
    </row>
    <row r="637" spans="17:18" x14ac:dyDescent="0.3">
      <c r="Q637" t="str">
        <f t="shared" si="23"/>
        <v/>
      </c>
      <c r="R637" s="54" t="str">
        <f t="shared" si="22"/>
        <v/>
      </c>
    </row>
    <row r="638" spans="17:18" x14ac:dyDescent="0.3">
      <c r="Q638" t="str">
        <f t="shared" si="23"/>
        <v/>
      </c>
      <c r="R638" s="54" t="str">
        <f t="shared" si="22"/>
        <v/>
      </c>
    </row>
    <row r="639" spans="17:18" x14ac:dyDescent="0.3">
      <c r="Q639" t="str">
        <f t="shared" si="23"/>
        <v/>
      </c>
      <c r="R639" s="54" t="str">
        <f t="shared" si="22"/>
        <v/>
      </c>
    </row>
    <row r="640" spans="17:18" x14ac:dyDescent="0.3">
      <c r="Q640" t="str">
        <f t="shared" si="23"/>
        <v/>
      </c>
      <c r="R640" s="54" t="str">
        <f t="shared" si="22"/>
        <v/>
      </c>
    </row>
    <row r="641" spans="17:18" x14ac:dyDescent="0.3">
      <c r="Q641" t="str">
        <f t="shared" si="23"/>
        <v/>
      </c>
      <c r="R641" s="54" t="str">
        <f t="shared" si="22"/>
        <v/>
      </c>
    </row>
    <row r="642" spans="17:18" x14ac:dyDescent="0.3">
      <c r="Q642" t="str">
        <f t="shared" si="23"/>
        <v/>
      </c>
      <c r="R642" s="54" t="str">
        <f t="shared" si="22"/>
        <v/>
      </c>
    </row>
    <row r="643" spans="17:18" x14ac:dyDescent="0.3">
      <c r="Q643" t="str">
        <f t="shared" si="23"/>
        <v/>
      </c>
      <c r="R643" s="54" t="str">
        <f t="shared" ref="R643:R706" si="24">IF(F657="","",IFERROR(IF(ISNUMBER(F657),F657,DATEVALUE(F657)),""))</f>
        <v/>
      </c>
    </row>
    <row r="644" spans="17:18" x14ac:dyDescent="0.3">
      <c r="Q644" t="str">
        <f t="shared" si="23"/>
        <v/>
      </c>
      <c r="R644" s="54" t="str">
        <f t="shared" si="24"/>
        <v/>
      </c>
    </row>
    <row r="645" spans="17:18" x14ac:dyDescent="0.3">
      <c r="Q645" t="str">
        <f t="shared" si="23"/>
        <v/>
      </c>
      <c r="R645" s="54" t="str">
        <f t="shared" si="24"/>
        <v/>
      </c>
    </row>
    <row r="646" spans="17:18" x14ac:dyDescent="0.3">
      <c r="Q646" t="str">
        <f t="shared" si="23"/>
        <v/>
      </c>
      <c r="R646" s="54" t="str">
        <f t="shared" si="24"/>
        <v/>
      </c>
    </row>
    <row r="647" spans="17:18" x14ac:dyDescent="0.3">
      <c r="Q647" t="str">
        <f t="shared" si="23"/>
        <v/>
      </c>
      <c r="R647" s="54" t="str">
        <f t="shared" si="24"/>
        <v/>
      </c>
    </row>
    <row r="648" spans="17:18" x14ac:dyDescent="0.3">
      <c r="Q648" t="str">
        <f t="shared" si="23"/>
        <v/>
      </c>
      <c r="R648" s="54" t="str">
        <f t="shared" si="24"/>
        <v/>
      </c>
    </row>
    <row r="649" spans="17:18" x14ac:dyDescent="0.3">
      <c r="Q649" t="str">
        <f t="shared" si="23"/>
        <v/>
      </c>
      <c r="R649" s="54" t="str">
        <f t="shared" si="24"/>
        <v/>
      </c>
    </row>
    <row r="650" spans="17:18" x14ac:dyDescent="0.3">
      <c r="Q650" t="str">
        <f t="shared" si="23"/>
        <v/>
      </c>
      <c r="R650" s="54" t="str">
        <f t="shared" si="24"/>
        <v/>
      </c>
    </row>
    <row r="651" spans="17:18" x14ac:dyDescent="0.3">
      <c r="Q651" t="str">
        <f t="shared" si="23"/>
        <v/>
      </c>
      <c r="R651" s="54" t="str">
        <f t="shared" si="24"/>
        <v/>
      </c>
    </row>
    <row r="652" spans="17:18" x14ac:dyDescent="0.3">
      <c r="Q652" t="str">
        <f t="shared" si="23"/>
        <v/>
      </c>
      <c r="R652" s="54" t="str">
        <f t="shared" si="24"/>
        <v/>
      </c>
    </row>
    <row r="653" spans="17:18" x14ac:dyDescent="0.3">
      <c r="Q653" t="str">
        <f t="shared" si="23"/>
        <v/>
      </c>
      <c r="R653" s="54" t="str">
        <f t="shared" si="24"/>
        <v/>
      </c>
    </row>
    <row r="654" spans="17:18" x14ac:dyDescent="0.3">
      <c r="Q654" t="str">
        <f t="shared" si="23"/>
        <v/>
      </c>
      <c r="R654" s="54" t="str">
        <f t="shared" si="24"/>
        <v/>
      </c>
    </row>
    <row r="655" spans="17:18" x14ac:dyDescent="0.3">
      <c r="Q655" t="str">
        <f t="shared" si="23"/>
        <v/>
      </c>
      <c r="R655" s="54" t="str">
        <f t="shared" si="24"/>
        <v/>
      </c>
    </row>
    <row r="656" spans="17:18" x14ac:dyDescent="0.3">
      <c r="Q656" t="str">
        <f t="shared" si="23"/>
        <v/>
      </c>
      <c r="R656" s="54" t="str">
        <f t="shared" si="24"/>
        <v/>
      </c>
    </row>
    <row r="657" spans="17:18" x14ac:dyDescent="0.3">
      <c r="Q657" t="str">
        <f t="shared" si="23"/>
        <v/>
      </c>
      <c r="R657" s="54" t="str">
        <f t="shared" si="24"/>
        <v/>
      </c>
    </row>
    <row r="658" spans="17:18" x14ac:dyDescent="0.3">
      <c r="Q658" t="str">
        <f t="shared" si="23"/>
        <v/>
      </c>
      <c r="R658" s="54" t="str">
        <f t="shared" si="24"/>
        <v/>
      </c>
    </row>
    <row r="659" spans="17:18" x14ac:dyDescent="0.3">
      <c r="Q659" t="str">
        <f t="shared" si="23"/>
        <v/>
      </c>
      <c r="R659" s="54" t="str">
        <f t="shared" si="24"/>
        <v/>
      </c>
    </row>
    <row r="660" spans="17:18" x14ac:dyDescent="0.3">
      <c r="Q660" t="str">
        <f t="shared" si="23"/>
        <v/>
      </c>
      <c r="R660" s="54" t="str">
        <f t="shared" si="24"/>
        <v/>
      </c>
    </row>
    <row r="661" spans="17:18" x14ac:dyDescent="0.3">
      <c r="Q661" t="str">
        <f t="shared" si="23"/>
        <v/>
      </c>
      <c r="R661" s="54" t="str">
        <f t="shared" si="24"/>
        <v/>
      </c>
    </row>
    <row r="662" spans="17:18" x14ac:dyDescent="0.3">
      <c r="Q662" t="str">
        <f t="shared" si="23"/>
        <v/>
      </c>
      <c r="R662" s="54" t="str">
        <f t="shared" si="24"/>
        <v/>
      </c>
    </row>
    <row r="663" spans="17:18" x14ac:dyDescent="0.3">
      <c r="Q663" t="str">
        <f t="shared" ref="Q663:Q726" si="25">IF(COUNTA(A663:P663)=0,"",IF(ISNUMBER(SEARCH("-AR-",E677)),"Architectural",IF(ISNUMBER(SEARCH("-ST-",E677)),"Structural",IF(ISNUMBER(SEARCH("-ME-",E677)),"Mechanical",IF(ISNUMBER(SEARCH("-EL-",E677)),"Electrical",IF(ISNUMBER(SEARCH("-GE-",E677)),"General",IF(ISNUMBER(SEARCH("-AR-",D677)),"Architectural",IF(ISNUMBER(SEARCH("-ST-",D677)),"Structural",IF(ISNUMBER(SEARCH("-ME-",D677)),"Mechanical",IF(ISNUMBER(SEARCH("-EL-",D677)),"Electrical",IF(ISNUMBER(SEARCH("-GE-",D677)),"General","Other")))))))))))</f>
        <v/>
      </c>
      <c r="R663" s="54" t="str">
        <f t="shared" si="24"/>
        <v/>
      </c>
    </row>
    <row r="664" spans="17:18" x14ac:dyDescent="0.3">
      <c r="Q664" t="str">
        <f t="shared" si="25"/>
        <v/>
      </c>
      <c r="R664" s="54" t="str">
        <f t="shared" si="24"/>
        <v/>
      </c>
    </row>
    <row r="665" spans="17:18" x14ac:dyDescent="0.3">
      <c r="Q665" t="str">
        <f t="shared" si="25"/>
        <v/>
      </c>
      <c r="R665" s="54" t="str">
        <f t="shared" si="24"/>
        <v/>
      </c>
    </row>
    <row r="666" spans="17:18" x14ac:dyDescent="0.3">
      <c r="Q666" t="str">
        <f t="shared" si="25"/>
        <v/>
      </c>
      <c r="R666" s="54" t="str">
        <f t="shared" si="24"/>
        <v/>
      </c>
    </row>
    <row r="667" spans="17:18" x14ac:dyDescent="0.3">
      <c r="Q667" t="str">
        <f t="shared" si="25"/>
        <v/>
      </c>
      <c r="R667" s="54" t="str">
        <f t="shared" si="24"/>
        <v/>
      </c>
    </row>
    <row r="668" spans="17:18" x14ac:dyDescent="0.3">
      <c r="Q668" t="str">
        <f t="shared" si="25"/>
        <v/>
      </c>
      <c r="R668" s="54" t="str">
        <f t="shared" si="24"/>
        <v/>
      </c>
    </row>
    <row r="669" spans="17:18" x14ac:dyDescent="0.3">
      <c r="Q669" t="str">
        <f t="shared" si="25"/>
        <v/>
      </c>
      <c r="R669" s="54" t="str">
        <f t="shared" si="24"/>
        <v/>
      </c>
    </row>
    <row r="670" spans="17:18" x14ac:dyDescent="0.3">
      <c r="Q670" t="str">
        <f t="shared" si="25"/>
        <v/>
      </c>
      <c r="R670" s="54" t="str">
        <f t="shared" si="24"/>
        <v/>
      </c>
    </row>
    <row r="671" spans="17:18" x14ac:dyDescent="0.3">
      <c r="Q671" t="str">
        <f t="shared" si="25"/>
        <v/>
      </c>
      <c r="R671" s="54" t="str">
        <f t="shared" si="24"/>
        <v/>
      </c>
    </row>
    <row r="672" spans="17:18" x14ac:dyDescent="0.3">
      <c r="Q672" t="str">
        <f t="shared" si="25"/>
        <v/>
      </c>
      <c r="R672" s="54" t="str">
        <f t="shared" si="24"/>
        <v/>
      </c>
    </row>
    <row r="673" spans="17:18" x14ac:dyDescent="0.3">
      <c r="Q673" t="str">
        <f t="shared" si="25"/>
        <v/>
      </c>
      <c r="R673" s="54" t="str">
        <f t="shared" si="24"/>
        <v/>
      </c>
    </row>
    <row r="674" spans="17:18" x14ac:dyDescent="0.3">
      <c r="Q674" t="str">
        <f t="shared" si="25"/>
        <v/>
      </c>
      <c r="R674" s="54" t="str">
        <f t="shared" si="24"/>
        <v/>
      </c>
    </row>
    <row r="675" spans="17:18" x14ac:dyDescent="0.3">
      <c r="Q675" t="str">
        <f t="shared" si="25"/>
        <v/>
      </c>
      <c r="R675" s="54" t="str">
        <f t="shared" si="24"/>
        <v/>
      </c>
    </row>
    <row r="676" spans="17:18" x14ac:dyDescent="0.3">
      <c r="Q676" t="str">
        <f t="shared" si="25"/>
        <v/>
      </c>
      <c r="R676" s="54" t="str">
        <f t="shared" si="24"/>
        <v/>
      </c>
    </row>
    <row r="677" spans="17:18" x14ac:dyDescent="0.3">
      <c r="Q677" t="str">
        <f t="shared" si="25"/>
        <v/>
      </c>
      <c r="R677" s="54" t="str">
        <f t="shared" si="24"/>
        <v/>
      </c>
    </row>
    <row r="678" spans="17:18" x14ac:dyDescent="0.3">
      <c r="Q678" t="str">
        <f t="shared" si="25"/>
        <v/>
      </c>
      <c r="R678" s="54" t="str">
        <f t="shared" si="24"/>
        <v/>
      </c>
    </row>
    <row r="679" spans="17:18" x14ac:dyDescent="0.3">
      <c r="Q679" t="str">
        <f t="shared" si="25"/>
        <v/>
      </c>
      <c r="R679" s="54" t="str">
        <f t="shared" si="24"/>
        <v/>
      </c>
    </row>
    <row r="680" spans="17:18" x14ac:dyDescent="0.3">
      <c r="Q680" t="str">
        <f t="shared" si="25"/>
        <v/>
      </c>
      <c r="R680" s="54" t="str">
        <f t="shared" si="24"/>
        <v/>
      </c>
    </row>
    <row r="681" spans="17:18" x14ac:dyDescent="0.3">
      <c r="Q681" t="str">
        <f t="shared" si="25"/>
        <v/>
      </c>
      <c r="R681" s="54" t="str">
        <f t="shared" si="24"/>
        <v/>
      </c>
    </row>
    <row r="682" spans="17:18" x14ac:dyDescent="0.3">
      <c r="Q682" t="str">
        <f t="shared" si="25"/>
        <v/>
      </c>
      <c r="R682" s="54" t="str">
        <f t="shared" si="24"/>
        <v/>
      </c>
    </row>
    <row r="683" spans="17:18" x14ac:dyDescent="0.3">
      <c r="Q683" t="str">
        <f t="shared" si="25"/>
        <v/>
      </c>
      <c r="R683" s="54" t="str">
        <f t="shared" si="24"/>
        <v/>
      </c>
    </row>
    <row r="684" spans="17:18" x14ac:dyDescent="0.3">
      <c r="Q684" t="str">
        <f t="shared" si="25"/>
        <v/>
      </c>
      <c r="R684" s="54" t="str">
        <f t="shared" si="24"/>
        <v/>
      </c>
    </row>
    <row r="685" spans="17:18" x14ac:dyDescent="0.3">
      <c r="Q685" t="str">
        <f t="shared" si="25"/>
        <v/>
      </c>
      <c r="R685" s="54" t="str">
        <f t="shared" si="24"/>
        <v/>
      </c>
    </row>
    <row r="686" spans="17:18" x14ac:dyDescent="0.3">
      <c r="Q686" t="str">
        <f t="shared" si="25"/>
        <v/>
      </c>
      <c r="R686" s="54" t="str">
        <f t="shared" si="24"/>
        <v/>
      </c>
    </row>
    <row r="687" spans="17:18" x14ac:dyDescent="0.3">
      <c r="Q687" t="str">
        <f t="shared" si="25"/>
        <v/>
      </c>
      <c r="R687" s="54" t="str">
        <f t="shared" si="24"/>
        <v/>
      </c>
    </row>
    <row r="688" spans="17:18" x14ac:dyDescent="0.3">
      <c r="Q688" t="str">
        <f t="shared" si="25"/>
        <v/>
      </c>
      <c r="R688" s="54" t="str">
        <f t="shared" si="24"/>
        <v/>
      </c>
    </row>
    <row r="689" spans="17:18" x14ac:dyDescent="0.3">
      <c r="Q689" t="str">
        <f t="shared" si="25"/>
        <v/>
      </c>
      <c r="R689" s="54" t="str">
        <f t="shared" si="24"/>
        <v/>
      </c>
    </row>
    <row r="690" spans="17:18" x14ac:dyDescent="0.3">
      <c r="Q690" t="str">
        <f t="shared" si="25"/>
        <v/>
      </c>
      <c r="R690" s="54" t="str">
        <f t="shared" si="24"/>
        <v/>
      </c>
    </row>
    <row r="691" spans="17:18" x14ac:dyDescent="0.3">
      <c r="Q691" t="str">
        <f t="shared" si="25"/>
        <v/>
      </c>
      <c r="R691" s="54" t="str">
        <f t="shared" si="24"/>
        <v/>
      </c>
    </row>
    <row r="692" spans="17:18" x14ac:dyDescent="0.3">
      <c r="Q692" t="str">
        <f t="shared" si="25"/>
        <v/>
      </c>
      <c r="R692" s="54" t="str">
        <f t="shared" si="24"/>
        <v/>
      </c>
    </row>
    <row r="693" spans="17:18" x14ac:dyDescent="0.3">
      <c r="Q693" t="str">
        <f t="shared" si="25"/>
        <v/>
      </c>
      <c r="R693" s="54" t="str">
        <f t="shared" si="24"/>
        <v/>
      </c>
    </row>
    <row r="694" spans="17:18" x14ac:dyDescent="0.3">
      <c r="Q694" t="str">
        <f t="shared" si="25"/>
        <v/>
      </c>
      <c r="R694" s="54" t="str">
        <f t="shared" si="24"/>
        <v/>
      </c>
    </row>
    <row r="695" spans="17:18" x14ac:dyDescent="0.3">
      <c r="Q695" t="str">
        <f t="shared" si="25"/>
        <v/>
      </c>
      <c r="R695" s="54" t="str">
        <f t="shared" si="24"/>
        <v/>
      </c>
    </row>
    <row r="696" spans="17:18" x14ac:dyDescent="0.3">
      <c r="Q696" t="str">
        <f t="shared" si="25"/>
        <v/>
      </c>
      <c r="R696" s="54" t="str">
        <f t="shared" si="24"/>
        <v/>
      </c>
    </row>
    <row r="697" spans="17:18" x14ac:dyDescent="0.3">
      <c r="Q697" t="str">
        <f t="shared" si="25"/>
        <v/>
      </c>
      <c r="R697" s="54" t="str">
        <f t="shared" si="24"/>
        <v/>
      </c>
    </row>
    <row r="698" spans="17:18" x14ac:dyDescent="0.3">
      <c r="Q698" t="str">
        <f t="shared" si="25"/>
        <v/>
      </c>
      <c r="R698" s="54" t="str">
        <f t="shared" si="24"/>
        <v/>
      </c>
    </row>
    <row r="699" spans="17:18" x14ac:dyDescent="0.3">
      <c r="Q699" t="str">
        <f t="shared" si="25"/>
        <v/>
      </c>
      <c r="R699" s="54" t="str">
        <f t="shared" si="24"/>
        <v/>
      </c>
    </row>
    <row r="700" spans="17:18" x14ac:dyDescent="0.3">
      <c r="Q700" t="str">
        <f t="shared" si="25"/>
        <v/>
      </c>
      <c r="R700" s="54" t="str">
        <f t="shared" si="24"/>
        <v/>
      </c>
    </row>
    <row r="701" spans="17:18" x14ac:dyDescent="0.3">
      <c r="Q701" t="str">
        <f t="shared" si="25"/>
        <v/>
      </c>
      <c r="R701" s="54" t="str">
        <f t="shared" si="24"/>
        <v/>
      </c>
    </row>
    <row r="702" spans="17:18" x14ac:dyDescent="0.3">
      <c r="Q702" t="str">
        <f t="shared" si="25"/>
        <v/>
      </c>
      <c r="R702" s="54" t="str">
        <f t="shared" si="24"/>
        <v/>
      </c>
    </row>
    <row r="703" spans="17:18" x14ac:dyDescent="0.3">
      <c r="Q703" t="str">
        <f t="shared" si="25"/>
        <v/>
      </c>
      <c r="R703" s="54" t="str">
        <f t="shared" si="24"/>
        <v/>
      </c>
    </row>
    <row r="704" spans="17:18" x14ac:dyDescent="0.3">
      <c r="Q704" t="str">
        <f t="shared" si="25"/>
        <v/>
      </c>
      <c r="R704" s="54" t="str">
        <f t="shared" si="24"/>
        <v/>
      </c>
    </row>
    <row r="705" spans="17:18" x14ac:dyDescent="0.3">
      <c r="Q705" t="str">
        <f t="shared" si="25"/>
        <v/>
      </c>
      <c r="R705" s="54" t="str">
        <f t="shared" si="24"/>
        <v/>
      </c>
    </row>
    <row r="706" spans="17:18" x14ac:dyDescent="0.3">
      <c r="Q706" t="str">
        <f t="shared" si="25"/>
        <v/>
      </c>
      <c r="R706" s="54" t="str">
        <f t="shared" si="24"/>
        <v/>
      </c>
    </row>
    <row r="707" spans="17:18" x14ac:dyDescent="0.3">
      <c r="Q707" t="str">
        <f t="shared" si="25"/>
        <v/>
      </c>
      <c r="R707" s="54" t="str">
        <f t="shared" ref="R707:R770" si="26">IF(F721="","",IFERROR(IF(ISNUMBER(F721),F721,DATEVALUE(F721)),""))</f>
        <v/>
      </c>
    </row>
    <row r="708" spans="17:18" x14ac:dyDescent="0.3">
      <c r="Q708" t="str">
        <f t="shared" si="25"/>
        <v/>
      </c>
      <c r="R708" s="54" t="str">
        <f t="shared" si="26"/>
        <v/>
      </c>
    </row>
    <row r="709" spans="17:18" x14ac:dyDescent="0.3">
      <c r="Q709" t="str">
        <f t="shared" si="25"/>
        <v/>
      </c>
      <c r="R709" s="54" t="str">
        <f t="shared" si="26"/>
        <v/>
      </c>
    </row>
    <row r="710" spans="17:18" x14ac:dyDescent="0.3">
      <c r="Q710" t="str">
        <f t="shared" si="25"/>
        <v/>
      </c>
      <c r="R710" s="54" t="str">
        <f t="shared" si="26"/>
        <v/>
      </c>
    </row>
    <row r="711" spans="17:18" x14ac:dyDescent="0.3">
      <c r="Q711" t="str">
        <f t="shared" si="25"/>
        <v/>
      </c>
      <c r="R711" s="54" t="str">
        <f t="shared" si="26"/>
        <v/>
      </c>
    </row>
    <row r="712" spans="17:18" x14ac:dyDescent="0.3">
      <c r="Q712" t="str">
        <f t="shared" si="25"/>
        <v/>
      </c>
      <c r="R712" s="54" t="str">
        <f t="shared" si="26"/>
        <v/>
      </c>
    </row>
    <row r="713" spans="17:18" x14ac:dyDescent="0.3">
      <c r="Q713" t="str">
        <f t="shared" si="25"/>
        <v/>
      </c>
      <c r="R713" s="54" t="str">
        <f t="shared" si="26"/>
        <v/>
      </c>
    </row>
    <row r="714" spans="17:18" x14ac:dyDescent="0.3">
      <c r="Q714" t="str">
        <f t="shared" si="25"/>
        <v/>
      </c>
      <c r="R714" s="54" t="str">
        <f t="shared" si="26"/>
        <v/>
      </c>
    </row>
    <row r="715" spans="17:18" x14ac:dyDescent="0.3">
      <c r="Q715" t="str">
        <f t="shared" si="25"/>
        <v/>
      </c>
      <c r="R715" s="54" t="str">
        <f t="shared" si="26"/>
        <v/>
      </c>
    </row>
    <row r="716" spans="17:18" x14ac:dyDescent="0.3">
      <c r="Q716" t="str">
        <f t="shared" si="25"/>
        <v/>
      </c>
      <c r="R716" s="54" t="str">
        <f t="shared" si="26"/>
        <v/>
      </c>
    </row>
    <row r="717" spans="17:18" x14ac:dyDescent="0.3">
      <c r="Q717" t="str">
        <f t="shared" si="25"/>
        <v/>
      </c>
      <c r="R717" s="54" t="str">
        <f t="shared" si="26"/>
        <v/>
      </c>
    </row>
    <row r="718" spans="17:18" x14ac:dyDescent="0.3">
      <c r="Q718" t="str">
        <f t="shared" si="25"/>
        <v/>
      </c>
      <c r="R718" s="54" t="str">
        <f t="shared" si="26"/>
        <v/>
      </c>
    </row>
    <row r="719" spans="17:18" x14ac:dyDescent="0.3">
      <c r="Q719" t="str">
        <f t="shared" si="25"/>
        <v/>
      </c>
      <c r="R719" s="54" t="str">
        <f t="shared" si="26"/>
        <v/>
      </c>
    </row>
    <row r="720" spans="17:18" x14ac:dyDescent="0.3">
      <c r="Q720" t="str">
        <f t="shared" si="25"/>
        <v/>
      </c>
      <c r="R720" s="54" t="str">
        <f t="shared" si="26"/>
        <v/>
      </c>
    </row>
    <row r="721" spans="17:18" x14ac:dyDescent="0.3">
      <c r="Q721" t="str">
        <f t="shared" si="25"/>
        <v/>
      </c>
      <c r="R721" s="54" t="str">
        <f t="shared" si="26"/>
        <v/>
      </c>
    </row>
    <row r="722" spans="17:18" x14ac:dyDescent="0.3">
      <c r="Q722" t="str">
        <f t="shared" si="25"/>
        <v/>
      </c>
      <c r="R722" s="54" t="str">
        <f t="shared" si="26"/>
        <v/>
      </c>
    </row>
    <row r="723" spans="17:18" x14ac:dyDescent="0.3">
      <c r="Q723" t="str">
        <f t="shared" si="25"/>
        <v/>
      </c>
      <c r="R723" s="54" t="str">
        <f t="shared" si="26"/>
        <v/>
      </c>
    </row>
    <row r="724" spans="17:18" x14ac:dyDescent="0.3">
      <c r="Q724" t="str">
        <f t="shared" si="25"/>
        <v/>
      </c>
      <c r="R724" s="54" t="str">
        <f t="shared" si="26"/>
        <v/>
      </c>
    </row>
    <row r="725" spans="17:18" x14ac:dyDescent="0.3">
      <c r="Q725" t="str">
        <f t="shared" si="25"/>
        <v/>
      </c>
      <c r="R725" s="54" t="str">
        <f t="shared" si="26"/>
        <v/>
      </c>
    </row>
    <row r="726" spans="17:18" x14ac:dyDescent="0.3">
      <c r="Q726" t="str">
        <f t="shared" si="25"/>
        <v/>
      </c>
      <c r="R726" s="54" t="str">
        <f t="shared" si="26"/>
        <v/>
      </c>
    </row>
    <row r="727" spans="17:18" x14ac:dyDescent="0.3">
      <c r="Q727" t="str">
        <f t="shared" ref="Q727:Q790" si="27">IF(COUNTA(A727:P727)=0,"",IF(ISNUMBER(SEARCH("-AR-",E741)),"Architectural",IF(ISNUMBER(SEARCH("-ST-",E741)),"Structural",IF(ISNUMBER(SEARCH("-ME-",E741)),"Mechanical",IF(ISNUMBER(SEARCH("-EL-",E741)),"Electrical",IF(ISNUMBER(SEARCH("-GE-",E741)),"General",IF(ISNUMBER(SEARCH("-AR-",D741)),"Architectural",IF(ISNUMBER(SEARCH("-ST-",D741)),"Structural",IF(ISNUMBER(SEARCH("-ME-",D741)),"Mechanical",IF(ISNUMBER(SEARCH("-EL-",D741)),"Electrical",IF(ISNUMBER(SEARCH("-GE-",D741)),"General","Other")))))))))))</f>
        <v/>
      </c>
      <c r="R727" s="54" t="str">
        <f t="shared" si="26"/>
        <v/>
      </c>
    </row>
    <row r="728" spans="17:18" x14ac:dyDescent="0.3">
      <c r="Q728" t="str">
        <f t="shared" si="27"/>
        <v/>
      </c>
      <c r="R728" s="54" t="str">
        <f t="shared" si="26"/>
        <v/>
      </c>
    </row>
    <row r="729" spans="17:18" x14ac:dyDescent="0.3">
      <c r="Q729" t="str">
        <f t="shared" si="27"/>
        <v/>
      </c>
      <c r="R729" s="54" t="str">
        <f t="shared" si="26"/>
        <v/>
      </c>
    </row>
    <row r="730" spans="17:18" x14ac:dyDescent="0.3">
      <c r="Q730" t="str">
        <f t="shared" si="27"/>
        <v/>
      </c>
      <c r="R730" s="54" t="str">
        <f t="shared" si="26"/>
        <v/>
      </c>
    </row>
    <row r="731" spans="17:18" x14ac:dyDescent="0.3">
      <c r="Q731" t="str">
        <f t="shared" si="27"/>
        <v/>
      </c>
      <c r="R731" s="54" t="str">
        <f t="shared" si="26"/>
        <v/>
      </c>
    </row>
    <row r="732" spans="17:18" x14ac:dyDescent="0.3">
      <c r="Q732" t="str">
        <f t="shared" si="27"/>
        <v/>
      </c>
      <c r="R732" s="54" t="str">
        <f t="shared" si="26"/>
        <v/>
      </c>
    </row>
    <row r="733" spans="17:18" x14ac:dyDescent="0.3">
      <c r="Q733" t="str">
        <f t="shared" si="27"/>
        <v/>
      </c>
      <c r="R733" s="54" t="str">
        <f t="shared" si="26"/>
        <v/>
      </c>
    </row>
    <row r="734" spans="17:18" x14ac:dyDescent="0.3">
      <c r="Q734" t="str">
        <f t="shared" si="27"/>
        <v/>
      </c>
      <c r="R734" s="54" t="str">
        <f t="shared" si="26"/>
        <v/>
      </c>
    </row>
    <row r="735" spans="17:18" x14ac:dyDescent="0.3">
      <c r="Q735" t="str">
        <f t="shared" si="27"/>
        <v/>
      </c>
      <c r="R735" s="54" t="str">
        <f t="shared" si="26"/>
        <v/>
      </c>
    </row>
    <row r="736" spans="17:18" x14ac:dyDescent="0.3">
      <c r="Q736" t="str">
        <f t="shared" si="27"/>
        <v/>
      </c>
      <c r="R736" s="54" t="str">
        <f t="shared" si="26"/>
        <v/>
      </c>
    </row>
    <row r="737" spans="17:18" x14ac:dyDescent="0.3">
      <c r="Q737" t="str">
        <f t="shared" si="27"/>
        <v/>
      </c>
      <c r="R737" s="54" t="str">
        <f t="shared" si="26"/>
        <v/>
      </c>
    </row>
    <row r="738" spans="17:18" x14ac:dyDescent="0.3">
      <c r="Q738" t="str">
        <f t="shared" si="27"/>
        <v/>
      </c>
      <c r="R738" s="54" t="str">
        <f t="shared" si="26"/>
        <v/>
      </c>
    </row>
    <row r="739" spans="17:18" x14ac:dyDescent="0.3">
      <c r="Q739" t="str">
        <f t="shared" si="27"/>
        <v/>
      </c>
      <c r="R739" s="54" t="str">
        <f t="shared" si="26"/>
        <v/>
      </c>
    </row>
    <row r="740" spans="17:18" x14ac:dyDescent="0.3">
      <c r="Q740" t="str">
        <f t="shared" si="27"/>
        <v/>
      </c>
      <c r="R740" s="54" t="str">
        <f t="shared" si="26"/>
        <v/>
      </c>
    </row>
    <row r="741" spans="17:18" x14ac:dyDescent="0.3">
      <c r="Q741" t="str">
        <f t="shared" si="27"/>
        <v/>
      </c>
      <c r="R741" s="54" t="str">
        <f t="shared" si="26"/>
        <v/>
      </c>
    </row>
    <row r="742" spans="17:18" x14ac:dyDescent="0.3">
      <c r="Q742" t="str">
        <f t="shared" si="27"/>
        <v/>
      </c>
      <c r="R742" s="54" t="str">
        <f t="shared" si="26"/>
        <v/>
      </c>
    </row>
    <row r="743" spans="17:18" x14ac:dyDescent="0.3">
      <c r="Q743" t="str">
        <f t="shared" si="27"/>
        <v/>
      </c>
      <c r="R743" s="54" t="str">
        <f t="shared" si="26"/>
        <v/>
      </c>
    </row>
    <row r="744" spans="17:18" x14ac:dyDescent="0.3">
      <c r="Q744" t="str">
        <f t="shared" si="27"/>
        <v/>
      </c>
      <c r="R744" s="54" t="str">
        <f t="shared" si="26"/>
        <v/>
      </c>
    </row>
    <row r="745" spans="17:18" x14ac:dyDescent="0.3">
      <c r="Q745" t="str">
        <f t="shared" si="27"/>
        <v/>
      </c>
      <c r="R745" s="54" t="str">
        <f t="shared" si="26"/>
        <v/>
      </c>
    </row>
    <row r="746" spans="17:18" x14ac:dyDescent="0.3">
      <c r="Q746" t="str">
        <f t="shared" si="27"/>
        <v/>
      </c>
      <c r="R746" s="54" t="str">
        <f t="shared" si="26"/>
        <v/>
      </c>
    </row>
    <row r="747" spans="17:18" x14ac:dyDescent="0.3">
      <c r="Q747" t="str">
        <f t="shared" si="27"/>
        <v/>
      </c>
      <c r="R747" s="54" t="str">
        <f t="shared" si="26"/>
        <v/>
      </c>
    </row>
    <row r="748" spans="17:18" x14ac:dyDescent="0.3">
      <c r="Q748" t="str">
        <f t="shared" si="27"/>
        <v/>
      </c>
      <c r="R748" s="54" t="str">
        <f t="shared" si="26"/>
        <v/>
      </c>
    </row>
    <row r="749" spans="17:18" x14ac:dyDescent="0.3">
      <c r="Q749" t="str">
        <f t="shared" si="27"/>
        <v/>
      </c>
      <c r="R749" s="54" t="str">
        <f t="shared" si="26"/>
        <v/>
      </c>
    </row>
    <row r="750" spans="17:18" x14ac:dyDescent="0.3">
      <c r="Q750" t="str">
        <f t="shared" si="27"/>
        <v/>
      </c>
      <c r="R750" s="54" t="str">
        <f t="shared" si="26"/>
        <v/>
      </c>
    </row>
    <row r="751" spans="17:18" x14ac:dyDescent="0.3">
      <c r="Q751" t="str">
        <f t="shared" si="27"/>
        <v/>
      </c>
      <c r="R751" s="54" t="str">
        <f t="shared" si="26"/>
        <v/>
      </c>
    </row>
    <row r="752" spans="17:18" x14ac:dyDescent="0.3">
      <c r="Q752" t="str">
        <f t="shared" si="27"/>
        <v/>
      </c>
      <c r="R752" s="54" t="str">
        <f t="shared" si="26"/>
        <v/>
      </c>
    </row>
    <row r="753" spans="17:18" x14ac:dyDescent="0.3">
      <c r="Q753" t="str">
        <f t="shared" si="27"/>
        <v/>
      </c>
      <c r="R753" s="54" t="str">
        <f t="shared" si="26"/>
        <v/>
      </c>
    </row>
    <row r="754" spans="17:18" x14ac:dyDescent="0.3">
      <c r="Q754" t="str">
        <f t="shared" si="27"/>
        <v/>
      </c>
      <c r="R754" s="54" t="str">
        <f t="shared" si="26"/>
        <v/>
      </c>
    </row>
    <row r="755" spans="17:18" x14ac:dyDescent="0.3">
      <c r="Q755" t="str">
        <f t="shared" si="27"/>
        <v/>
      </c>
      <c r="R755" s="54" t="str">
        <f t="shared" si="26"/>
        <v/>
      </c>
    </row>
    <row r="756" spans="17:18" x14ac:dyDescent="0.3">
      <c r="Q756" t="str">
        <f t="shared" si="27"/>
        <v/>
      </c>
      <c r="R756" s="54" t="str">
        <f t="shared" si="26"/>
        <v/>
      </c>
    </row>
    <row r="757" spans="17:18" x14ac:dyDescent="0.3">
      <c r="Q757" t="str">
        <f t="shared" si="27"/>
        <v/>
      </c>
      <c r="R757" s="54" t="str">
        <f t="shared" si="26"/>
        <v/>
      </c>
    </row>
    <row r="758" spans="17:18" x14ac:dyDescent="0.3">
      <c r="Q758" t="str">
        <f t="shared" si="27"/>
        <v/>
      </c>
      <c r="R758" s="54" t="str">
        <f t="shared" si="26"/>
        <v/>
      </c>
    </row>
    <row r="759" spans="17:18" x14ac:dyDescent="0.3">
      <c r="Q759" t="str">
        <f t="shared" si="27"/>
        <v/>
      </c>
      <c r="R759" s="54" t="str">
        <f t="shared" si="26"/>
        <v/>
      </c>
    </row>
    <row r="760" spans="17:18" x14ac:dyDescent="0.3">
      <c r="Q760" t="str">
        <f t="shared" si="27"/>
        <v/>
      </c>
      <c r="R760" s="54" t="str">
        <f t="shared" si="26"/>
        <v/>
      </c>
    </row>
    <row r="761" spans="17:18" x14ac:dyDescent="0.3">
      <c r="Q761" t="str">
        <f t="shared" si="27"/>
        <v/>
      </c>
      <c r="R761" s="54" t="str">
        <f t="shared" si="26"/>
        <v/>
      </c>
    </row>
    <row r="762" spans="17:18" x14ac:dyDescent="0.3">
      <c r="Q762" t="str">
        <f t="shared" si="27"/>
        <v/>
      </c>
      <c r="R762" s="54" t="str">
        <f t="shared" si="26"/>
        <v/>
      </c>
    </row>
    <row r="763" spans="17:18" x14ac:dyDescent="0.3">
      <c r="Q763" t="str">
        <f t="shared" si="27"/>
        <v/>
      </c>
      <c r="R763" s="54" t="str">
        <f t="shared" si="26"/>
        <v/>
      </c>
    </row>
    <row r="764" spans="17:18" x14ac:dyDescent="0.3">
      <c r="Q764" t="str">
        <f t="shared" si="27"/>
        <v/>
      </c>
      <c r="R764" s="54" t="str">
        <f t="shared" si="26"/>
        <v/>
      </c>
    </row>
    <row r="765" spans="17:18" x14ac:dyDescent="0.3">
      <c r="Q765" t="str">
        <f t="shared" si="27"/>
        <v/>
      </c>
      <c r="R765" s="54" t="str">
        <f t="shared" si="26"/>
        <v/>
      </c>
    </row>
    <row r="766" spans="17:18" x14ac:dyDescent="0.3">
      <c r="Q766" t="str">
        <f t="shared" si="27"/>
        <v/>
      </c>
      <c r="R766" s="54" t="str">
        <f t="shared" si="26"/>
        <v/>
      </c>
    </row>
    <row r="767" spans="17:18" x14ac:dyDescent="0.3">
      <c r="Q767" t="str">
        <f t="shared" si="27"/>
        <v/>
      </c>
      <c r="R767" s="54" t="str">
        <f t="shared" si="26"/>
        <v/>
      </c>
    </row>
    <row r="768" spans="17:18" x14ac:dyDescent="0.3">
      <c r="Q768" t="str">
        <f t="shared" si="27"/>
        <v/>
      </c>
      <c r="R768" s="54" t="str">
        <f t="shared" si="26"/>
        <v/>
      </c>
    </row>
    <row r="769" spans="17:18" x14ac:dyDescent="0.3">
      <c r="Q769" t="str">
        <f t="shared" si="27"/>
        <v/>
      </c>
      <c r="R769" s="54" t="str">
        <f t="shared" si="26"/>
        <v/>
      </c>
    </row>
    <row r="770" spans="17:18" x14ac:dyDescent="0.3">
      <c r="Q770" t="str">
        <f t="shared" si="27"/>
        <v/>
      </c>
      <c r="R770" s="54" t="str">
        <f t="shared" si="26"/>
        <v/>
      </c>
    </row>
    <row r="771" spans="17:18" x14ac:dyDescent="0.3">
      <c r="Q771" t="str">
        <f t="shared" si="27"/>
        <v/>
      </c>
      <c r="R771" s="54" t="str">
        <f t="shared" ref="R771:R834" si="28">IF(F785="","",IFERROR(IF(ISNUMBER(F785),F785,DATEVALUE(F785)),""))</f>
        <v/>
      </c>
    </row>
    <row r="772" spans="17:18" x14ac:dyDescent="0.3">
      <c r="Q772" t="str">
        <f t="shared" si="27"/>
        <v/>
      </c>
      <c r="R772" s="54" t="str">
        <f t="shared" si="28"/>
        <v/>
      </c>
    </row>
    <row r="773" spans="17:18" x14ac:dyDescent="0.3">
      <c r="Q773" t="str">
        <f t="shared" si="27"/>
        <v/>
      </c>
      <c r="R773" s="54" t="str">
        <f t="shared" si="28"/>
        <v/>
      </c>
    </row>
    <row r="774" spans="17:18" x14ac:dyDescent="0.3">
      <c r="Q774" t="str">
        <f t="shared" si="27"/>
        <v/>
      </c>
      <c r="R774" s="54" t="str">
        <f t="shared" si="28"/>
        <v/>
      </c>
    </row>
    <row r="775" spans="17:18" x14ac:dyDescent="0.3">
      <c r="Q775" t="str">
        <f t="shared" si="27"/>
        <v/>
      </c>
      <c r="R775" s="54" t="str">
        <f t="shared" si="28"/>
        <v/>
      </c>
    </row>
    <row r="776" spans="17:18" x14ac:dyDescent="0.3">
      <c r="Q776" t="str">
        <f t="shared" si="27"/>
        <v/>
      </c>
      <c r="R776" s="54" t="str">
        <f t="shared" si="28"/>
        <v/>
      </c>
    </row>
    <row r="777" spans="17:18" x14ac:dyDescent="0.3">
      <c r="Q777" t="str">
        <f t="shared" si="27"/>
        <v/>
      </c>
      <c r="R777" s="54" t="str">
        <f t="shared" si="28"/>
        <v/>
      </c>
    </row>
    <row r="778" spans="17:18" x14ac:dyDescent="0.3">
      <c r="Q778" t="str">
        <f t="shared" si="27"/>
        <v/>
      </c>
      <c r="R778" s="54" t="str">
        <f t="shared" si="28"/>
        <v/>
      </c>
    </row>
    <row r="779" spans="17:18" x14ac:dyDescent="0.3">
      <c r="Q779" t="str">
        <f t="shared" si="27"/>
        <v/>
      </c>
      <c r="R779" s="54" t="str">
        <f t="shared" si="28"/>
        <v/>
      </c>
    </row>
    <row r="780" spans="17:18" x14ac:dyDescent="0.3">
      <c r="Q780" t="str">
        <f t="shared" si="27"/>
        <v/>
      </c>
      <c r="R780" s="54" t="str">
        <f t="shared" si="28"/>
        <v/>
      </c>
    </row>
    <row r="781" spans="17:18" x14ac:dyDescent="0.3">
      <c r="Q781" t="str">
        <f t="shared" si="27"/>
        <v/>
      </c>
      <c r="R781" s="54" t="str">
        <f t="shared" si="28"/>
        <v/>
      </c>
    </row>
    <row r="782" spans="17:18" x14ac:dyDescent="0.3">
      <c r="Q782" t="str">
        <f t="shared" si="27"/>
        <v/>
      </c>
      <c r="R782" s="54" t="str">
        <f t="shared" si="28"/>
        <v/>
      </c>
    </row>
    <row r="783" spans="17:18" x14ac:dyDescent="0.3">
      <c r="Q783" t="str">
        <f t="shared" si="27"/>
        <v/>
      </c>
      <c r="R783" s="54" t="str">
        <f t="shared" si="28"/>
        <v/>
      </c>
    </row>
    <row r="784" spans="17:18" x14ac:dyDescent="0.3">
      <c r="Q784" t="str">
        <f t="shared" si="27"/>
        <v/>
      </c>
      <c r="R784" s="54" t="str">
        <f t="shared" si="28"/>
        <v/>
      </c>
    </row>
    <row r="785" spans="17:18" x14ac:dyDescent="0.3">
      <c r="Q785" t="str">
        <f t="shared" si="27"/>
        <v/>
      </c>
      <c r="R785" s="54" t="str">
        <f t="shared" si="28"/>
        <v/>
      </c>
    </row>
    <row r="786" spans="17:18" x14ac:dyDescent="0.3">
      <c r="Q786" t="str">
        <f t="shared" si="27"/>
        <v/>
      </c>
      <c r="R786" s="54" t="str">
        <f t="shared" si="28"/>
        <v/>
      </c>
    </row>
    <row r="787" spans="17:18" x14ac:dyDescent="0.3">
      <c r="Q787" t="str">
        <f t="shared" si="27"/>
        <v/>
      </c>
      <c r="R787" s="54" t="str">
        <f t="shared" si="28"/>
        <v/>
      </c>
    </row>
    <row r="788" spans="17:18" x14ac:dyDescent="0.3">
      <c r="Q788" t="str">
        <f t="shared" si="27"/>
        <v/>
      </c>
      <c r="R788" s="54" t="str">
        <f t="shared" si="28"/>
        <v/>
      </c>
    </row>
    <row r="789" spans="17:18" x14ac:dyDescent="0.3">
      <c r="Q789" t="str">
        <f t="shared" si="27"/>
        <v/>
      </c>
      <c r="R789" s="54" t="str">
        <f t="shared" si="28"/>
        <v/>
      </c>
    </row>
    <row r="790" spans="17:18" x14ac:dyDescent="0.3">
      <c r="Q790" t="str">
        <f t="shared" si="27"/>
        <v/>
      </c>
      <c r="R790" s="54" t="str">
        <f t="shared" si="28"/>
        <v/>
      </c>
    </row>
    <row r="791" spans="17:18" x14ac:dyDescent="0.3">
      <c r="Q791" t="str">
        <f t="shared" ref="Q791:Q854" si="29">IF(COUNTA(A791:P791)=0,"",IF(ISNUMBER(SEARCH("-AR-",E805)),"Architectural",IF(ISNUMBER(SEARCH("-ST-",E805)),"Structural",IF(ISNUMBER(SEARCH("-ME-",E805)),"Mechanical",IF(ISNUMBER(SEARCH("-EL-",E805)),"Electrical",IF(ISNUMBER(SEARCH("-GE-",E805)),"General",IF(ISNUMBER(SEARCH("-AR-",D805)),"Architectural",IF(ISNUMBER(SEARCH("-ST-",D805)),"Structural",IF(ISNUMBER(SEARCH("-ME-",D805)),"Mechanical",IF(ISNUMBER(SEARCH("-EL-",D805)),"Electrical",IF(ISNUMBER(SEARCH("-GE-",D805)),"General","Other")))))))))))</f>
        <v/>
      </c>
      <c r="R791" s="54" t="str">
        <f t="shared" si="28"/>
        <v/>
      </c>
    </row>
    <row r="792" spans="17:18" x14ac:dyDescent="0.3">
      <c r="Q792" t="str">
        <f t="shared" si="29"/>
        <v/>
      </c>
      <c r="R792" s="54" t="str">
        <f t="shared" si="28"/>
        <v/>
      </c>
    </row>
    <row r="793" spans="17:18" x14ac:dyDescent="0.3">
      <c r="Q793" t="str">
        <f t="shared" si="29"/>
        <v/>
      </c>
      <c r="R793" s="54" t="str">
        <f t="shared" si="28"/>
        <v/>
      </c>
    </row>
    <row r="794" spans="17:18" x14ac:dyDescent="0.3">
      <c r="Q794" t="str">
        <f t="shared" si="29"/>
        <v/>
      </c>
      <c r="R794" s="54" t="str">
        <f t="shared" si="28"/>
        <v/>
      </c>
    </row>
    <row r="795" spans="17:18" x14ac:dyDescent="0.3">
      <c r="Q795" t="str">
        <f t="shared" si="29"/>
        <v/>
      </c>
      <c r="R795" s="54" t="str">
        <f t="shared" si="28"/>
        <v/>
      </c>
    </row>
    <row r="796" spans="17:18" x14ac:dyDescent="0.3">
      <c r="Q796" t="str">
        <f t="shared" si="29"/>
        <v/>
      </c>
      <c r="R796" s="54" t="str">
        <f t="shared" si="28"/>
        <v/>
      </c>
    </row>
    <row r="797" spans="17:18" x14ac:dyDescent="0.3">
      <c r="Q797" t="str">
        <f t="shared" si="29"/>
        <v/>
      </c>
      <c r="R797" s="54" t="str">
        <f t="shared" si="28"/>
        <v/>
      </c>
    </row>
    <row r="798" spans="17:18" x14ac:dyDescent="0.3">
      <c r="Q798" t="str">
        <f t="shared" si="29"/>
        <v/>
      </c>
      <c r="R798" s="54" t="str">
        <f t="shared" si="28"/>
        <v/>
      </c>
    </row>
    <row r="799" spans="17:18" x14ac:dyDescent="0.3">
      <c r="Q799" t="str">
        <f t="shared" si="29"/>
        <v/>
      </c>
      <c r="R799" s="54" t="str">
        <f t="shared" si="28"/>
        <v/>
      </c>
    </row>
    <row r="800" spans="17:18" x14ac:dyDescent="0.3">
      <c r="Q800" t="str">
        <f t="shared" si="29"/>
        <v/>
      </c>
      <c r="R800" s="54" t="str">
        <f t="shared" si="28"/>
        <v/>
      </c>
    </row>
    <row r="801" spans="17:18" x14ac:dyDescent="0.3">
      <c r="Q801" t="str">
        <f t="shared" si="29"/>
        <v/>
      </c>
      <c r="R801" s="54" t="str">
        <f t="shared" si="28"/>
        <v/>
      </c>
    </row>
    <row r="802" spans="17:18" x14ac:dyDescent="0.3">
      <c r="Q802" t="str">
        <f t="shared" si="29"/>
        <v/>
      </c>
      <c r="R802" s="54" t="str">
        <f t="shared" si="28"/>
        <v/>
      </c>
    </row>
    <row r="803" spans="17:18" x14ac:dyDescent="0.3">
      <c r="Q803" t="str">
        <f t="shared" si="29"/>
        <v/>
      </c>
      <c r="R803" s="54" t="str">
        <f t="shared" si="28"/>
        <v/>
      </c>
    </row>
    <row r="804" spans="17:18" x14ac:dyDescent="0.3">
      <c r="Q804" t="str">
        <f t="shared" si="29"/>
        <v/>
      </c>
      <c r="R804" s="54" t="str">
        <f t="shared" si="28"/>
        <v/>
      </c>
    </row>
    <row r="805" spans="17:18" x14ac:dyDescent="0.3">
      <c r="Q805" t="str">
        <f t="shared" si="29"/>
        <v/>
      </c>
      <c r="R805" s="54" t="str">
        <f t="shared" si="28"/>
        <v/>
      </c>
    </row>
    <row r="806" spans="17:18" x14ac:dyDescent="0.3">
      <c r="Q806" t="str">
        <f t="shared" si="29"/>
        <v/>
      </c>
      <c r="R806" s="54" t="str">
        <f t="shared" si="28"/>
        <v/>
      </c>
    </row>
    <row r="807" spans="17:18" x14ac:dyDescent="0.3">
      <c r="Q807" t="str">
        <f t="shared" si="29"/>
        <v/>
      </c>
      <c r="R807" s="54" t="str">
        <f t="shared" si="28"/>
        <v/>
      </c>
    </row>
    <row r="808" spans="17:18" x14ac:dyDescent="0.3">
      <c r="Q808" t="str">
        <f t="shared" si="29"/>
        <v/>
      </c>
      <c r="R808" s="54" t="str">
        <f t="shared" si="28"/>
        <v/>
      </c>
    </row>
    <row r="809" spans="17:18" x14ac:dyDescent="0.3">
      <c r="Q809" t="str">
        <f t="shared" si="29"/>
        <v/>
      </c>
      <c r="R809" s="54" t="str">
        <f t="shared" si="28"/>
        <v/>
      </c>
    </row>
    <row r="810" spans="17:18" x14ac:dyDescent="0.3">
      <c r="Q810" t="str">
        <f t="shared" si="29"/>
        <v/>
      </c>
      <c r="R810" s="54" t="str">
        <f t="shared" si="28"/>
        <v/>
      </c>
    </row>
    <row r="811" spans="17:18" x14ac:dyDescent="0.3">
      <c r="Q811" t="str">
        <f t="shared" si="29"/>
        <v/>
      </c>
      <c r="R811" s="54" t="str">
        <f t="shared" si="28"/>
        <v/>
      </c>
    </row>
    <row r="812" spans="17:18" x14ac:dyDescent="0.3">
      <c r="Q812" t="str">
        <f t="shared" si="29"/>
        <v/>
      </c>
      <c r="R812" s="54" t="str">
        <f t="shared" si="28"/>
        <v/>
      </c>
    </row>
    <row r="813" spans="17:18" x14ac:dyDescent="0.3">
      <c r="Q813" t="str">
        <f t="shared" si="29"/>
        <v/>
      </c>
      <c r="R813" s="54" t="str">
        <f t="shared" si="28"/>
        <v/>
      </c>
    </row>
    <row r="814" spans="17:18" x14ac:dyDescent="0.3">
      <c r="Q814" t="str">
        <f t="shared" si="29"/>
        <v/>
      </c>
      <c r="R814" s="54" t="str">
        <f t="shared" si="28"/>
        <v/>
      </c>
    </row>
    <row r="815" spans="17:18" x14ac:dyDescent="0.3">
      <c r="Q815" t="str">
        <f t="shared" si="29"/>
        <v/>
      </c>
      <c r="R815" s="54" t="str">
        <f t="shared" si="28"/>
        <v/>
      </c>
    </row>
    <row r="816" spans="17:18" x14ac:dyDescent="0.3">
      <c r="Q816" t="str">
        <f t="shared" si="29"/>
        <v/>
      </c>
      <c r="R816" s="54" t="str">
        <f t="shared" si="28"/>
        <v/>
      </c>
    </row>
    <row r="817" spans="17:18" x14ac:dyDescent="0.3">
      <c r="Q817" t="str">
        <f t="shared" si="29"/>
        <v/>
      </c>
      <c r="R817" s="54" t="str">
        <f t="shared" si="28"/>
        <v/>
      </c>
    </row>
    <row r="818" spans="17:18" x14ac:dyDescent="0.3">
      <c r="Q818" t="str">
        <f t="shared" si="29"/>
        <v/>
      </c>
      <c r="R818" s="54" t="str">
        <f t="shared" si="28"/>
        <v/>
      </c>
    </row>
    <row r="819" spans="17:18" x14ac:dyDescent="0.3">
      <c r="Q819" t="str">
        <f t="shared" si="29"/>
        <v/>
      </c>
      <c r="R819" s="54" t="str">
        <f t="shared" si="28"/>
        <v/>
      </c>
    </row>
    <row r="820" spans="17:18" x14ac:dyDescent="0.3">
      <c r="Q820" t="str">
        <f t="shared" si="29"/>
        <v/>
      </c>
      <c r="R820" s="54" t="str">
        <f t="shared" si="28"/>
        <v/>
      </c>
    </row>
    <row r="821" spans="17:18" x14ac:dyDescent="0.3">
      <c r="Q821" t="str">
        <f t="shared" si="29"/>
        <v/>
      </c>
      <c r="R821" s="54" t="str">
        <f t="shared" si="28"/>
        <v/>
      </c>
    </row>
    <row r="822" spans="17:18" x14ac:dyDescent="0.3">
      <c r="Q822" t="str">
        <f t="shared" si="29"/>
        <v/>
      </c>
      <c r="R822" s="54" t="str">
        <f t="shared" si="28"/>
        <v/>
      </c>
    </row>
    <row r="823" spans="17:18" x14ac:dyDescent="0.3">
      <c r="Q823" t="str">
        <f t="shared" si="29"/>
        <v/>
      </c>
      <c r="R823" s="54" t="str">
        <f t="shared" si="28"/>
        <v/>
      </c>
    </row>
    <row r="824" spans="17:18" x14ac:dyDescent="0.3">
      <c r="Q824" t="str">
        <f t="shared" si="29"/>
        <v/>
      </c>
      <c r="R824" s="54" t="str">
        <f t="shared" si="28"/>
        <v/>
      </c>
    </row>
    <row r="825" spans="17:18" x14ac:dyDescent="0.3">
      <c r="Q825" t="str">
        <f t="shared" si="29"/>
        <v/>
      </c>
      <c r="R825" s="54" t="str">
        <f t="shared" si="28"/>
        <v/>
      </c>
    </row>
    <row r="826" spans="17:18" x14ac:dyDescent="0.3">
      <c r="Q826" t="str">
        <f t="shared" si="29"/>
        <v/>
      </c>
      <c r="R826" s="54" t="str">
        <f t="shared" si="28"/>
        <v/>
      </c>
    </row>
    <row r="827" spans="17:18" x14ac:dyDescent="0.3">
      <c r="Q827" t="str">
        <f t="shared" si="29"/>
        <v/>
      </c>
      <c r="R827" s="54" t="str">
        <f t="shared" si="28"/>
        <v/>
      </c>
    </row>
    <row r="828" spans="17:18" x14ac:dyDescent="0.3">
      <c r="Q828" t="str">
        <f t="shared" si="29"/>
        <v/>
      </c>
      <c r="R828" s="54" t="str">
        <f t="shared" si="28"/>
        <v/>
      </c>
    </row>
    <row r="829" spans="17:18" x14ac:dyDescent="0.3">
      <c r="Q829" t="str">
        <f t="shared" si="29"/>
        <v/>
      </c>
      <c r="R829" s="54" t="str">
        <f t="shared" si="28"/>
        <v/>
      </c>
    </row>
    <row r="830" spans="17:18" x14ac:dyDescent="0.3">
      <c r="Q830" t="str">
        <f t="shared" si="29"/>
        <v/>
      </c>
      <c r="R830" s="54" t="str">
        <f t="shared" si="28"/>
        <v/>
      </c>
    </row>
    <row r="831" spans="17:18" x14ac:dyDescent="0.3">
      <c r="Q831" t="str">
        <f t="shared" si="29"/>
        <v/>
      </c>
      <c r="R831" s="54" t="str">
        <f t="shared" si="28"/>
        <v/>
      </c>
    </row>
    <row r="832" spans="17:18" x14ac:dyDescent="0.3">
      <c r="Q832" t="str">
        <f t="shared" si="29"/>
        <v/>
      </c>
      <c r="R832" s="54" t="str">
        <f t="shared" si="28"/>
        <v/>
      </c>
    </row>
    <row r="833" spans="17:18" x14ac:dyDescent="0.3">
      <c r="Q833" t="str">
        <f t="shared" si="29"/>
        <v/>
      </c>
      <c r="R833" s="54" t="str">
        <f t="shared" si="28"/>
        <v/>
      </c>
    </row>
    <row r="834" spans="17:18" x14ac:dyDescent="0.3">
      <c r="Q834" t="str">
        <f t="shared" si="29"/>
        <v/>
      </c>
      <c r="R834" s="54" t="str">
        <f t="shared" si="28"/>
        <v/>
      </c>
    </row>
    <row r="835" spans="17:18" x14ac:dyDescent="0.3">
      <c r="Q835" t="str">
        <f t="shared" si="29"/>
        <v/>
      </c>
      <c r="R835" s="54" t="str">
        <f t="shared" ref="R835:R898" si="30">IF(F849="","",IFERROR(IF(ISNUMBER(F849),F849,DATEVALUE(F849)),""))</f>
        <v/>
      </c>
    </row>
    <row r="836" spans="17:18" x14ac:dyDescent="0.3">
      <c r="Q836" t="str">
        <f t="shared" si="29"/>
        <v/>
      </c>
      <c r="R836" s="54" t="str">
        <f t="shared" si="30"/>
        <v/>
      </c>
    </row>
    <row r="837" spans="17:18" x14ac:dyDescent="0.3">
      <c r="Q837" t="str">
        <f t="shared" si="29"/>
        <v/>
      </c>
      <c r="R837" s="54" t="str">
        <f t="shared" si="30"/>
        <v/>
      </c>
    </row>
    <row r="838" spans="17:18" x14ac:dyDescent="0.3">
      <c r="Q838" t="str">
        <f t="shared" si="29"/>
        <v/>
      </c>
      <c r="R838" s="54" t="str">
        <f t="shared" si="30"/>
        <v/>
      </c>
    </row>
    <row r="839" spans="17:18" x14ac:dyDescent="0.3">
      <c r="Q839" t="str">
        <f t="shared" si="29"/>
        <v/>
      </c>
      <c r="R839" s="54" t="str">
        <f t="shared" si="30"/>
        <v/>
      </c>
    </row>
    <row r="840" spans="17:18" x14ac:dyDescent="0.3">
      <c r="Q840" t="str">
        <f t="shared" si="29"/>
        <v/>
      </c>
      <c r="R840" s="54" t="str">
        <f t="shared" si="30"/>
        <v/>
      </c>
    </row>
    <row r="841" spans="17:18" x14ac:dyDescent="0.3">
      <c r="Q841" t="str">
        <f t="shared" si="29"/>
        <v/>
      </c>
      <c r="R841" s="54" t="str">
        <f t="shared" si="30"/>
        <v/>
      </c>
    </row>
    <row r="842" spans="17:18" x14ac:dyDescent="0.3">
      <c r="Q842" t="str">
        <f t="shared" si="29"/>
        <v/>
      </c>
      <c r="R842" s="54" t="str">
        <f t="shared" si="30"/>
        <v/>
      </c>
    </row>
    <row r="843" spans="17:18" x14ac:dyDescent="0.3">
      <c r="Q843" t="str">
        <f t="shared" si="29"/>
        <v/>
      </c>
      <c r="R843" s="54" t="str">
        <f t="shared" si="30"/>
        <v/>
      </c>
    </row>
    <row r="844" spans="17:18" x14ac:dyDescent="0.3">
      <c r="Q844" t="str">
        <f t="shared" si="29"/>
        <v/>
      </c>
      <c r="R844" s="54" t="str">
        <f t="shared" si="30"/>
        <v/>
      </c>
    </row>
    <row r="845" spans="17:18" x14ac:dyDescent="0.3">
      <c r="Q845" t="str">
        <f t="shared" si="29"/>
        <v/>
      </c>
      <c r="R845" s="54" t="str">
        <f t="shared" si="30"/>
        <v/>
      </c>
    </row>
    <row r="846" spans="17:18" x14ac:dyDescent="0.3">
      <c r="Q846" t="str">
        <f t="shared" si="29"/>
        <v/>
      </c>
      <c r="R846" s="54" t="str">
        <f t="shared" si="30"/>
        <v/>
      </c>
    </row>
    <row r="847" spans="17:18" x14ac:dyDescent="0.3">
      <c r="Q847" t="str">
        <f t="shared" si="29"/>
        <v/>
      </c>
      <c r="R847" s="54" t="str">
        <f t="shared" si="30"/>
        <v/>
      </c>
    </row>
    <row r="848" spans="17:18" x14ac:dyDescent="0.3">
      <c r="Q848" t="str">
        <f t="shared" si="29"/>
        <v/>
      </c>
      <c r="R848" s="54" t="str">
        <f t="shared" si="30"/>
        <v/>
      </c>
    </row>
    <row r="849" spans="17:18" x14ac:dyDescent="0.3">
      <c r="Q849" t="str">
        <f t="shared" si="29"/>
        <v/>
      </c>
      <c r="R849" s="54" t="str">
        <f t="shared" si="30"/>
        <v/>
      </c>
    </row>
    <row r="850" spans="17:18" x14ac:dyDescent="0.3">
      <c r="Q850" t="str">
        <f t="shared" si="29"/>
        <v/>
      </c>
      <c r="R850" s="54" t="str">
        <f t="shared" si="30"/>
        <v/>
      </c>
    </row>
    <row r="851" spans="17:18" x14ac:dyDescent="0.3">
      <c r="Q851" t="str">
        <f t="shared" si="29"/>
        <v/>
      </c>
      <c r="R851" s="54" t="str">
        <f t="shared" si="30"/>
        <v/>
      </c>
    </row>
    <row r="852" spans="17:18" x14ac:dyDescent="0.3">
      <c r="Q852" t="str">
        <f t="shared" si="29"/>
        <v/>
      </c>
      <c r="R852" s="54" t="str">
        <f t="shared" si="30"/>
        <v/>
      </c>
    </row>
    <row r="853" spans="17:18" x14ac:dyDescent="0.3">
      <c r="Q853" t="str">
        <f t="shared" si="29"/>
        <v/>
      </c>
      <c r="R853" s="54" t="str">
        <f t="shared" si="30"/>
        <v/>
      </c>
    </row>
    <row r="854" spans="17:18" x14ac:dyDescent="0.3">
      <c r="Q854" t="str">
        <f t="shared" si="29"/>
        <v/>
      </c>
      <c r="R854" s="54" t="str">
        <f t="shared" si="30"/>
        <v/>
      </c>
    </row>
    <row r="855" spans="17:18" x14ac:dyDescent="0.3">
      <c r="Q855" t="str">
        <f t="shared" ref="Q855:Q918" si="31">IF(COUNTA(A855:P855)=0,"",IF(ISNUMBER(SEARCH("-AR-",E869)),"Architectural",IF(ISNUMBER(SEARCH("-ST-",E869)),"Structural",IF(ISNUMBER(SEARCH("-ME-",E869)),"Mechanical",IF(ISNUMBER(SEARCH("-EL-",E869)),"Electrical",IF(ISNUMBER(SEARCH("-GE-",E869)),"General",IF(ISNUMBER(SEARCH("-AR-",D869)),"Architectural",IF(ISNUMBER(SEARCH("-ST-",D869)),"Structural",IF(ISNUMBER(SEARCH("-ME-",D869)),"Mechanical",IF(ISNUMBER(SEARCH("-EL-",D869)),"Electrical",IF(ISNUMBER(SEARCH("-GE-",D869)),"General","Other")))))))))))</f>
        <v/>
      </c>
      <c r="R855" s="54" t="str">
        <f t="shared" si="30"/>
        <v/>
      </c>
    </row>
    <row r="856" spans="17:18" x14ac:dyDescent="0.3">
      <c r="Q856" t="str">
        <f t="shared" si="31"/>
        <v/>
      </c>
      <c r="R856" s="54" t="str">
        <f t="shared" si="30"/>
        <v/>
      </c>
    </row>
    <row r="857" spans="17:18" x14ac:dyDescent="0.3">
      <c r="Q857" t="str">
        <f t="shared" si="31"/>
        <v/>
      </c>
      <c r="R857" s="54" t="str">
        <f t="shared" si="30"/>
        <v/>
      </c>
    </row>
    <row r="858" spans="17:18" x14ac:dyDescent="0.3">
      <c r="Q858" t="str">
        <f t="shared" si="31"/>
        <v/>
      </c>
      <c r="R858" s="54" t="str">
        <f t="shared" si="30"/>
        <v/>
      </c>
    </row>
    <row r="859" spans="17:18" x14ac:dyDescent="0.3">
      <c r="Q859" t="str">
        <f t="shared" si="31"/>
        <v/>
      </c>
      <c r="R859" s="54" t="str">
        <f t="shared" si="30"/>
        <v/>
      </c>
    </row>
    <row r="860" spans="17:18" x14ac:dyDescent="0.3">
      <c r="Q860" t="str">
        <f t="shared" si="31"/>
        <v/>
      </c>
      <c r="R860" s="54" t="str">
        <f t="shared" si="30"/>
        <v/>
      </c>
    </row>
    <row r="861" spans="17:18" x14ac:dyDescent="0.3">
      <c r="Q861" t="str">
        <f t="shared" si="31"/>
        <v/>
      </c>
      <c r="R861" s="54" t="str">
        <f t="shared" si="30"/>
        <v/>
      </c>
    </row>
    <row r="862" spans="17:18" x14ac:dyDescent="0.3">
      <c r="Q862" t="str">
        <f t="shared" si="31"/>
        <v/>
      </c>
      <c r="R862" s="54" t="str">
        <f t="shared" si="30"/>
        <v/>
      </c>
    </row>
    <row r="863" spans="17:18" x14ac:dyDescent="0.3">
      <c r="Q863" t="str">
        <f t="shared" si="31"/>
        <v/>
      </c>
      <c r="R863" s="54" t="str">
        <f t="shared" si="30"/>
        <v/>
      </c>
    </row>
    <row r="864" spans="17:18" x14ac:dyDescent="0.3">
      <c r="Q864" t="str">
        <f t="shared" si="31"/>
        <v/>
      </c>
      <c r="R864" s="54" t="str">
        <f t="shared" si="30"/>
        <v/>
      </c>
    </row>
    <row r="865" spans="17:18" x14ac:dyDescent="0.3">
      <c r="Q865" t="str">
        <f t="shared" si="31"/>
        <v/>
      </c>
      <c r="R865" s="54" t="str">
        <f t="shared" si="30"/>
        <v/>
      </c>
    </row>
    <row r="866" spans="17:18" x14ac:dyDescent="0.3">
      <c r="Q866" t="str">
        <f t="shared" si="31"/>
        <v/>
      </c>
      <c r="R866" s="54" t="str">
        <f t="shared" si="30"/>
        <v/>
      </c>
    </row>
    <row r="867" spans="17:18" x14ac:dyDescent="0.3">
      <c r="Q867" t="str">
        <f t="shared" si="31"/>
        <v/>
      </c>
      <c r="R867" s="54" t="str">
        <f t="shared" si="30"/>
        <v/>
      </c>
    </row>
    <row r="868" spans="17:18" x14ac:dyDescent="0.3">
      <c r="Q868" t="str">
        <f t="shared" si="31"/>
        <v/>
      </c>
      <c r="R868" s="54" t="str">
        <f t="shared" si="30"/>
        <v/>
      </c>
    </row>
    <row r="869" spans="17:18" x14ac:dyDescent="0.3">
      <c r="Q869" t="str">
        <f t="shared" si="31"/>
        <v/>
      </c>
      <c r="R869" s="54" t="str">
        <f t="shared" si="30"/>
        <v/>
      </c>
    </row>
    <row r="870" spans="17:18" x14ac:dyDescent="0.3">
      <c r="Q870" t="str">
        <f t="shared" si="31"/>
        <v/>
      </c>
      <c r="R870" s="54" t="str">
        <f t="shared" si="30"/>
        <v/>
      </c>
    </row>
    <row r="871" spans="17:18" x14ac:dyDescent="0.3">
      <c r="Q871" t="str">
        <f t="shared" si="31"/>
        <v/>
      </c>
      <c r="R871" s="54" t="str">
        <f t="shared" si="30"/>
        <v/>
      </c>
    </row>
    <row r="872" spans="17:18" x14ac:dyDescent="0.3">
      <c r="Q872" t="str">
        <f t="shared" si="31"/>
        <v/>
      </c>
      <c r="R872" s="54" t="str">
        <f t="shared" si="30"/>
        <v/>
      </c>
    </row>
    <row r="873" spans="17:18" x14ac:dyDescent="0.3">
      <c r="Q873" t="str">
        <f t="shared" si="31"/>
        <v/>
      </c>
      <c r="R873" s="54" t="str">
        <f t="shared" si="30"/>
        <v/>
      </c>
    </row>
    <row r="874" spans="17:18" x14ac:dyDescent="0.3">
      <c r="Q874" t="str">
        <f t="shared" si="31"/>
        <v/>
      </c>
      <c r="R874" s="54" t="str">
        <f t="shared" si="30"/>
        <v/>
      </c>
    </row>
    <row r="875" spans="17:18" x14ac:dyDescent="0.3">
      <c r="Q875" t="str">
        <f t="shared" si="31"/>
        <v/>
      </c>
      <c r="R875" s="54" t="str">
        <f t="shared" si="30"/>
        <v/>
      </c>
    </row>
    <row r="876" spans="17:18" x14ac:dyDescent="0.3">
      <c r="Q876" t="str">
        <f t="shared" si="31"/>
        <v/>
      </c>
      <c r="R876" s="54" t="str">
        <f t="shared" si="30"/>
        <v/>
      </c>
    </row>
    <row r="877" spans="17:18" x14ac:dyDescent="0.3">
      <c r="Q877" t="str">
        <f t="shared" si="31"/>
        <v/>
      </c>
      <c r="R877" s="54" t="str">
        <f t="shared" si="30"/>
        <v/>
      </c>
    </row>
    <row r="878" spans="17:18" x14ac:dyDescent="0.3">
      <c r="Q878" t="str">
        <f t="shared" si="31"/>
        <v/>
      </c>
      <c r="R878" s="54" t="str">
        <f t="shared" si="30"/>
        <v/>
      </c>
    </row>
    <row r="879" spans="17:18" x14ac:dyDescent="0.3">
      <c r="Q879" t="str">
        <f t="shared" si="31"/>
        <v/>
      </c>
      <c r="R879" s="54" t="str">
        <f t="shared" si="30"/>
        <v/>
      </c>
    </row>
    <row r="880" spans="17:18" x14ac:dyDescent="0.3">
      <c r="Q880" t="str">
        <f t="shared" si="31"/>
        <v/>
      </c>
      <c r="R880" s="54" t="str">
        <f t="shared" si="30"/>
        <v/>
      </c>
    </row>
    <row r="881" spans="17:18" x14ac:dyDescent="0.3">
      <c r="Q881" t="str">
        <f t="shared" si="31"/>
        <v/>
      </c>
      <c r="R881" s="54" t="str">
        <f t="shared" si="30"/>
        <v/>
      </c>
    </row>
    <row r="882" spans="17:18" x14ac:dyDescent="0.3">
      <c r="Q882" t="str">
        <f t="shared" si="31"/>
        <v/>
      </c>
      <c r="R882" s="54" t="str">
        <f t="shared" si="30"/>
        <v/>
      </c>
    </row>
    <row r="883" spans="17:18" x14ac:dyDescent="0.3">
      <c r="Q883" t="str">
        <f t="shared" si="31"/>
        <v/>
      </c>
      <c r="R883" s="54" t="str">
        <f t="shared" si="30"/>
        <v/>
      </c>
    </row>
    <row r="884" spans="17:18" x14ac:dyDescent="0.3">
      <c r="Q884" t="str">
        <f t="shared" si="31"/>
        <v/>
      </c>
      <c r="R884" s="54" t="str">
        <f t="shared" si="30"/>
        <v/>
      </c>
    </row>
    <row r="885" spans="17:18" x14ac:dyDescent="0.3">
      <c r="Q885" t="str">
        <f t="shared" si="31"/>
        <v/>
      </c>
      <c r="R885" s="54" t="str">
        <f t="shared" si="30"/>
        <v/>
      </c>
    </row>
    <row r="886" spans="17:18" x14ac:dyDescent="0.3">
      <c r="Q886" t="str">
        <f t="shared" si="31"/>
        <v/>
      </c>
      <c r="R886" s="54" t="str">
        <f t="shared" si="30"/>
        <v/>
      </c>
    </row>
    <row r="887" spans="17:18" x14ac:dyDescent="0.3">
      <c r="Q887" t="str">
        <f t="shared" si="31"/>
        <v/>
      </c>
      <c r="R887" s="54" t="str">
        <f t="shared" si="30"/>
        <v/>
      </c>
    </row>
    <row r="888" spans="17:18" x14ac:dyDescent="0.3">
      <c r="Q888" t="str">
        <f t="shared" si="31"/>
        <v/>
      </c>
      <c r="R888" s="54" t="str">
        <f t="shared" si="30"/>
        <v/>
      </c>
    </row>
    <row r="889" spans="17:18" x14ac:dyDescent="0.3">
      <c r="Q889" t="str">
        <f t="shared" si="31"/>
        <v/>
      </c>
      <c r="R889" s="54" t="str">
        <f t="shared" si="30"/>
        <v/>
      </c>
    </row>
    <row r="890" spans="17:18" x14ac:dyDescent="0.3">
      <c r="Q890" t="str">
        <f t="shared" si="31"/>
        <v/>
      </c>
      <c r="R890" s="54" t="str">
        <f t="shared" si="30"/>
        <v/>
      </c>
    </row>
    <row r="891" spans="17:18" x14ac:dyDescent="0.3">
      <c r="Q891" t="str">
        <f t="shared" si="31"/>
        <v/>
      </c>
      <c r="R891" s="54" t="str">
        <f t="shared" si="30"/>
        <v/>
      </c>
    </row>
    <row r="892" spans="17:18" x14ac:dyDescent="0.3">
      <c r="Q892" t="str">
        <f t="shared" si="31"/>
        <v/>
      </c>
      <c r="R892" s="54" t="str">
        <f t="shared" si="30"/>
        <v/>
      </c>
    </row>
    <row r="893" spans="17:18" x14ac:dyDescent="0.3">
      <c r="Q893" t="str">
        <f t="shared" si="31"/>
        <v/>
      </c>
      <c r="R893" s="54" t="str">
        <f t="shared" si="30"/>
        <v/>
      </c>
    </row>
    <row r="894" spans="17:18" x14ac:dyDescent="0.3">
      <c r="Q894" t="str">
        <f t="shared" si="31"/>
        <v/>
      </c>
      <c r="R894" s="54" t="str">
        <f t="shared" si="30"/>
        <v/>
      </c>
    </row>
    <row r="895" spans="17:18" x14ac:dyDescent="0.3">
      <c r="Q895" t="str">
        <f t="shared" si="31"/>
        <v/>
      </c>
      <c r="R895" s="54" t="str">
        <f t="shared" si="30"/>
        <v/>
      </c>
    </row>
    <row r="896" spans="17:18" x14ac:dyDescent="0.3">
      <c r="Q896" t="str">
        <f t="shared" si="31"/>
        <v/>
      </c>
      <c r="R896" s="54" t="str">
        <f t="shared" si="30"/>
        <v/>
      </c>
    </row>
    <row r="897" spans="17:18" x14ac:dyDescent="0.3">
      <c r="Q897" t="str">
        <f t="shared" si="31"/>
        <v/>
      </c>
      <c r="R897" s="54" t="str">
        <f t="shared" si="30"/>
        <v/>
      </c>
    </row>
    <row r="898" spans="17:18" x14ac:dyDescent="0.3">
      <c r="Q898" t="str">
        <f t="shared" si="31"/>
        <v/>
      </c>
      <c r="R898" s="54" t="str">
        <f t="shared" si="30"/>
        <v/>
      </c>
    </row>
    <row r="899" spans="17:18" x14ac:dyDescent="0.3">
      <c r="Q899" t="str">
        <f t="shared" si="31"/>
        <v/>
      </c>
      <c r="R899" s="54" t="str">
        <f t="shared" ref="R899:R962" si="32">IF(F913="","",IFERROR(IF(ISNUMBER(F913),F913,DATEVALUE(F913)),""))</f>
        <v/>
      </c>
    </row>
    <row r="900" spans="17:18" x14ac:dyDescent="0.3">
      <c r="Q900" t="str">
        <f t="shared" si="31"/>
        <v/>
      </c>
      <c r="R900" s="54" t="str">
        <f t="shared" si="32"/>
        <v/>
      </c>
    </row>
    <row r="901" spans="17:18" x14ac:dyDescent="0.3">
      <c r="Q901" t="str">
        <f t="shared" si="31"/>
        <v/>
      </c>
      <c r="R901" s="54" t="str">
        <f t="shared" si="32"/>
        <v/>
      </c>
    </row>
    <row r="902" spans="17:18" x14ac:dyDescent="0.3">
      <c r="Q902" t="str">
        <f t="shared" si="31"/>
        <v/>
      </c>
      <c r="R902" s="54" t="str">
        <f t="shared" si="32"/>
        <v/>
      </c>
    </row>
    <row r="903" spans="17:18" x14ac:dyDescent="0.3">
      <c r="Q903" t="str">
        <f t="shared" si="31"/>
        <v/>
      </c>
      <c r="R903" s="54" t="str">
        <f t="shared" si="32"/>
        <v/>
      </c>
    </row>
    <row r="904" spans="17:18" x14ac:dyDescent="0.3">
      <c r="Q904" t="str">
        <f t="shared" si="31"/>
        <v/>
      </c>
      <c r="R904" s="54" t="str">
        <f t="shared" si="32"/>
        <v/>
      </c>
    </row>
    <row r="905" spans="17:18" x14ac:dyDescent="0.3">
      <c r="Q905" t="str">
        <f t="shared" si="31"/>
        <v/>
      </c>
      <c r="R905" s="54" t="str">
        <f t="shared" si="32"/>
        <v/>
      </c>
    </row>
    <row r="906" spans="17:18" x14ac:dyDescent="0.3">
      <c r="Q906" t="str">
        <f t="shared" si="31"/>
        <v/>
      </c>
      <c r="R906" s="54" t="str">
        <f t="shared" si="32"/>
        <v/>
      </c>
    </row>
    <row r="907" spans="17:18" x14ac:dyDescent="0.3">
      <c r="Q907" t="str">
        <f t="shared" si="31"/>
        <v/>
      </c>
      <c r="R907" s="54" t="str">
        <f t="shared" si="32"/>
        <v/>
      </c>
    </row>
    <row r="908" spans="17:18" x14ac:dyDescent="0.3">
      <c r="Q908" t="str">
        <f t="shared" si="31"/>
        <v/>
      </c>
      <c r="R908" s="54" t="str">
        <f t="shared" si="32"/>
        <v/>
      </c>
    </row>
    <row r="909" spans="17:18" x14ac:dyDescent="0.3">
      <c r="Q909" t="str">
        <f t="shared" si="31"/>
        <v/>
      </c>
      <c r="R909" s="54" t="str">
        <f t="shared" si="32"/>
        <v/>
      </c>
    </row>
    <row r="910" spans="17:18" x14ac:dyDescent="0.3">
      <c r="Q910" t="str">
        <f t="shared" si="31"/>
        <v/>
      </c>
      <c r="R910" s="54" t="str">
        <f t="shared" si="32"/>
        <v/>
      </c>
    </row>
    <row r="911" spans="17:18" x14ac:dyDescent="0.3">
      <c r="Q911" t="str">
        <f t="shared" si="31"/>
        <v/>
      </c>
      <c r="R911" s="54" t="str">
        <f t="shared" si="32"/>
        <v/>
      </c>
    </row>
    <row r="912" spans="17:18" x14ac:dyDescent="0.3">
      <c r="Q912" t="str">
        <f t="shared" si="31"/>
        <v/>
      </c>
      <c r="R912" s="54" t="str">
        <f t="shared" si="32"/>
        <v/>
      </c>
    </row>
    <row r="913" spans="17:18" x14ac:dyDescent="0.3">
      <c r="Q913" t="str">
        <f t="shared" si="31"/>
        <v/>
      </c>
      <c r="R913" s="54" t="str">
        <f t="shared" si="32"/>
        <v/>
      </c>
    </row>
    <row r="914" spans="17:18" x14ac:dyDescent="0.3">
      <c r="Q914" t="str">
        <f t="shared" si="31"/>
        <v/>
      </c>
      <c r="R914" s="54" t="str">
        <f t="shared" si="32"/>
        <v/>
      </c>
    </row>
    <row r="915" spans="17:18" x14ac:dyDescent="0.3">
      <c r="Q915" t="str">
        <f t="shared" si="31"/>
        <v/>
      </c>
      <c r="R915" s="54" t="str">
        <f t="shared" si="32"/>
        <v/>
      </c>
    </row>
    <row r="916" spans="17:18" x14ac:dyDescent="0.3">
      <c r="Q916" t="str">
        <f t="shared" si="31"/>
        <v/>
      </c>
      <c r="R916" s="54" t="str">
        <f t="shared" si="32"/>
        <v/>
      </c>
    </row>
    <row r="917" spans="17:18" x14ac:dyDescent="0.3">
      <c r="Q917" t="str">
        <f t="shared" si="31"/>
        <v/>
      </c>
      <c r="R917" s="54" t="str">
        <f t="shared" si="32"/>
        <v/>
      </c>
    </row>
    <row r="918" spans="17:18" x14ac:dyDescent="0.3">
      <c r="Q918" t="str">
        <f t="shared" si="31"/>
        <v/>
      </c>
      <c r="R918" s="54" t="str">
        <f t="shared" si="32"/>
        <v/>
      </c>
    </row>
    <row r="919" spans="17:18" x14ac:dyDescent="0.3">
      <c r="Q919" t="str">
        <f t="shared" ref="Q919:Q982" si="33">IF(COUNTA(A919:P919)=0,"",IF(ISNUMBER(SEARCH("-AR-",E933)),"Architectural",IF(ISNUMBER(SEARCH("-ST-",E933)),"Structural",IF(ISNUMBER(SEARCH("-ME-",E933)),"Mechanical",IF(ISNUMBER(SEARCH("-EL-",E933)),"Electrical",IF(ISNUMBER(SEARCH("-GE-",E933)),"General",IF(ISNUMBER(SEARCH("-AR-",D933)),"Architectural",IF(ISNUMBER(SEARCH("-ST-",D933)),"Structural",IF(ISNUMBER(SEARCH("-ME-",D933)),"Mechanical",IF(ISNUMBER(SEARCH("-EL-",D933)),"Electrical",IF(ISNUMBER(SEARCH("-GE-",D933)),"General","Other")))))))))))</f>
        <v/>
      </c>
      <c r="R919" s="54" t="str">
        <f t="shared" si="32"/>
        <v/>
      </c>
    </row>
    <row r="920" spans="17:18" x14ac:dyDescent="0.3">
      <c r="Q920" t="str">
        <f t="shared" si="33"/>
        <v/>
      </c>
      <c r="R920" s="54" t="str">
        <f t="shared" si="32"/>
        <v/>
      </c>
    </row>
    <row r="921" spans="17:18" x14ac:dyDescent="0.3">
      <c r="Q921" t="str">
        <f t="shared" si="33"/>
        <v/>
      </c>
      <c r="R921" s="54" t="str">
        <f t="shared" si="32"/>
        <v/>
      </c>
    </row>
    <row r="922" spans="17:18" x14ac:dyDescent="0.3">
      <c r="Q922" t="str">
        <f t="shared" si="33"/>
        <v/>
      </c>
      <c r="R922" s="54" t="str">
        <f t="shared" si="32"/>
        <v/>
      </c>
    </row>
    <row r="923" spans="17:18" x14ac:dyDescent="0.3">
      <c r="Q923" t="str">
        <f t="shared" si="33"/>
        <v/>
      </c>
      <c r="R923" s="54" t="str">
        <f t="shared" si="32"/>
        <v/>
      </c>
    </row>
    <row r="924" spans="17:18" x14ac:dyDescent="0.3">
      <c r="Q924" t="str">
        <f t="shared" si="33"/>
        <v/>
      </c>
      <c r="R924" s="54" t="str">
        <f t="shared" si="32"/>
        <v/>
      </c>
    </row>
    <row r="925" spans="17:18" x14ac:dyDescent="0.3">
      <c r="Q925" t="str">
        <f t="shared" si="33"/>
        <v/>
      </c>
      <c r="R925" s="54" t="str">
        <f t="shared" si="32"/>
        <v/>
      </c>
    </row>
    <row r="926" spans="17:18" x14ac:dyDescent="0.3">
      <c r="Q926" t="str">
        <f t="shared" si="33"/>
        <v/>
      </c>
      <c r="R926" s="54" t="str">
        <f t="shared" si="32"/>
        <v/>
      </c>
    </row>
    <row r="927" spans="17:18" x14ac:dyDescent="0.3">
      <c r="Q927" t="str">
        <f t="shared" si="33"/>
        <v/>
      </c>
      <c r="R927" s="54" t="str">
        <f t="shared" si="32"/>
        <v/>
      </c>
    </row>
    <row r="928" spans="17:18" x14ac:dyDescent="0.3">
      <c r="Q928" t="str">
        <f t="shared" si="33"/>
        <v/>
      </c>
      <c r="R928" s="54" t="str">
        <f t="shared" si="32"/>
        <v/>
      </c>
    </row>
    <row r="929" spans="17:18" x14ac:dyDescent="0.3">
      <c r="Q929" t="str">
        <f t="shared" si="33"/>
        <v/>
      </c>
      <c r="R929" s="54" t="str">
        <f t="shared" si="32"/>
        <v/>
      </c>
    </row>
    <row r="930" spans="17:18" x14ac:dyDescent="0.3">
      <c r="Q930" t="str">
        <f t="shared" si="33"/>
        <v/>
      </c>
      <c r="R930" s="54" t="str">
        <f t="shared" si="32"/>
        <v/>
      </c>
    </row>
    <row r="931" spans="17:18" x14ac:dyDescent="0.3">
      <c r="Q931" t="str">
        <f t="shared" si="33"/>
        <v/>
      </c>
      <c r="R931" s="54" t="str">
        <f t="shared" si="32"/>
        <v/>
      </c>
    </row>
    <row r="932" spans="17:18" x14ac:dyDescent="0.3">
      <c r="Q932" t="str">
        <f t="shared" si="33"/>
        <v/>
      </c>
      <c r="R932" s="54" t="str">
        <f t="shared" si="32"/>
        <v/>
      </c>
    </row>
    <row r="933" spans="17:18" x14ac:dyDescent="0.3">
      <c r="Q933" t="str">
        <f t="shared" si="33"/>
        <v/>
      </c>
      <c r="R933" s="54" t="str">
        <f t="shared" si="32"/>
        <v/>
      </c>
    </row>
    <row r="934" spans="17:18" x14ac:dyDescent="0.3">
      <c r="Q934" t="str">
        <f t="shared" si="33"/>
        <v/>
      </c>
      <c r="R934" s="54" t="str">
        <f t="shared" si="32"/>
        <v/>
      </c>
    </row>
    <row r="935" spans="17:18" x14ac:dyDescent="0.3">
      <c r="Q935" t="str">
        <f t="shared" si="33"/>
        <v/>
      </c>
      <c r="R935" s="54" t="str">
        <f t="shared" si="32"/>
        <v/>
      </c>
    </row>
    <row r="936" spans="17:18" x14ac:dyDescent="0.3">
      <c r="Q936" t="str">
        <f t="shared" si="33"/>
        <v/>
      </c>
      <c r="R936" s="54" t="str">
        <f t="shared" si="32"/>
        <v/>
      </c>
    </row>
    <row r="937" spans="17:18" x14ac:dyDescent="0.3">
      <c r="Q937" t="str">
        <f t="shared" si="33"/>
        <v/>
      </c>
      <c r="R937" s="54" t="str">
        <f t="shared" si="32"/>
        <v/>
      </c>
    </row>
    <row r="938" spans="17:18" x14ac:dyDescent="0.3">
      <c r="Q938" t="str">
        <f t="shared" si="33"/>
        <v/>
      </c>
      <c r="R938" s="54" t="str">
        <f t="shared" si="32"/>
        <v/>
      </c>
    </row>
    <row r="939" spans="17:18" x14ac:dyDescent="0.3">
      <c r="Q939" t="str">
        <f t="shared" si="33"/>
        <v/>
      </c>
      <c r="R939" s="54" t="str">
        <f t="shared" si="32"/>
        <v/>
      </c>
    </row>
    <row r="940" spans="17:18" x14ac:dyDescent="0.3">
      <c r="Q940" t="str">
        <f t="shared" si="33"/>
        <v/>
      </c>
      <c r="R940" s="54" t="str">
        <f t="shared" si="32"/>
        <v/>
      </c>
    </row>
    <row r="941" spans="17:18" x14ac:dyDescent="0.3">
      <c r="Q941" t="str">
        <f t="shared" si="33"/>
        <v/>
      </c>
      <c r="R941" s="54" t="str">
        <f t="shared" si="32"/>
        <v/>
      </c>
    </row>
    <row r="942" spans="17:18" x14ac:dyDescent="0.3">
      <c r="Q942" t="str">
        <f t="shared" si="33"/>
        <v/>
      </c>
      <c r="R942" s="54" t="str">
        <f t="shared" si="32"/>
        <v/>
      </c>
    </row>
    <row r="943" spans="17:18" x14ac:dyDescent="0.3">
      <c r="Q943" t="str">
        <f t="shared" si="33"/>
        <v/>
      </c>
      <c r="R943" s="54" t="str">
        <f t="shared" si="32"/>
        <v/>
      </c>
    </row>
    <row r="944" spans="17:18" x14ac:dyDescent="0.3">
      <c r="Q944" t="str">
        <f t="shared" si="33"/>
        <v/>
      </c>
      <c r="R944" s="54" t="str">
        <f t="shared" si="32"/>
        <v/>
      </c>
    </row>
    <row r="945" spans="17:18" x14ac:dyDescent="0.3">
      <c r="Q945" t="str">
        <f t="shared" si="33"/>
        <v/>
      </c>
      <c r="R945" s="54" t="str">
        <f t="shared" si="32"/>
        <v/>
      </c>
    </row>
    <row r="946" spans="17:18" x14ac:dyDescent="0.3">
      <c r="Q946" t="str">
        <f t="shared" si="33"/>
        <v/>
      </c>
      <c r="R946" s="54" t="str">
        <f t="shared" si="32"/>
        <v/>
      </c>
    </row>
    <row r="947" spans="17:18" x14ac:dyDescent="0.3">
      <c r="Q947" t="str">
        <f t="shared" si="33"/>
        <v/>
      </c>
      <c r="R947" s="54" t="str">
        <f t="shared" si="32"/>
        <v/>
      </c>
    </row>
    <row r="948" spans="17:18" x14ac:dyDescent="0.3">
      <c r="Q948" t="str">
        <f t="shared" si="33"/>
        <v/>
      </c>
      <c r="R948" s="54" t="str">
        <f t="shared" si="32"/>
        <v/>
      </c>
    </row>
    <row r="949" spans="17:18" x14ac:dyDescent="0.3">
      <c r="Q949" t="str">
        <f t="shared" si="33"/>
        <v/>
      </c>
      <c r="R949" s="54" t="str">
        <f t="shared" si="32"/>
        <v/>
      </c>
    </row>
    <row r="950" spans="17:18" x14ac:dyDescent="0.3">
      <c r="Q950" t="str">
        <f t="shared" si="33"/>
        <v/>
      </c>
      <c r="R950" s="54" t="str">
        <f t="shared" si="32"/>
        <v/>
      </c>
    </row>
    <row r="951" spans="17:18" x14ac:dyDescent="0.3">
      <c r="Q951" t="str">
        <f t="shared" si="33"/>
        <v/>
      </c>
      <c r="R951" s="54" t="str">
        <f t="shared" si="32"/>
        <v/>
      </c>
    </row>
    <row r="952" spans="17:18" x14ac:dyDescent="0.3">
      <c r="Q952" t="str">
        <f t="shared" si="33"/>
        <v/>
      </c>
      <c r="R952" s="54" t="str">
        <f t="shared" si="32"/>
        <v/>
      </c>
    </row>
    <row r="953" spans="17:18" x14ac:dyDescent="0.3">
      <c r="Q953" t="str">
        <f t="shared" si="33"/>
        <v/>
      </c>
      <c r="R953" s="54" t="str">
        <f t="shared" si="32"/>
        <v/>
      </c>
    </row>
    <row r="954" spans="17:18" x14ac:dyDescent="0.3">
      <c r="Q954" t="str">
        <f t="shared" si="33"/>
        <v/>
      </c>
      <c r="R954" s="54" t="str">
        <f t="shared" si="32"/>
        <v/>
      </c>
    </row>
    <row r="955" spans="17:18" x14ac:dyDescent="0.3">
      <c r="Q955" t="str">
        <f t="shared" si="33"/>
        <v/>
      </c>
      <c r="R955" s="54" t="str">
        <f t="shared" si="32"/>
        <v/>
      </c>
    </row>
    <row r="956" spans="17:18" x14ac:dyDescent="0.3">
      <c r="Q956" t="str">
        <f t="shared" si="33"/>
        <v/>
      </c>
      <c r="R956" s="54" t="str">
        <f t="shared" si="32"/>
        <v/>
      </c>
    </row>
    <row r="957" spans="17:18" x14ac:dyDescent="0.3">
      <c r="Q957" t="str">
        <f t="shared" si="33"/>
        <v/>
      </c>
      <c r="R957" s="54" t="str">
        <f t="shared" si="32"/>
        <v/>
      </c>
    </row>
    <row r="958" spans="17:18" x14ac:dyDescent="0.3">
      <c r="Q958" t="str">
        <f t="shared" si="33"/>
        <v/>
      </c>
      <c r="R958" s="54" t="str">
        <f t="shared" si="32"/>
        <v/>
      </c>
    </row>
    <row r="959" spans="17:18" x14ac:dyDescent="0.3">
      <c r="Q959" t="str">
        <f t="shared" si="33"/>
        <v/>
      </c>
      <c r="R959" s="54" t="str">
        <f t="shared" si="32"/>
        <v/>
      </c>
    </row>
    <row r="960" spans="17:18" x14ac:dyDescent="0.3">
      <c r="Q960" t="str">
        <f t="shared" si="33"/>
        <v/>
      </c>
      <c r="R960" s="54" t="str">
        <f t="shared" si="32"/>
        <v/>
      </c>
    </row>
    <row r="961" spans="17:18" x14ac:dyDescent="0.3">
      <c r="Q961" t="str">
        <f t="shared" si="33"/>
        <v/>
      </c>
      <c r="R961" s="54" t="str">
        <f t="shared" si="32"/>
        <v/>
      </c>
    </row>
    <row r="962" spans="17:18" x14ac:dyDescent="0.3">
      <c r="Q962" t="str">
        <f t="shared" si="33"/>
        <v/>
      </c>
      <c r="R962" s="54" t="str">
        <f t="shared" si="32"/>
        <v/>
      </c>
    </row>
    <row r="963" spans="17:18" x14ac:dyDescent="0.3">
      <c r="Q963" t="str">
        <f t="shared" si="33"/>
        <v/>
      </c>
      <c r="R963" s="54" t="str">
        <f t="shared" ref="R963:R1026" si="34">IF(F977="","",IFERROR(IF(ISNUMBER(F977),F977,DATEVALUE(F977)),""))</f>
        <v/>
      </c>
    </row>
    <row r="964" spans="17:18" x14ac:dyDescent="0.3">
      <c r="Q964" t="str">
        <f t="shared" si="33"/>
        <v/>
      </c>
      <c r="R964" s="54" t="str">
        <f t="shared" si="34"/>
        <v/>
      </c>
    </row>
    <row r="965" spans="17:18" x14ac:dyDescent="0.3">
      <c r="Q965" t="str">
        <f t="shared" si="33"/>
        <v/>
      </c>
      <c r="R965" s="54" t="str">
        <f t="shared" si="34"/>
        <v/>
      </c>
    </row>
    <row r="966" spans="17:18" x14ac:dyDescent="0.3">
      <c r="Q966" t="str">
        <f t="shared" si="33"/>
        <v/>
      </c>
      <c r="R966" s="54" t="str">
        <f t="shared" si="34"/>
        <v/>
      </c>
    </row>
    <row r="967" spans="17:18" x14ac:dyDescent="0.3">
      <c r="Q967" t="str">
        <f t="shared" si="33"/>
        <v/>
      </c>
      <c r="R967" s="54" t="str">
        <f t="shared" si="34"/>
        <v/>
      </c>
    </row>
    <row r="968" spans="17:18" x14ac:dyDescent="0.3">
      <c r="Q968" t="str">
        <f t="shared" si="33"/>
        <v/>
      </c>
      <c r="R968" s="54" t="str">
        <f t="shared" si="34"/>
        <v/>
      </c>
    </row>
    <row r="969" spans="17:18" x14ac:dyDescent="0.3">
      <c r="Q969" t="str">
        <f t="shared" si="33"/>
        <v/>
      </c>
      <c r="R969" s="54" t="str">
        <f t="shared" si="34"/>
        <v/>
      </c>
    </row>
    <row r="970" spans="17:18" x14ac:dyDescent="0.3">
      <c r="Q970" t="str">
        <f t="shared" si="33"/>
        <v/>
      </c>
      <c r="R970" s="54" t="str">
        <f t="shared" si="34"/>
        <v/>
      </c>
    </row>
    <row r="971" spans="17:18" x14ac:dyDescent="0.3">
      <c r="Q971" t="str">
        <f t="shared" si="33"/>
        <v/>
      </c>
      <c r="R971" s="54" t="str">
        <f t="shared" si="34"/>
        <v/>
      </c>
    </row>
    <row r="972" spans="17:18" x14ac:dyDescent="0.3">
      <c r="Q972" t="str">
        <f t="shared" si="33"/>
        <v/>
      </c>
      <c r="R972" s="54" t="str">
        <f t="shared" si="34"/>
        <v/>
      </c>
    </row>
    <row r="973" spans="17:18" x14ac:dyDescent="0.3">
      <c r="Q973" t="str">
        <f t="shared" si="33"/>
        <v/>
      </c>
      <c r="R973" s="54" t="str">
        <f t="shared" si="34"/>
        <v/>
      </c>
    </row>
    <row r="974" spans="17:18" x14ac:dyDescent="0.3">
      <c r="Q974" t="str">
        <f t="shared" si="33"/>
        <v/>
      </c>
      <c r="R974" s="54" t="str">
        <f t="shared" si="34"/>
        <v/>
      </c>
    </row>
    <row r="975" spans="17:18" x14ac:dyDescent="0.3">
      <c r="Q975" t="str">
        <f t="shared" si="33"/>
        <v/>
      </c>
      <c r="R975" s="54" t="str">
        <f t="shared" si="34"/>
        <v/>
      </c>
    </row>
    <row r="976" spans="17:18" x14ac:dyDescent="0.3">
      <c r="Q976" t="str">
        <f t="shared" si="33"/>
        <v/>
      </c>
      <c r="R976" s="54" t="str">
        <f t="shared" si="34"/>
        <v/>
      </c>
    </row>
    <row r="977" spans="17:18" x14ac:dyDescent="0.3">
      <c r="Q977" t="str">
        <f t="shared" si="33"/>
        <v/>
      </c>
      <c r="R977" s="54" t="str">
        <f t="shared" si="34"/>
        <v/>
      </c>
    </row>
    <row r="978" spans="17:18" x14ac:dyDescent="0.3">
      <c r="Q978" t="str">
        <f t="shared" si="33"/>
        <v/>
      </c>
      <c r="R978" s="54" t="str">
        <f t="shared" si="34"/>
        <v/>
      </c>
    </row>
    <row r="979" spans="17:18" x14ac:dyDescent="0.3">
      <c r="Q979" t="str">
        <f t="shared" si="33"/>
        <v/>
      </c>
      <c r="R979" s="54" t="str">
        <f t="shared" si="34"/>
        <v/>
      </c>
    </row>
    <row r="980" spans="17:18" x14ac:dyDescent="0.3">
      <c r="Q980" t="str">
        <f t="shared" si="33"/>
        <v/>
      </c>
      <c r="R980" s="54" t="str">
        <f t="shared" si="34"/>
        <v/>
      </c>
    </row>
    <row r="981" spans="17:18" x14ac:dyDescent="0.3">
      <c r="Q981" t="str">
        <f t="shared" si="33"/>
        <v/>
      </c>
      <c r="R981" s="54" t="str">
        <f t="shared" si="34"/>
        <v/>
      </c>
    </row>
    <row r="982" spans="17:18" x14ac:dyDescent="0.3">
      <c r="Q982" t="str">
        <f t="shared" si="33"/>
        <v/>
      </c>
      <c r="R982" s="54" t="str">
        <f t="shared" si="34"/>
        <v/>
      </c>
    </row>
    <row r="983" spans="17:18" x14ac:dyDescent="0.3">
      <c r="Q983" t="str">
        <f t="shared" ref="Q983:Q1046" si="35">IF(COUNTA(A983:P983)=0,"",IF(ISNUMBER(SEARCH("-AR-",E997)),"Architectural",IF(ISNUMBER(SEARCH("-ST-",E997)),"Structural",IF(ISNUMBER(SEARCH("-ME-",E997)),"Mechanical",IF(ISNUMBER(SEARCH("-EL-",E997)),"Electrical",IF(ISNUMBER(SEARCH("-GE-",E997)),"General",IF(ISNUMBER(SEARCH("-AR-",D997)),"Architectural",IF(ISNUMBER(SEARCH("-ST-",D997)),"Structural",IF(ISNUMBER(SEARCH("-ME-",D997)),"Mechanical",IF(ISNUMBER(SEARCH("-EL-",D997)),"Electrical",IF(ISNUMBER(SEARCH("-GE-",D997)),"General","Other")))))))))))</f>
        <v/>
      </c>
      <c r="R983" s="54" t="str">
        <f t="shared" si="34"/>
        <v/>
      </c>
    </row>
    <row r="984" spans="17:18" x14ac:dyDescent="0.3">
      <c r="Q984" t="str">
        <f t="shared" si="35"/>
        <v/>
      </c>
      <c r="R984" s="54" t="str">
        <f t="shared" si="34"/>
        <v/>
      </c>
    </row>
    <row r="985" spans="17:18" x14ac:dyDescent="0.3">
      <c r="Q985" t="str">
        <f t="shared" si="35"/>
        <v/>
      </c>
      <c r="R985" s="54" t="str">
        <f t="shared" si="34"/>
        <v/>
      </c>
    </row>
    <row r="986" spans="17:18" x14ac:dyDescent="0.3">
      <c r="Q986" t="str">
        <f t="shared" si="35"/>
        <v/>
      </c>
      <c r="R986" s="54" t="str">
        <f t="shared" si="34"/>
        <v/>
      </c>
    </row>
    <row r="987" spans="17:18" x14ac:dyDescent="0.3">
      <c r="Q987" t="str">
        <f t="shared" si="35"/>
        <v/>
      </c>
      <c r="R987" s="54" t="str">
        <f t="shared" si="34"/>
        <v/>
      </c>
    </row>
    <row r="988" spans="17:18" x14ac:dyDescent="0.3">
      <c r="Q988" t="str">
        <f t="shared" si="35"/>
        <v/>
      </c>
      <c r="R988" s="54" t="str">
        <f t="shared" si="34"/>
        <v/>
      </c>
    </row>
    <row r="989" spans="17:18" x14ac:dyDescent="0.3">
      <c r="Q989" t="str">
        <f t="shared" si="35"/>
        <v/>
      </c>
      <c r="R989" s="54" t="str">
        <f t="shared" si="34"/>
        <v/>
      </c>
    </row>
    <row r="990" spans="17:18" x14ac:dyDescent="0.3">
      <c r="Q990" t="str">
        <f t="shared" si="35"/>
        <v/>
      </c>
      <c r="R990" s="54" t="str">
        <f t="shared" si="34"/>
        <v/>
      </c>
    </row>
    <row r="991" spans="17:18" x14ac:dyDescent="0.3">
      <c r="Q991" t="str">
        <f t="shared" si="35"/>
        <v/>
      </c>
      <c r="R991" s="54" t="str">
        <f t="shared" si="34"/>
        <v/>
      </c>
    </row>
    <row r="992" spans="17:18" x14ac:dyDescent="0.3">
      <c r="Q992" t="str">
        <f t="shared" si="35"/>
        <v/>
      </c>
      <c r="R992" s="54" t="str">
        <f t="shared" si="34"/>
        <v/>
      </c>
    </row>
    <row r="993" spans="17:18" x14ac:dyDescent="0.3">
      <c r="Q993" t="str">
        <f t="shared" si="35"/>
        <v/>
      </c>
      <c r="R993" s="54" t="str">
        <f t="shared" si="34"/>
        <v/>
      </c>
    </row>
    <row r="994" spans="17:18" x14ac:dyDescent="0.3">
      <c r="Q994" t="str">
        <f t="shared" si="35"/>
        <v/>
      </c>
      <c r="R994" s="54" t="str">
        <f t="shared" si="34"/>
        <v/>
      </c>
    </row>
    <row r="995" spans="17:18" x14ac:dyDescent="0.3">
      <c r="Q995" t="str">
        <f t="shared" si="35"/>
        <v/>
      </c>
      <c r="R995" s="54" t="str">
        <f t="shared" si="34"/>
        <v/>
      </c>
    </row>
    <row r="996" spans="17:18" x14ac:dyDescent="0.3">
      <c r="Q996" t="str">
        <f t="shared" si="35"/>
        <v/>
      </c>
      <c r="R996" s="54" t="str">
        <f t="shared" si="34"/>
        <v/>
      </c>
    </row>
    <row r="997" spans="17:18" x14ac:dyDescent="0.3">
      <c r="Q997" t="str">
        <f t="shared" si="35"/>
        <v/>
      </c>
      <c r="R997" s="54" t="str">
        <f t="shared" si="34"/>
        <v/>
      </c>
    </row>
    <row r="998" spans="17:18" x14ac:dyDescent="0.3">
      <c r="Q998" t="str">
        <f t="shared" si="35"/>
        <v/>
      </c>
      <c r="R998" s="54" t="str">
        <f t="shared" si="34"/>
        <v/>
      </c>
    </row>
    <row r="999" spans="17:18" x14ac:dyDescent="0.3">
      <c r="Q999" t="str">
        <f t="shared" si="35"/>
        <v/>
      </c>
      <c r="R999" s="54" t="str">
        <f t="shared" si="34"/>
        <v/>
      </c>
    </row>
    <row r="1000" spans="17:18" x14ac:dyDescent="0.3">
      <c r="Q1000" t="str">
        <f t="shared" si="35"/>
        <v/>
      </c>
      <c r="R1000" s="54" t="str">
        <f t="shared" si="34"/>
        <v/>
      </c>
    </row>
    <row r="1001" spans="17:18" x14ac:dyDescent="0.3">
      <c r="Q1001" t="str">
        <f t="shared" si="35"/>
        <v/>
      </c>
      <c r="R1001" s="54" t="str">
        <f t="shared" si="34"/>
        <v/>
      </c>
    </row>
    <row r="1002" spans="17:18" x14ac:dyDescent="0.3">
      <c r="Q1002" t="str">
        <f t="shared" si="35"/>
        <v/>
      </c>
      <c r="R1002" s="54" t="str">
        <f t="shared" si="34"/>
        <v/>
      </c>
    </row>
    <row r="1003" spans="17:18" x14ac:dyDescent="0.3">
      <c r="Q1003" t="str">
        <f t="shared" si="35"/>
        <v/>
      </c>
      <c r="R1003" s="54" t="str">
        <f t="shared" si="34"/>
        <v/>
      </c>
    </row>
    <row r="1004" spans="17:18" x14ac:dyDescent="0.3">
      <c r="Q1004" t="str">
        <f t="shared" si="35"/>
        <v/>
      </c>
      <c r="R1004" s="54" t="str">
        <f t="shared" si="34"/>
        <v/>
      </c>
    </row>
    <row r="1005" spans="17:18" x14ac:dyDescent="0.3">
      <c r="Q1005" t="str">
        <f t="shared" si="35"/>
        <v/>
      </c>
      <c r="R1005" s="54" t="str">
        <f t="shared" si="34"/>
        <v/>
      </c>
    </row>
    <row r="1006" spans="17:18" x14ac:dyDescent="0.3">
      <c r="Q1006" t="str">
        <f t="shared" si="35"/>
        <v/>
      </c>
      <c r="R1006" s="54" t="str">
        <f t="shared" si="34"/>
        <v/>
      </c>
    </row>
    <row r="1007" spans="17:18" x14ac:dyDescent="0.3">
      <c r="Q1007" t="str">
        <f t="shared" si="35"/>
        <v/>
      </c>
      <c r="R1007" s="54" t="str">
        <f t="shared" si="34"/>
        <v/>
      </c>
    </row>
    <row r="1008" spans="17:18" x14ac:dyDescent="0.3">
      <c r="Q1008" t="str">
        <f t="shared" si="35"/>
        <v/>
      </c>
      <c r="R1008" s="54" t="str">
        <f t="shared" si="34"/>
        <v/>
      </c>
    </row>
    <row r="1009" spans="17:18" x14ac:dyDescent="0.3">
      <c r="Q1009" t="str">
        <f t="shared" si="35"/>
        <v/>
      </c>
      <c r="R1009" s="54" t="str">
        <f t="shared" si="34"/>
        <v/>
      </c>
    </row>
    <row r="1010" spans="17:18" x14ac:dyDescent="0.3">
      <c r="Q1010" t="str">
        <f t="shared" si="35"/>
        <v/>
      </c>
      <c r="R1010" s="54" t="str">
        <f t="shared" si="34"/>
        <v/>
      </c>
    </row>
    <row r="1011" spans="17:18" x14ac:dyDescent="0.3">
      <c r="Q1011" t="str">
        <f t="shared" si="35"/>
        <v/>
      </c>
      <c r="R1011" s="54" t="str">
        <f t="shared" si="34"/>
        <v/>
      </c>
    </row>
    <row r="1012" spans="17:18" x14ac:dyDescent="0.3">
      <c r="Q1012" t="str">
        <f t="shared" si="35"/>
        <v/>
      </c>
      <c r="R1012" s="54" t="str">
        <f t="shared" si="34"/>
        <v/>
      </c>
    </row>
    <row r="1013" spans="17:18" x14ac:dyDescent="0.3">
      <c r="Q1013" t="str">
        <f t="shared" si="35"/>
        <v/>
      </c>
      <c r="R1013" s="54" t="str">
        <f t="shared" si="34"/>
        <v/>
      </c>
    </row>
    <row r="1014" spans="17:18" x14ac:dyDescent="0.3">
      <c r="Q1014" t="str">
        <f t="shared" si="35"/>
        <v/>
      </c>
      <c r="R1014" s="54" t="str">
        <f t="shared" si="34"/>
        <v/>
      </c>
    </row>
    <row r="1015" spans="17:18" x14ac:dyDescent="0.3">
      <c r="Q1015" t="str">
        <f t="shared" si="35"/>
        <v/>
      </c>
      <c r="R1015" s="54" t="str">
        <f t="shared" si="34"/>
        <v/>
      </c>
    </row>
    <row r="1016" spans="17:18" x14ac:dyDescent="0.3">
      <c r="Q1016" t="str">
        <f t="shared" si="35"/>
        <v/>
      </c>
      <c r="R1016" s="54" t="str">
        <f t="shared" si="34"/>
        <v/>
      </c>
    </row>
    <row r="1017" spans="17:18" x14ac:dyDescent="0.3">
      <c r="Q1017" t="str">
        <f t="shared" si="35"/>
        <v/>
      </c>
      <c r="R1017" s="54" t="str">
        <f t="shared" si="34"/>
        <v/>
      </c>
    </row>
    <row r="1018" spans="17:18" x14ac:dyDescent="0.3">
      <c r="Q1018" t="str">
        <f t="shared" si="35"/>
        <v/>
      </c>
      <c r="R1018" s="54" t="str">
        <f t="shared" si="34"/>
        <v/>
      </c>
    </row>
    <row r="1019" spans="17:18" x14ac:dyDescent="0.3">
      <c r="Q1019" t="str">
        <f t="shared" si="35"/>
        <v/>
      </c>
      <c r="R1019" s="54" t="str">
        <f t="shared" si="34"/>
        <v/>
      </c>
    </row>
    <row r="1020" spans="17:18" x14ac:dyDescent="0.3">
      <c r="Q1020" t="str">
        <f t="shared" si="35"/>
        <v/>
      </c>
      <c r="R1020" s="54" t="str">
        <f t="shared" si="34"/>
        <v/>
      </c>
    </row>
    <row r="1021" spans="17:18" x14ac:dyDescent="0.3">
      <c r="Q1021" t="str">
        <f t="shared" si="35"/>
        <v/>
      </c>
      <c r="R1021" s="54" t="str">
        <f t="shared" si="34"/>
        <v/>
      </c>
    </row>
    <row r="1022" spans="17:18" x14ac:dyDescent="0.3">
      <c r="Q1022" t="str">
        <f t="shared" si="35"/>
        <v/>
      </c>
      <c r="R1022" s="54" t="str">
        <f t="shared" si="34"/>
        <v/>
      </c>
    </row>
    <row r="1023" spans="17:18" x14ac:dyDescent="0.3">
      <c r="Q1023" t="str">
        <f t="shared" si="35"/>
        <v/>
      </c>
      <c r="R1023" s="54" t="str">
        <f t="shared" si="34"/>
        <v/>
      </c>
    </row>
    <row r="1024" spans="17:18" x14ac:dyDescent="0.3">
      <c r="Q1024" t="str">
        <f t="shared" si="35"/>
        <v/>
      </c>
      <c r="R1024" s="54" t="str">
        <f t="shared" si="34"/>
        <v/>
      </c>
    </row>
    <row r="1025" spans="17:18" x14ac:dyDescent="0.3">
      <c r="Q1025" t="str">
        <f t="shared" si="35"/>
        <v/>
      </c>
      <c r="R1025" s="54" t="str">
        <f t="shared" si="34"/>
        <v/>
      </c>
    </row>
    <row r="1026" spans="17:18" x14ac:dyDescent="0.3">
      <c r="Q1026" t="str">
        <f t="shared" si="35"/>
        <v/>
      </c>
      <c r="R1026" s="54" t="str">
        <f t="shared" si="34"/>
        <v/>
      </c>
    </row>
    <row r="1027" spans="17:18" x14ac:dyDescent="0.3">
      <c r="Q1027" t="str">
        <f t="shared" si="35"/>
        <v/>
      </c>
      <c r="R1027" s="54" t="str">
        <f t="shared" ref="R1027:R1090" si="36">IF(F1041="","",IFERROR(IF(ISNUMBER(F1041),F1041,DATEVALUE(F1041)),""))</f>
        <v/>
      </c>
    </row>
    <row r="1028" spans="17:18" x14ac:dyDescent="0.3">
      <c r="Q1028" t="str">
        <f t="shared" si="35"/>
        <v/>
      </c>
      <c r="R1028" s="54" t="str">
        <f t="shared" si="36"/>
        <v/>
      </c>
    </row>
    <row r="1029" spans="17:18" x14ac:dyDescent="0.3">
      <c r="Q1029" t="str">
        <f t="shared" si="35"/>
        <v/>
      </c>
      <c r="R1029" s="54" t="str">
        <f t="shared" si="36"/>
        <v/>
      </c>
    </row>
    <row r="1030" spans="17:18" x14ac:dyDescent="0.3">
      <c r="Q1030" t="str">
        <f t="shared" si="35"/>
        <v/>
      </c>
      <c r="R1030" s="54" t="str">
        <f t="shared" si="36"/>
        <v/>
      </c>
    </row>
    <row r="1031" spans="17:18" x14ac:dyDescent="0.3">
      <c r="Q1031" t="str">
        <f t="shared" si="35"/>
        <v/>
      </c>
      <c r="R1031" s="54" t="str">
        <f t="shared" si="36"/>
        <v/>
      </c>
    </row>
    <row r="1032" spans="17:18" x14ac:dyDescent="0.3">
      <c r="Q1032" t="str">
        <f t="shared" si="35"/>
        <v/>
      </c>
      <c r="R1032" s="54" t="str">
        <f t="shared" si="36"/>
        <v/>
      </c>
    </row>
    <row r="1033" spans="17:18" x14ac:dyDescent="0.3">
      <c r="Q1033" t="str">
        <f t="shared" si="35"/>
        <v/>
      </c>
      <c r="R1033" s="54" t="str">
        <f t="shared" si="36"/>
        <v/>
      </c>
    </row>
    <row r="1034" spans="17:18" x14ac:dyDescent="0.3">
      <c r="Q1034" t="str">
        <f t="shared" si="35"/>
        <v/>
      </c>
      <c r="R1034" s="54" t="str">
        <f t="shared" si="36"/>
        <v/>
      </c>
    </row>
    <row r="1035" spans="17:18" x14ac:dyDescent="0.3">
      <c r="Q1035" t="str">
        <f t="shared" si="35"/>
        <v/>
      </c>
      <c r="R1035" s="54" t="str">
        <f t="shared" si="36"/>
        <v/>
      </c>
    </row>
    <row r="1036" spans="17:18" x14ac:dyDescent="0.3">
      <c r="Q1036" t="str">
        <f t="shared" si="35"/>
        <v/>
      </c>
      <c r="R1036" s="54" t="str">
        <f t="shared" si="36"/>
        <v/>
      </c>
    </row>
    <row r="1037" spans="17:18" x14ac:dyDescent="0.3">
      <c r="Q1037" t="str">
        <f t="shared" si="35"/>
        <v/>
      </c>
      <c r="R1037" s="54" t="str">
        <f t="shared" si="36"/>
        <v/>
      </c>
    </row>
    <row r="1038" spans="17:18" x14ac:dyDescent="0.3">
      <c r="Q1038" t="str">
        <f t="shared" si="35"/>
        <v/>
      </c>
      <c r="R1038" s="54" t="str">
        <f t="shared" si="36"/>
        <v/>
      </c>
    </row>
    <row r="1039" spans="17:18" x14ac:dyDescent="0.3">
      <c r="Q1039" t="str">
        <f t="shared" si="35"/>
        <v/>
      </c>
      <c r="R1039" s="54" t="str">
        <f t="shared" si="36"/>
        <v/>
      </c>
    </row>
    <row r="1040" spans="17:18" x14ac:dyDescent="0.3">
      <c r="Q1040" t="str">
        <f t="shared" si="35"/>
        <v/>
      </c>
      <c r="R1040" s="54" t="str">
        <f t="shared" si="36"/>
        <v/>
      </c>
    </row>
    <row r="1041" spans="17:18" x14ac:dyDescent="0.3">
      <c r="Q1041" t="str">
        <f t="shared" si="35"/>
        <v/>
      </c>
      <c r="R1041" s="54" t="str">
        <f t="shared" si="36"/>
        <v/>
      </c>
    </row>
    <row r="1042" spans="17:18" x14ac:dyDescent="0.3">
      <c r="Q1042" t="str">
        <f t="shared" si="35"/>
        <v/>
      </c>
      <c r="R1042" s="54" t="str">
        <f t="shared" si="36"/>
        <v/>
      </c>
    </row>
    <row r="1043" spans="17:18" x14ac:dyDescent="0.3">
      <c r="Q1043" t="str">
        <f t="shared" si="35"/>
        <v/>
      </c>
      <c r="R1043" s="54" t="str">
        <f t="shared" si="36"/>
        <v/>
      </c>
    </row>
    <row r="1044" spans="17:18" x14ac:dyDescent="0.3">
      <c r="Q1044" t="str">
        <f t="shared" si="35"/>
        <v/>
      </c>
      <c r="R1044" s="54" t="str">
        <f t="shared" si="36"/>
        <v/>
      </c>
    </row>
    <row r="1045" spans="17:18" x14ac:dyDescent="0.3">
      <c r="Q1045" t="str">
        <f t="shared" si="35"/>
        <v/>
      </c>
      <c r="R1045" s="54" t="str">
        <f t="shared" si="36"/>
        <v/>
      </c>
    </row>
    <row r="1046" spans="17:18" x14ac:dyDescent="0.3">
      <c r="Q1046" t="str">
        <f t="shared" si="35"/>
        <v/>
      </c>
      <c r="R1046" s="54" t="str">
        <f t="shared" si="36"/>
        <v/>
      </c>
    </row>
    <row r="1047" spans="17:18" x14ac:dyDescent="0.3">
      <c r="Q1047" t="str">
        <f t="shared" ref="Q1047:Q1110" si="37">IF(COUNTA(A1047:P1047)=0,"",IF(ISNUMBER(SEARCH("-AR-",E1061)),"Architectural",IF(ISNUMBER(SEARCH("-ST-",E1061)),"Structural",IF(ISNUMBER(SEARCH("-ME-",E1061)),"Mechanical",IF(ISNUMBER(SEARCH("-EL-",E1061)),"Electrical",IF(ISNUMBER(SEARCH("-GE-",E1061)),"General",IF(ISNUMBER(SEARCH("-AR-",D1061)),"Architectural",IF(ISNUMBER(SEARCH("-ST-",D1061)),"Structural",IF(ISNUMBER(SEARCH("-ME-",D1061)),"Mechanical",IF(ISNUMBER(SEARCH("-EL-",D1061)),"Electrical",IF(ISNUMBER(SEARCH("-GE-",D1061)),"General","Other")))))))))))</f>
        <v/>
      </c>
      <c r="R1047" s="54" t="str">
        <f t="shared" si="36"/>
        <v/>
      </c>
    </row>
    <row r="1048" spans="17:18" x14ac:dyDescent="0.3">
      <c r="Q1048" t="str">
        <f t="shared" si="37"/>
        <v/>
      </c>
      <c r="R1048" s="54" t="str">
        <f t="shared" si="36"/>
        <v/>
      </c>
    </row>
    <row r="1049" spans="17:18" x14ac:dyDescent="0.3">
      <c r="Q1049" t="str">
        <f t="shared" si="37"/>
        <v/>
      </c>
      <c r="R1049" s="54" t="str">
        <f t="shared" si="36"/>
        <v/>
      </c>
    </row>
    <row r="1050" spans="17:18" x14ac:dyDescent="0.3">
      <c r="Q1050" t="str">
        <f t="shared" si="37"/>
        <v/>
      </c>
      <c r="R1050" s="54" t="str">
        <f t="shared" si="36"/>
        <v/>
      </c>
    </row>
    <row r="1051" spans="17:18" x14ac:dyDescent="0.3">
      <c r="Q1051" t="str">
        <f t="shared" si="37"/>
        <v/>
      </c>
      <c r="R1051" s="54" t="str">
        <f t="shared" si="36"/>
        <v/>
      </c>
    </row>
    <row r="1052" spans="17:18" x14ac:dyDescent="0.3">
      <c r="Q1052" t="str">
        <f t="shared" si="37"/>
        <v/>
      </c>
      <c r="R1052" s="54" t="str">
        <f t="shared" si="36"/>
        <v/>
      </c>
    </row>
    <row r="1053" spans="17:18" x14ac:dyDescent="0.3">
      <c r="Q1053" t="str">
        <f t="shared" si="37"/>
        <v/>
      </c>
      <c r="R1053" s="54" t="str">
        <f t="shared" si="36"/>
        <v/>
      </c>
    </row>
    <row r="1054" spans="17:18" x14ac:dyDescent="0.3">
      <c r="Q1054" t="str">
        <f t="shared" si="37"/>
        <v/>
      </c>
      <c r="R1054" s="54" t="str">
        <f t="shared" si="36"/>
        <v/>
      </c>
    </row>
    <row r="1055" spans="17:18" x14ac:dyDescent="0.3">
      <c r="Q1055" t="str">
        <f t="shared" si="37"/>
        <v/>
      </c>
      <c r="R1055" s="54" t="str">
        <f t="shared" si="36"/>
        <v/>
      </c>
    </row>
    <row r="1056" spans="17:18" x14ac:dyDescent="0.3">
      <c r="Q1056" t="str">
        <f t="shared" si="37"/>
        <v/>
      </c>
      <c r="R1056" s="54" t="str">
        <f t="shared" si="36"/>
        <v/>
      </c>
    </row>
    <row r="1057" spans="17:18" x14ac:dyDescent="0.3">
      <c r="Q1057" t="str">
        <f t="shared" si="37"/>
        <v/>
      </c>
      <c r="R1057" s="54" t="str">
        <f t="shared" si="36"/>
        <v/>
      </c>
    </row>
    <row r="1058" spans="17:18" x14ac:dyDescent="0.3">
      <c r="Q1058" t="str">
        <f t="shared" si="37"/>
        <v/>
      </c>
      <c r="R1058" s="54" t="str">
        <f t="shared" si="36"/>
        <v/>
      </c>
    </row>
    <row r="1059" spans="17:18" x14ac:dyDescent="0.3">
      <c r="Q1059" t="str">
        <f t="shared" si="37"/>
        <v/>
      </c>
      <c r="R1059" s="54" t="str">
        <f t="shared" si="36"/>
        <v/>
      </c>
    </row>
    <row r="1060" spans="17:18" x14ac:dyDescent="0.3">
      <c r="Q1060" t="str">
        <f t="shared" si="37"/>
        <v/>
      </c>
      <c r="R1060" s="54" t="str">
        <f t="shared" si="36"/>
        <v/>
      </c>
    </row>
    <row r="1061" spans="17:18" x14ac:dyDescent="0.3">
      <c r="Q1061" t="str">
        <f t="shared" si="37"/>
        <v/>
      </c>
      <c r="R1061" s="54" t="str">
        <f t="shared" si="36"/>
        <v/>
      </c>
    </row>
    <row r="1062" spans="17:18" x14ac:dyDescent="0.3">
      <c r="Q1062" t="str">
        <f t="shared" si="37"/>
        <v/>
      </c>
      <c r="R1062" s="54" t="str">
        <f t="shared" si="36"/>
        <v/>
      </c>
    </row>
    <row r="1063" spans="17:18" x14ac:dyDescent="0.3">
      <c r="Q1063" t="str">
        <f t="shared" si="37"/>
        <v/>
      </c>
      <c r="R1063" s="54" t="str">
        <f t="shared" si="36"/>
        <v/>
      </c>
    </row>
    <row r="1064" spans="17:18" x14ac:dyDescent="0.3">
      <c r="Q1064" t="str">
        <f t="shared" si="37"/>
        <v/>
      </c>
      <c r="R1064" s="54" t="str">
        <f t="shared" si="36"/>
        <v/>
      </c>
    </row>
    <row r="1065" spans="17:18" x14ac:dyDescent="0.3">
      <c r="Q1065" t="str">
        <f t="shared" si="37"/>
        <v/>
      </c>
      <c r="R1065" s="54" t="str">
        <f t="shared" si="36"/>
        <v/>
      </c>
    </row>
    <row r="1066" spans="17:18" x14ac:dyDescent="0.3">
      <c r="Q1066" t="str">
        <f t="shared" si="37"/>
        <v/>
      </c>
      <c r="R1066" s="54" t="str">
        <f t="shared" si="36"/>
        <v/>
      </c>
    </row>
    <row r="1067" spans="17:18" x14ac:dyDescent="0.3">
      <c r="Q1067" t="str">
        <f t="shared" si="37"/>
        <v/>
      </c>
      <c r="R1067" s="54" t="str">
        <f t="shared" si="36"/>
        <v/>
      </c>
    </row>
    <row r="1068" spans="17:18" x14ac:dyDescent="0.3">
      <c r="Q1068" t="str">
        <f t="shared" si="37"/>
        <v/>
      </c>
      <c r="R1068" s="54" t="str">
        <f t="shared" si="36"/>
        <v/>
      </c>
    </row>
    <row r="1069" spans="17:18" x14ac:dyDescent="0.3">
      <c r="Q1069" t="str">
        <f t="shared" si="37"/>
        <v/>
      </c>
      <c r="R1069" s="54" t="str">
        <f t="shared" si="36"/>
        <v/>
      </c>
    </row>
    <row r="1070" spans="17:18" x14ac:dyDescent="0.3">
      <c r="Q1070" t="str">
        <f t="shared" si="37"/>
        <v/>
      </c>
      <c r="R1070" s="54" t="str">
        <f t="shared" si="36"/>
        <v/>
      </c>
    </row>
    <row r="1071" spans="17:18" x14ac:dyDescent="0.3">
      <c r="Q1071" t="str">
        <f t="shared" si="37"/>
        <v/>
      </c>
      <c r="R1071" s="54" t="str">
        <f t="shared" si="36"/>
        <v/>
      </c>
    </row>
    <row r="1072" spans="17:18" x14ac:dyDescent="0.3">
      <c r="Q1072" t="str">
        <f t="shared" si="37"/>
        <v/>
      </c>
      <c r="R1072" s="54" t="str">
        <f t="shared" si="36"/>
        <v/>
      </c>
    </row>
    <row r="1073" spans="17:18" x14ac:dyDescent="0.3">
      <c r="Q1073" t="str">
        <f t="shared" si="37"/>
        <v/>
      </c>
      <c r="R1073" s="54" t="str">
        <f t="shared" si="36"/>
        <v/>
      </c>
    </row>
    <row r="1074" spans="17:18" x14ac:dyDescent="0.3">
      <c r="Q1074" t="str">
        <f t="shared" si="37"/>
        <v/>
      </c>
      <c r="R1074" s="54" t="str">
        <f t="shared" si="36"/>
        <v/>
      </c>
    </row>
    <row r="1075" spans="17:18" x14ac:dyDescent="0.3">
      <c r="Q1075" t="str">
        <f t="shared" si="37"/>
        <v/>
      </c>
      <c r="R1075" s="54" t="str">
        <f t="shared" si="36"/>
        <v/>
      </c>
    </row>
    <row r="1076" spans="17:18" x14ac:dyDescent="0.3">
      <c r="Q1076" t="str">
        <f t="shared" si="37"/>
        <v/>
      </c>
      <c r="R1076" s="54" t="str">
        <f t="shared" si="36"/>
        <v/>
      </c>
    </row>
    <row r="1077" spans="17:18" x14ac:dyDescent="0.3">
      <c r="Q1077" t="str">
        <f t="shared" si="37"/>
        <v/>
      </c>
      <c r="R1077" s="54" t="str">
        <f t="shared" si="36"/>
        <v/>
      </c>
    </row>
    <row r="1078" spans="17:18" x14ac:dyDescent="0.3">
      <c r="Q1078" t="str">
        <f t="shared" si="37"/>
        <v/>
      </c>
      <c r="R1078" s="54" t="str">
        <f t="shared" si="36"/>
        <v/>
      </c>
    </row>
    <row r="1079" spans="17:18" x14ac:dyDescent="0.3">
      <c r="Q1079" t="str">
        <f t="shared" si="37"/>
        <v/>
      </c>
      <c r="R1079" s="54" t="str">
        <f t="shared" si="36"/>
        <v/>
      </c>
    </row>
    <row r="1080" spans="17:18" x14ac:dyDescent="0.3">
      <c r="Q1080" t="str">
        <f t="shared" si="37"/>
        <v/>
      </c>
      <c r="R1080" s="54" t="str">
        <f t="shared" si="36"/>
        <v/>
      </c>
    </row>
    <row r="1081" spans="17:18" x14ac:dyDescent="0.3">
      <c r="Q1081" t="str">
        <f t="shared" si="37"/>
        <v/>
      </c>
      <c r="R1081" s="54" t="str">
        <f t="shared" si="36"/>
        <v/>
      </c>
    </row>
    <row r="1082" spans="17:18" x14ac:dyDescent="0.3">
      <c r="Q1082" t="str">
        <f t="shared" si="37"/>
        <v/>
      </c>
      <c r="R1082" s="54" t="str">
        <f t="shared" si="36"/>
        <v/>
      </c>
    </row>
    <row r="1083" spans="17:18" x14ac:dyDescent="0.3">
      <c r="Q1083" t="str">
        <f t="shared" si="37"/>
        <v/>
      </c>
      <c r="R1083" s="54" t="str">
        <f t="shared" si="36"/>
        <v/>
      </c>
    </row>
    <row r="1084" spans="17:18" x14ac:dyDescent="0.3">
      <c r="Q1084" t="str">
        <f t="shared" si="37"/>
        <v/>
      </c>
      <c r="R1084" s="54" t="str">
        <f t="shared" si="36"/>
        <v/>
      </c>
    </row>
    <row r="1085" spans="17:18" x14ac:dyDescent="0.3">
      <c r="Q1085" t="str">
        <f t="shared" si="37"/>
        <v/>
      </c>
      <c r="R1085" s="54" t="str">
        <f t="shared" si="36"/>
        <v/>
      </c>
    </row>
    <row r="1086" spans="17:18" x14ac:dyDescent="0.3">
      <c r="Q1086" t="str">
        <f t="shared" si="37"/>
        <v/>
      </c>
      <c r="R1086" s="54" t="str">
        <f t="shared" si="36"/>
        <v/>
      </c>
    </row>
    <row r="1087" spans="17:18" x14ac:dyDescent="0.3">
      <c r="Q1087" t="str">
        <f t="shared" si="37"/>
        <v/>
      </c>
      <c r="R1087" s="54" t="str">
        <f t="shared" si="36"/>
        <v/>
      </c>
    </row>
    <row r="1088" spans="17:18" x14ac:dyDescent="0.3">
      <c r="Q1088" t="str">
        <f t="shared" si="37"/>
        <v/>
      </c>
      <c r="R1088" s="54" t="str">
        <f t="shared" si="36"/>
        <v/>
      </c>
    </row>
    <row r="1089" spans="17:18" x14ac:dyDescent="0.3">
      <c r="Q1089" t="str">
        <f t="shared" si="37"/>
        <v/>
      </c>
      <c r="R1089" s="54" t="str">
        <f t="shared" si="36"/>
        <v/>
      </c>
    </row>
    <row r="1090" spans="17:18" x14ac:dyDescent="0.3">
      <c r="Q1090" t="str">
        <f t="shared" si="37"/>
        <v/>
      </c>
      <c r="R1090" s="54" t="str">
        <f t="shared" si="36"/>
        <v/>
      </c>
    </row>
    <row r="1091" spans="17:18" x14ac:dyDescent="0.3">
      <c r="Q1091" t="str">
        <f t="shared" si="37"/>
        <v/>
      </c>
      <c r="R1091" s="54" t="str">
        <f t="shared" ref="R1091:R1154" si="38">IF(F1105="","",IFERROR(IF(ISNUMBER(F1105),F1105,DATEVALUE(F1105)),""))</f>
        <v/>
      </c>
    </row>
    <row r="1092" spans="17:18" x14ac:dyDescent="0.3">
      <c r="Q1092" t="str">
        <f t="shared" si="37"/>
        <v/>
      </c>
      <c r="R1092" s="54" t="str">
        <f t="shared" si="38"/>
        <v/>
      </c>
    </row>
    <row r="1093" spans="17:18" x14ac:dyDescent="0.3">
      <c r="Q1093" t="str">
        <f t="shared" si="37"/>
        <v/>
      </c>
      <c r="R1093" s="54" t="str">
        <f t="shared" si="38"/>
        <v/>
      </c>
    </row>
    <row r="1094" spans="17:18" x14ac:dyDescent="0.3">
      <c r="Q1094" t="str">
        <f t="shared" si="37"/>
        <v/>
      </c>
      <c r="R1094" s="54" t="str">
        <f t="shared" si="38"/>
        <v/>
      </c>
    </row>
    <row r="1095" spans="17:18" x14ac:dyDescent="0.3">
      <c r="Q1095" t="str">
        <f t="shared" si="37"/>
        <v/>
      </c>
      <c r="R1095" s="54" t="str">
        <f t="shared" si="38"/>
        <v/>
      </c>
    </row>
    <row r="1096" spans="17:18" x14ac:dyDescent="0.3">
      <c r="Q1096" t="str">
        <f t="shared" si="37"/>
        <v/>
      </c>
      <c r="R1096" s="54" t="str">
        <f t="shared" si="38"/>
        <v/>
      </c>
    </row>
    <row r="1097" spans="17:18" x14ac:dyDescent="0.3">
      <c r="Q1097" t="str">
        <f t="shared" si="37"/>
        <v/>
      </c>
      <c r="R1097" s="54" t="str">
        <f t="shared" si="38"/>
        <v/>
      </c>
    </row>
    <row r="1098" spans="17:18" x14ac:dyDescent="0.3">
      <c r="Q1098" t="str">
        <f t="shared" si="37"/>
        <v/>
      </c>
      <c r="R1098" s="54" t="str">
        <f t="shared" si="38"/>
        <v/>
      </c>
    </row>
    <row r="1099" spans="17:18" x14ac:dyDescent="0.3">
      <c r="Q1099" t="str">
        <f t="shared" si="37"/>
        <v/>
      </c>
      <c r="R1099" s="54" t="str">
        <f t="shared" si="38"/>
        <v/>
      </c>
    </row>
    <row r="1100" spans="17:18" x14ac:dyDescent="0.3">
      <c r="Q1100" t="str">
        <f t="shared" si="37"/>
        <v/>
      </c>
      <c r="R1100" s="54" t="str">
        <f t="shared" si="38"/>
        <v/>
      </c>
    </row>
    <row r="1101" spans="17:18" x14ac:dyDescent="0.3">
      <c r="Q1101" t="str">
        <f t="shared" si="37"/>
        <v/>
      </c>
      <c r="R1101" s="54" t="str">
        <f t="shared" si="38"/>
        <v/>
      </c>
    </row>
    <row r="1102" spans="17:18" x14ac:dyDescent="0.3">
      <c r="Q1102" t="str">
        <f t="shared" si="37"/>
        <v/>
      </c>
      <c r="R1102" s="54" t="str">
        <f t="shared" si="38"/>
        <v/>
      </c>
    </row>
    <row r="1103" spans="17:18" x14ac:dyDescent="0.3">
      <c r="Q1103" t="str">
        <f t="shared" si="37"/>
        <v/>
      </c>
      <c r="R1103" s="54" t="str">
        <f t="shared" si="38"/>
        <v/>
      </c>
    </row>
    <row r="1104" spans="17:18" x14ac:dyDescent="0.3">
      <c r="Q1104" t="str">
        <f t="shared" si="37"/>
        <v/>
      </c>
      <c r="R1104" s="54" t="str">
        <f t="shared" si="38"/>
        <v/>
      </c>
    </row>
    <row r="1105" spans="17:18" x14ac:dyDescent="0.3">
      <c r="Q1105" t="str">
        <f t="shared" si="37"/>
        <v/>
      </c>
      <c r="R1105" s="54" t="str">
        <f t="shared" si="38"/>
        <v/>
      </c>
    </row>
    <row r="1106" spans="17:18" x14ac:dyDescent="0.3">
      <c r="Q1106" t="str">
        <f t="shared" si="37"/>
        <v/>
      </c>
      <c r="R1106" s="54" t="str">
        <f t="shared" si="38"/>
        <v/>
      </c>
    </row>
    <row r="1107" spans="17:18" x14ac:dyDescent="0.3">
      <c r="Q1107" t="str">
        <f t="shared" si="37"/>
        <v/>
      </c>
      <c r="R1107" s="54" t="str">
        <f t="shared" si="38"/>
        <v/>
      </c>
    </row>
    <row r="1108" spans="17:18" x14ac:dyDescent="0.3">
      <c r="Q1108" t="str">
        <f t="shared" si="37"/>
        <v/>
      </c>
      <c r="R1108" s="54" t="str">
        <f t="shared" si="38"/>
        <v/>
      </c>
    </row>
    <row r="1109" spans="17:18" x14ac:dyDescent="0.3">
      <c r="Q1109" t="str">
        <f t="shared" si="37"/>
        <v/>
      </c>
      <c r="R1109" s="54" t="str">
        <f t="shared" si="38"/>
        <v/>
      </c>
    </row>
    <row r="1110" spans="17:18" x14ac:dyDescent="0.3">
      <c r="Q1110" t="str">
        <f t="shared" si="37"/>
        <v/>
      </c>
      <c r="R1110" s="54" t="str">
        <f t="shared" si="38"/>
        <v/>
      </c>
    </row>
    <row r="1111" spans="17:18" x14ac:dyDescent="0.3">
      <c r="Q1111" t="str">
        <f t="shared" ref="Q1111:Q1174" si="39">IF(COUNTA(A1111:P1111)=0,"",IF(ISNUMBER(SEARCH("-AR-",E1125)),"Architectural",IF(ISNUMBER(SEARCH("-ST-",E1125)),"Structural",IF(ISNUMBER(SEARCH("-ME-",E1125)),"Mechanical",IF(ISNUMBER(SEARCH("-EL-",E1125)),"Electrical",IF(ISNUMBER(SEARCH("-GE-",E1125)),"General",IF(ISNUMBER(SEARCH("-AR-",D1125)),"Architectural",IF(ISNUMBER(SEARCH("-ST-",D1125)),"Structural",IF(ISNUMBER(SEARCH("-ME-",D1125)),"Mechanical",IF(ISNUMBER(SEARCH("-EL-",D1125)),"Electrical",IF(ISNUMBER(SEARCH("-GE-",D1125)),"General","Other")))))))))))</f>
        <v/>
      </c>
      <c r="R1111" s="54" t="str">
        <f t="shared" si="38"/>
        <v/>
      </c>
    </row>
    <row r="1112" spans="17:18" x14ac:dyDescent="0.3">
      <c r="Q1112" t="str">
        <f t="shared" si="39"/>
        <v/>
      </c>
      <c r="R1112" s="54" t="str">
        <f t="shared" si="38"/>
        <v/>
      </c>
    </row>
    <row r="1113" spans="17:18" x14ac:dyDescent="0.3">
      <c r="Q1113" t="str">
        <f t="shared" si="39"/>
        <v/>
      </c>
      <c r="R1113" s="54" t="str">
        <f t="shared" si="38"/>
        <v/>
      </c>
    </row>
    <row r="1114" spans="17:18" x14ac:dyDescent="0.3">
      <c r="Q1114" t="str">
        <f t="shared" si="39"/>
        <v/>
      </c>
      <c r="R1114" s="54" t="str">
        <f t="shared" si="38"/>
        <v/>
      </c>
    </row>
    <row r="1115" spans="17:18" x14ac:dyDescent="0.3">
      <c r="Q1115" t="str">
        <f t="shared" si="39"/>
        <v/>
      </c>
      <c r="R1115" s="54" t="str">
        <f t="shared" si="38"/>
        <v/>
      </c>
    </row>
    <row r="1116" spans="17:18" x14ac:dyDescent="0.3">
      <c r="Q1116" t="str">
        <f t="shared" si="39"/>
        <v/>
      </c>
      <c r="R1116" s="54" t="str">
        <f t="shared" si="38"/>
        <v/>
      </c>
    </row>
    <row r="1117" spans="17:18" x14ac:dyDescent="0.3">
      <c r="Q1117" t="str">
        <f t="shared" si="39"/>
        <v/>
      </c>
      <c r="R1117" s="54" t="str">
        <f t="shared" si="38"/>
        <v/>
      </c>
    </row>
    <row r="1118" spans="17:18" x14ac:dyDescent="0.3">
      <c r="Q1118" t="str">
        <f t="shared" si="39"/>
        <v/>
      </c>
      <c r="R1118" s="54" t="str">
        <f t="shared" si="38"/>
        <v/>
      </c>
    </row>
    <row r="1119" spans="17:18" x14ac:dyDescent="0.3">
      <c r="Q1119" t="str">
        <f t="shared" si="39"/>
        <v/>
      </c>
      <c r="R1119" s="54" t="str">
        <f t="shared" si="38"/>
        <v/>
      </c>
    </row>
    <row r="1120" spans="17:18" x14ac:dyDescent="0.3">
      <c r="Q1120" t="str">
        <f t="shared" si="39"/>
        <v/>
      </c>
      <c r="R1120" s="54" t="str">
        <f t="shared" si="38"/>
        <v/>
      </c>
    </row>
    <row r="1121" spans="17:18" x14ac:dyDescent="0.3">
      <c r="Q1121" t="str">
        <f t="shared" si="39"/>
        <v/>
      </c>
      <c r="R1121" s="54" t="str">
        <f t="shared" si="38"/>
        <v/>
      </c>
    </row>
    <row r="1122" spans="17:18" x14ac:dyDescent="0.3">
      <c r="Q1122" t="str">
        <f t="shared" si="39"/>
        <v/>
      </c>
      <c r="R1122" s="54" t="str">
        <f t="shared" si="38"/>
        <v/>
      </c>
    </row>
    <row r="1123" spans="17:18" x14ac:dyDescent="0.3">
      <c r="Q1123" t="str">
        <f t="shared" si="39"/>
        <v/>
      </c>
      <c r="R1123" s="54" t="str">
        <f t="shared" si="38"/>
        <v/>
      </c>
    </row>
    <row r="1124" spans="17:18" x14ac:dyDescent="0.3">
      <c r="Q1124" t="str">
        <f t="shared" si="39"/>
        <v/>
      </c>
      <c r="R1124" s="54" t="str">
        <f t="shared" si="38"/>
        <v/>
      </c>
    </row>
    <row r="1125" spans="17:18" x14ac:dyDescent="0.3">
      <c r="Q1125" t="str">
        <f t="shared" si="39"/>
        <v/>
      </c>
      <c r="R1125" s="54" t="str">
        <f t="shared" si="38"/>
        <v/>
      </c>
    </row>
    <row r="1126" spans="17:18" x14ac:dyDescent="0.3">
      <c r="Q1126" t="str">
        <f t="shared" si="39"/>
        <v/>
      </c>
      <c r="R1126" s="54" t="str">
        <f t="shared" si="38"/>
        <v/>
      </c>
    </row>
    <row r="1127" spans="17:18" x14ac:dyDescent="0.3">
      <c r="Q1127" t="str">
        <f t="shared" si="39"/>
        <v/>
      </c>
      <c r="R1127" s="54" t="str">
        <f t="shared" si="38"/>
        <v/>
      </c>
    </row>
    <row r="1128" spans="17:18" x14ac:dyDescent="0.3">
      <c r="Q1128" t="str">
        <f t="shared" si="39"/>
        <v/>
      </c>
      <c r="R1128" s="54" t="str">
        <f t="shared" si="38"/>
        <v/>
      </c>
    </row>
    <row r="1129" spans="17:18" x14ac:dyDescent="0.3">
      <c r="Q1129" t="str">
        <f t="shared" si="39"/>
        <v/>
      </c>
      <c r="R1129" s="54" t="str">
        <f t="shared" si="38"/>
        <v/>
      </c>
    </row>
    <row r="1130" spans="17:18" x14ac:dyDescent="0.3">
      <c r="Q1130" t="str">
        <f t="shared" si="39"/>
        <v/>
      </c>
      <c r="R1130" s="54" t="str">
        <f t="shared" si="38"/>
        <v/>
      </c>
    </row>
    <row r="1131" spans="17:18" x14ac:dyDescent="0.3">
      <c r="Q1131" t="str">
        <f t="shared" si="39"/>
        <v/>
      </c>
      <c r="R1131" s="54" t="str">
        <f t="shared" si="38"/>
        <v/>
      </c>
    </row>
    <row r="1132" spans="17:18" x14ac:dyDescent="0.3">
      <c r="Q1132" t="str">
        <f t="shared" si="39"/>
        <v/>
      </c>
      <c r="R1132" s="54" t="str">
        <f t="shared" si="38"/>
        <v/>
      </c>
    </row>
    <row r="1133" spans="17:18" x14ac:dyDescent="0.3">
      <c r="Q1133" t="str">
        <f t="shared" si="39"/>
        <v/>
      </c>
      <c r="R1133" s="54" t="str">
        <f t="shared" si="38"/>
        <v/>
      </c>
    </row>
    <row r="1134" spans="17:18" x14ac:dyDescent="0.3">
      <c r="Q1134" t="str">
        <f t="shared" si="39"/>
        <v/>
      </c>
      <c r="R1134" s="54" t="str">
        <f t="shared" si="38"/>
        <v/>
      </c>
    </row>
    <row r="1135" spans="17:18" x14ac:dyDescent="0.3">
      <c r="Q1135" t="str">
        <f t="shared" si="39"/>
        <v/>
      </c>
      <c r="R1135" s="54" t="str">
        <f t="shared" si="38"/>
        <v/>
      </c>
    </row>
    <row r="1136" spans="17:18" x14ac:dyDescent="0.3">
      <c r="Q1136" t="str">
        <f t="shared" si="39"/>
        <v/>
      </c>
      <c r="R1136" s="54" t="str">
        <f t="shared" si="38"/>
        <v/>
      </c>
    </row>
    <row r="1137" spans="17:18" x14ac:dyDescent="0.3">
      <c r="Q1137" t="str">
        <f t="shared" si="39"/>
        <v/>
      </c>
      <c r="R1137" s="54" t="str">
        <f t="shared" si="38"/>
        <v/>
      </c>
    </row>
    <row r="1138" spans="17:18" x14ac:dyDescent="0.3">
      <c r="Q1138" t="str">
        <f t="shared" si="39"/>
        <v/>
      </c>
      <c r="R1138" s="54" t="str">
        <f t="shared" si="38"/>
        <v/>
      </c>
    </row>
    <row r="1139" spans="17:18" x14ac:dyDescent="0.3">
      <c r="Q1139" t="str">
        <f t="shared" si="39"/>
        <v/>
      </c>
      <c r="R1139" s="54" t="str">
        <f t="shared" si="38"/>
        <v/>
      </c>
    </row>
    <row r="1140" spans="17:18" x14ac:dyDescent="0.3">
      <c r="Q1140" t="str">
        <f t="shared" si="39"/>
        <v/>
      </c>
      <c r="R1140" s="54" t="str">
        <f t="shared" si="38"/>
        <v/>
      </c>
    </row>
    <row r="1141" spans="17:18" x14ac:dyDescent="0.3">
      <c r="Q1141" t="str">
        <f t="shared" si="39"/>
        <v/>
      </c>
      <c r="R1141" s="54" t="str">
        <f t="shared" si="38"/>
        <v/>
      </c>
    </row>
    <row r="1142" spans="17:18" x14ac:dyDescent="0.3">
      <c r="Q1142" t="str">
        <f t="shared" si="39"/>
        <v/>
      </c>
      <c r="R1142" s="54" t="str">
        <f t="shared" si="38"/>
        <v/>
      </c>
    </row>
    <row r="1143" spans="17:18" x14ac:dyDescent="0.3">
      <c r="Q1143" t="str">
        <f t="shared" si="39"/>
        <v/>
      </c>
      <c r="R1143" s="54" t="str">
        <f t="shared" si="38"/>
        <v/>
      </c>
    </row>
    <row r="1144" spans="17:18" x14ac:dyDescent="0.3">
      <c r="Q1144" t="str">
        <f t="shared" si="39"/>
        <v/>
      </c>
      <c r="R1144" s="54" t="str">
        <f t="shared" si="38"/>
        <v/>
      </c>
    </row>
    <row r="1145" spans="17:18" x14ac:dyDescent="0.3">
      <c r="Q1145" t="str">
        <f t="shared" si="39"/>
        <v/>
      </c>
      <c r="R1145" s="54" t="str">
        <f t="shared" si="38"/>
        <v/>
      </c>
    </row>
    <row r="1146" spans="17:18" x14ac:dyDescent="0.3">
      <c r="Q1146" t="str">
        <f t="shared" si="39"/>
        <v/>
      </c>
      <c r="R1146" s="54" t="str">
        <f t="shared" si="38"/>
        <v/>
      </c>
    </row>
    <row r="1147" spans="17:18" x14ac:dyDescent="0.3">
      <c r="Q1147" t="str">
        <f t="shared" si="39"/>
        <v/>
      </c>
      <c r="R1147" s="54" t="str">
        <f t="shared" si="38"/>
        <v/>
      </c>
    </row>
    <row r="1148" spans="17:18" x14ac:dyDescent="0.3">
      <c r="Q1148" t="str">
        <f t="shared" si="39"/>
        <v/>
      </c>
      <c r="R1148" s="54" t="str">
        <f t="shared" si="38"/>
        <v/>
      </c>
    </row>
    <row r="1149" spans="17:18" x14ac:dyDescent="0.3">
      <c r="Q1149" t="str">
        <f t="shared" si="39"/>
        <v/>
      </c>
      <c r="R1149" s="54" t="str">
        <f t="shared" si="38"/>
        <v/>
      </c>
    </row>
    <row r="1150" spans="17:18" x14ac:dyDescent="0.3">
      <c r="Q1150" t="str">
        <f t="shared" si="39"/>
        <v/>
      </c>
      <c r="R1150" s="54" t="str">
        <f t="shared" si="38"/>
        <v/>
      </c>
    </row>
    <row r="1151" spans="17:18" x14ac:dyDescent="0.3">
      <c r="Q1151" t="str">
        <f t="shared" si="39"/>
        <v/>
      </c>
      <c r="R1151" s="54" t="str">
        <f t="shared" si="38"/>
        <v/>
      </c>
    </row>
    <row r="1152" spans="17:18" x14ac:dyDescent="0.3">
      <c r="Q1152" t="str">
        <f t="shared" si="39"/>
        <v/>
      </c>
      <c r="R1152" s="54" t="str">
        <f t="shared" si="38"/>
        <v/>
      </c>
    </row>
    <row r="1153" spans="17:18" x14ac:dyDescent="0.3">
      <c r="Q1153" t="str">
        <f t="shared" si="39"/>
        <v/>
      </c>
      <c r="R1153" s="54" t="str">
        <f t="shared" si="38"/>
        <v/>
      </c>
    </row>
    <row r="1154" spans="17:18" x14ac:dyDescent="0.3">
      <c r="Q1154" t="str">
        <f t="shared" si="39"/>
        <v/>
      </c>
      <c r="R1154" s="54" t="str">
        <f t="shared" si="38"/>
        <v/>
      </c>
    </row>
    <row r="1155" spans="17:18" x14ac:dyDescent="0.3">
      <c r="Q1155" t="str">
        <f t="shared" si="39"/>
        <v/>
      </c>
      <c r="R1155" s="54" t="str">
        <f t="shared" ref="R1155:R1218" si="40">IF(F1169="","",IFERROR(IF(ISNUMBER(F1169),F1169,DATEVALUE(F1169)),""))</f>
        <v/>
      </c>
    </row>
    <row r="1156" spans="17:18" x14ac:dyDescent="0.3">
      <c r="Q1156" t="str">
        <f t="shared" si="39"/>
        <v/>
      </c>
      <c r="R1156" s="54" t="str">
        <f t="shared" si="40"/>
        <v/>
      </c>
    </row>
    <row r="1157" spans="17:18" x14ac:dyDescent="0.3">
      <c r="Q1157" t="str">
        <f t="shared" si="39"/>
        <v/>
      </c>
      <c r="R1157" s="54" t="str">
        <f t="shared" si="40"/>
        <v/>
      </c>
    </row>
    <row r="1158" spans="17:18" x14ac:dyDescent="0.3">
      <c r="Q1158" t="str">
        <f t="shared" si="39"/>
        <v/>
      </c>
      <c r="R1158" s="54" t="str">
        <f t="shared" si="40"/>
        <v/>
      </c>
    </row>
    <row r="1159" spans="17:18" x14ac:dyDescent="0.3">
      <c r="Q1159" t="str">
        <f t="shared" si="39"/>
        <v/>
      </c>
      <c r="R1159" s="54" t="str">
        <f t="shared" si="40"/>
        <v/>
      </c>
    </row>
    <row r="1160" spans="17:18" x14ac:dyDescent="0.3">
      <c r="Q1160" t="str">
        <f t="shared" si="39"/>
        <v/>
      </c>
      <c r="R1160" s="54" t="str">
        <f t="shared" si="40"/>
        <v/>
      </c>
    </row>
    <row r="1161" spans="17:18" x14ac:dyDescent="0.3">
      <c r="Q1161" t="str">
        <f t="shared" si="39"/>
        <v/>
      </c>
      <c r="R1161" s="54" t="str">
        <f t="shared" si="40"/>
        <v/>
      </c>
    </row>
    <row r="1162" spans="17:18" x14ac:dyDescent="0.3">
      <c r="Q1162" t="str">
        <f t="shared" si="39"/>
        <v/>
      </c>
      <c r="R1162" s="54" t="str">
        <f t="shared" si="40"/>
        <v/>
      </c>
    </row>
    <row r="1163" spans="17:18" x14ac:dyDescent="0.3">
      <c r="Q1163" t="str">
        <f t="shared" si="39"/>
        <v/>
      </c>
      <c r="R1163" s="54" t="str">
        <f t="shared" si="40"/>
        <v/>
      </c>
    </row>
    <row r="1164" spans="17:18" x14ac:dyDescent="0.3">
      <c r="Q1164" t="str">
        <f t="shared" si="39"/>
        <v/>
      </c>
      <c r="R1164" s="54" t="str">
        <f t="shared" si="40"/>
        <v/>
      </c>
    </row>
    <row r="1165" spans="17:18" x14ac:dyDescent="0.3">
      <c r="Q1165" t="str">
        <f t="shared" si="39"/>
        <v/>
      </c>
      <c r="R1165" s="54" t="str">
        <f t="shared" si="40"/>
        <v/>
      </c>
    </row>
    <row r="1166" spans="17:18" x14ac:dyDescent="0.3">
      <c r="Q1166" t="str">
        <f t="shared" si="39"/>
        <v/>
      </c>
      <c r="R1166" s="54" t="str">
        <f t="shared" si="40"/>
        <v/>
      </c>
    </row>
    <row r="1167" spans="17:18" x14ac:dyDescent="0.3">
      <c r="Q1167" t="str">
        <f t="shared" si="39"/>
        <v/>
      </c>
      <c r="R1167" s="54" t="str">
        <f t="shared" si="40"/>
        <v/>
      </c>
    </row>
    <row r="1168" spans="17:18" x14ac:dyDescent="0.3">
      <c r="Q1168" t="str">
        <f t="shared" si="39"/>
        <v/>
      </c>
      <c r="R1168" s="54" t="str">
        <f t="shared" si="40"/>
        <v/>
      </c>
    </row>
    <row r="1169" spans="17:18" x14ac:dyDescent="0.3">
      <c r="Q1169" t="str">
        <f t="shared" si="39"/>
        <v/>
      </c>
      <c r="R1169" s="54" t="str">
        <f t="shared" si="40"/>
        <v/>
      </c>
    </row>
    <row r="1170" spans="17:18" x14ac:dyDescent="0.3">
      <c r="Q1170" t="str">
        <f t="shared" si="39"/>
        <v/>
      </c>
      <c r="R1170" s="54" t="str">
        <f t="shared" si="40"/>
        <v/>
      </c>
    </row>
    <row r="1171" spans="17:18" x14ac:dyDescent="0.3">
      <c r="Q1171" t="str">
        <f t="shared" si="39"/>
        <v/>
      </c>
      <c r="R1171" s="54" t="str">
        <f t="shared" si="40"/>
        <v/>
      </c>
    </row>
    <row r="1172" spans="17:18" x14ac:dyDescent="0.3">
      <c r="Q1172" t="str">
        <f t="shared" si="39"/>
        <v/>
      </c>
      <c r="R1172" s="54" t="str">
        <f t="shared" si="40"/>
        <v/>
      </c>
    </row>
    <row r="1173" spans="17:18" x14ac:dyDescent="0.3">
      <c r="Q1173" t="str">
        <f t="shared" si="39"/>
        <v/>
      </c>
      <c r="R1173" s="54" t="str">
        <f t="shared" si="40"/>
        <v/>
      </c>
    </row>
    <row r="1174" spans="17:18" x14ac:dyDescent="0.3">
      <c r="Q1174" t="str">
        <f t="shared" si="39"/>
        <v/>
      </c>
      <c r="R1174" s="54" t="str">
        <f t="shared" si="40"/>
        <v/>
      </c>
    </row>
    <row r="1175" spans="17:18" x14ac:dyDescent="0.3">
      <c r="Q1175" t="str">
        <f t="shared" ref="Q1175:Q1238" si="41">IF(COUNTA(A1175:P1175)=0,"",IF(ISNUMBER(SEARCH("-AR-",E1189)),"Architectural",IF(ISNUMBER(SEARCH("-ST-",E1189)),"Structural",IF(ISNUMBER(SEARCH("-ME-",E1189)),"Mechanical",IF(ISNUMBER(SEARCH("-EL-",E1189)),"Electrical",IF(ISNUMBER(SEARCH("-GE-",E1189)),"General",IF(ISNUMBER(SEARCH("-AR-",D1189)),"Architectural",IF(ISNUMBER(SEARCH("-ST-",D1189)),"Structural",IF(ISNUMBER(SEARCH("-ME-",D1189)),"Mechanical",IF(ISNUMBER(SEARCH("-EL-",D1189)),"Electrical",IF(ISNUMBER(SEARCH("-GE-",D1189)),"General","Other")))))))))))</f>
        <v/>
      </c>
      <c r="R1175" s="54" t="str">
        <f t="shared" si="40"/>
        <v/>
      </c>
    </row>
    <row r="1176" spans="17:18" x14ac:dyDescent="0.3">
      <c r="Q1176" t="str">
        <f t="shared" si="41"/>
        <v/>
      </c>
      <c r="R1176" s="54" t="str">
        <f t="shared" si="40"/>
        <v/>
      </c>
    </row>
    <row r="1177" spans="17:18" x14ac:dyDescent="0.3">
      <c r="Q1177" t="str">
        <f t="shared" si="41"/>
        <v/>
      </c>
      <c r="R1177" s="54" t="str">
        <f t="shared" si="40"/>
        <v/>
      </c>
    </row>
    <row r="1178" spans="17:18" x14ac:dyDescent="0.3">
      <c r="Q1178" t="str">
        <f t="shared" si="41"/>
        <v/>
      </c>
      <c r="R1178" s="54" t="str">
        <f t="shared" si="40"/>
        <v/>
      </c>
    </row>
    <row r="1179" spans="17:18" x14ac:dyDescent="0.3">
      <c r="Q1179" t="str">
        <f t="shared" si="41"/>
        <v/>
      </c>
      <c r="R1179" s="54" t="str">
        <f t="shared" si="40"/>
        <v/>
      </c>
    </row>
    <row r="1180" spans="17:18" x14ac:dyDescent="0.3">
      <c r="Q1180" t="str">
        <f t="shared" si="41"/>
        <v/>
      </c>
      <c r="R1180" s="54" t="str">
        <f t="shared" si="40"/>
        <v/>
      </c>
    </row>
    <row r="1181" spans="17:18" x14ac:dyDescent="0.3">
      <c r="Q1181" t="str">
        <f t="shared" si="41"/>
        <v/>
      </c>
      <c r="R1181" s="54" t="str">
        <f t="shared" si="40"/>
        <v/>
      </c>
    </row>
    <row r="1182" spans="17:18" x14ac:dyDescent="0.3">
      <c r="Q1182" t="str">
        <f t="shared" si="41"/>
        <v/>
      </c>
      <c r="R1182" s="54" t="str">
        <f t="shared" si="40"/>
        <v/>
      </c>
    </row>
    <row r="1183" spans="17:18" x14ac:dyDescent="0.3">
      <c r="Q1183" t="str">
        <f t="shared" si="41"/>
        <v/>
      </c>
      <c r="R1183" s="54" t="str">
        <f t="shared" si="40"/>
        <v/>
      </c>
    </row>
    <row r="1184" spans="17:18" x14ac:dyDescent="0.3">
      <c r="Q1184" t="str">
        <f t="shared" si="41"/>
        <v/>
      </c>
      <c r="R1184" s="54" t="str">
        <f t="shared" si="40"/>
        <v/>
      </c>
    </row>
    <row r="1185" spans="17:18" x14ac:dyDescent="0.3">
      <c r="Q1185" t="str">
        <f t="shared" si="41"/>
        <v/>
      </c>
      <c r="R1185" s="54" t="str">
        <f t="shared" si="40"/>
        <v/>
      </c>
    </row>
    <row r="1186" spans="17:18" x14ac:dyDescent="0.3">
      <c r="Q1186" t="str">
        <f t="shared" si="41"/>
        <v/>
      </c>
      <c r="R1186" s="54" t="str">
        <f t="shared" si="40"/>
        <v/>
      </c>
    </row>
    <row r="1187" spans="17:18" x14ac:dyDescent="0.3">
      <c r="Q1187" t="str">
        <f t="shared" si="41"/>
        <v/>
      </c>
      <c r="R1187" s="54" t="str">
        <f t="shared" si="40"/>
        <v/>
      </c>
    </row>
    <row r="1188" spans="17:18" x14ac:dyDescent="0.3">
      <c r="Q1188" t="str">
        <f t="shared" si="41"/>
        <v/>
      </c>
      <c r="R1188" s="54" t="str">
        <f t="shared" si="40"/>
        <v/>
      </c>
    </row>
    <row r="1189" spans="17:18" x14ac:dyDescent="0.3">
      <c r="Q1189" t="str">
        <f t="shared" si="41"/>
        <v/>
      </c>
      <c r="R1189" s="54" t="str">
        <f t="shared" si="40"/>
        <v/>
      </c>
    </row>
    <row r="1190" spans="17:18" x14ac:dyDescent="0.3">
      <c r="Q1190" t="str">
        <f t="shared" si="41"/>
        <v/>
      </c>
      <c r="R1190" s="54" t="str">
        <f t="shared" si="40"/>
        <v/>
      </c>
    </row>
    <row r="1191" spans="17:18" x14ac:dyDescent="0.3">
      <c r="Q1191" t="str">
        <f t="shared" si="41"/>
        <v/>
      </c>
      <c r="R1191" s="54" t="str">
        <f t="shared" si="40"/>
        <v/>
      </c>
    </row>
    <row r="1192" spans="17:18" x14ac:dyDescent="0.3">
      <c r="Q1192" t="str">
        <f t="shared" si="41"/>
        <v/>
      </c>
      <c r="R1192" s="54" t="str">
        <f t="shared" si="40"/>
        <v/>
      </c>
    </row>
    <row r="1193" spans="17:18" x14ac:dyDescent="0.3">
      <c r="Q1193" t="str">
        <f t="shared" si="41"/>
        <v/>
      </c>
      <c r="R1193" s="54" t="str">
        <f t="shared" si="40"/>
        <v/>
      </c>
    </row>
    <row r="1194" spans="17:18" x14ac:dyDescent="0.3">
      <c r="Q1194" t="str">
        <f t="shared" si="41"/>
        <v/>
      </c>
      <c r="R1194" s="54" t="str">
        <f t="shared" si="40"/>
        <v/>
      </c>
    </row>
    <row r="1195" spans="17:18" x14ac:dyDescent="0.3">
      <c r="Q1195" t="str">
        <f t="shared" si="41"/>
        <v/>
      </c>
      <c r="R1195" s="54" t="str">
        <f t="shared" si="40"/>
        <v/>
      </c>
    </row>
    <row r="1196" spans="17:18" x14ac:dyDescent="0.3">
      <c r="Q1196" t="str">
        <f t="shared" si="41"/>
        <v/>
      </c>
      <c r="R1196" s="54" t="str">
        <f t="shared" si="40"/>
        <v/>
      </c>
    </row>
    <row r="1197" spans="17:18" x14ac:dyDescent="0.3">
      <c r="Q1197" t="str">
        <f t="shared" si="41"/>
        <v/>
      </c>
      <c r="R1197" s="54" t="str">
        <f t="shared" si="40"/>
        <v/>
      </c>
    </row>
    <row r="1198" spans="17:18" x14ac:dyDescent="0.3">
      <c r="Q1198" t="str">
        <f t="shared" si="41"/>
        <v/>
      </c>
      <c r="R1198" s="54" t="str">
        <f t="shared" si="40"/>
        <v/>
      </c>
    </row>
    <row r="1199" spans="17:18" x14ac:dyDescent="0.3">
      <c r="Q1199" t="str">
        <f t="shared" si="41"/>
        <v/>
      </c>
      <c r="R1199" s="54" t="str">
        <f t="shared" si="40"/>
        <v/>
      </c>
    </row>
    <row r="1200" spans="17:18" x14ac:dyDescent="0.3">
      <c r="Q1200" t="str">
        <f t="shared" si="41"/>
        <v/>
      </c>
      <c r="R1200" s="54" t="str">
        <f t="shared" si="40"/>
        <v/>
      </c>
    </row>
    <row r="1201" spans="17:18" x14ac:dyDescent="0.3">
      <c r="Q1201" t="str">
        <f t="shared" si="41"/>
        <v/>
      </c>
      <c r="R1201" s="54" t="str">
        <f t="shared" si="40"/>
        <v/>
      </c>
    </row>
    <row r="1202" spans="17:18" x14ac:dyDescent="0.3">
      <c r="Q1202" t="str">
        <f t="shared" si="41"/>
        <v/>
      </c>
      <c r="R1202" s="54" t="str">
        <f t="shared" si="40"/>
        <v/>
      </c>
    </row>
    <row r="1203" spans="17:18" x14ac:dyDescent="0.3">
      <c r="Q1203" t="str">
        <f t="shared" si="41"/>
        <v/>
      </c>
      <c r="R1203" s="54" t="str">
        <f t="shared" si="40"/>
        <v/>
      </c>
    </row>
    <row r="1204" spans="17:18" x14ac:dyDescent="0.3">
      <c r="Q1204" t="str">
        <f t="shared" si="41"/>
        <v/>
      </c>
      <c r="R1204" s="54" t="str">
        <f t="shared" si="40"/>
        <v/>
      </c>
    </row>
    <row r="1205" spans="17:18" x14ac:dyDescent="0.3">
      <c r="Q1205" t="str">
        <f t="shared" si="41"/>
        <v/>
      </c>
      <c r="R1205" s="54" t="str">
        <f t="shared" si="40"/>
        <v/>
      </c>
    </row>
    <row r="1206" spans="17:18" x14ac:dyDescent="0.3">
      <c r="Q1206" t="str">
        <f t="shared" si="41"/>
        <v/>
      </c>
      <c r="R1206" s="54" t="str">
        <f t="shared" si="40"/>
        <v/>
      </c>
    </row>
    <row r="1207" spans="17:18" x14ac:dyDescent="0.3">
      <c r="Q1207" t="str">
        <f t="shared" si="41"/>
        <v/>
      </c>
      <c r="R1207" s="54" t="str">
        <f t="shared" si="40"/>
        <v/>
      </c>
    </row>
    <row r="1208" spans="17:18" x14ac:dyDescent="0.3">
      <c r="Q1208" t="str">
        <f t="shared" si="41"/>
        <v/>
      </c>
      <c r="R1208" s="54" t="str">
        <f t="shared" si="40"/>
        <v/>
      </c>
    </row>
    <row r="1209" spans="17:18" x14ac:dyDescent="0.3">
      <c r="Q1209" t="str">
        <f t="shared" si="41"/>
        <v/>
      </c>
      <c r="R1209" s="54" t="str">
        <f t="shared" si="40"/>
        <v/>
      </c>
    </row>
    <row r="1210" spans="17:18" x14ac:dyDescent="0.3">
      <c r="Q1210" t="str">
        <f t="shared" si="41"/>
        <v/>
      </c>
      <c r="R1210" s="54" t="str">
        <f t="shared" si="40"/>
        <v/>
      </c>
    </row>
    <row r="1211" spans="17:18" x14ac:dyDescent="0.3">
      <c r="Q1211" t="str">
        <f t="shared" si="41"/>
        <v/>
      </c>
      <c r="R1211" s="54" t="str">
        <f t="shared" si="40"/>
        <v/>
      </c>
    </row>
    <row r="1212" spans="17:18" x14ac:dyDescent="0.3">
      <c r="Q1212" t="str">
        <f t="shared" si="41"/>
        <v/>
      </c>
      <c r="R1212" s="54" t="str">
        <f t="shared" si="40"/>
        <v/>
      </c>
    </row>
    <row r="1213" spans="17:18" x14ac:dyDescent="0.3">
      <c r="Q1213" t="str">
        <f t="shared" si="41"/>
        <v/>
      </c>
      <c r="R1213" s="54" t="str">
        <f t="shared" si="40"/>
        <v/>
      </c>
    </row>
    <row r="1214" spans="17:18" x14ac:dyDescent="0.3">
      <c r="Q1214" t="str">
        <f t="shared" si="41"/>
        <v/>
      </c>
      <c r="R1214" s="54" t="str">
        <f t="shared" si="40"/>
        <v/>
      </c>
    </row>
    <row r="1215" spans="17:18" x14ac:dyDescent="0.3">
      <c r="Q1215" t="str">
        <f t="shared" si="41"/>
        <v/>
      </c>
      <c r="R1215" s="54" t="str">
        <f t="shared" si="40"/>
        <v/>
      </c>
    </row>
    <row r="1216" spans="17:18" x14ac:dyDescent="0.3">
      <c r="Q1216" t="str">
        <f t="shared" si="41"/>
        <v/>
      </c>
      <c r="R1216" s="54" t="str">
        <f t="shared" si="40"/>
        <v/>
      </c>
    </row>
    <row r="1217" spans="17:18" x14ac:dyDescent="0.3">
      <c r="Q1217" t="str">
        <f t="shared" si="41"/>
        <v/>
      </c>
      <c r="R1217" s="54" t="str">
        <f t="shared" si="40"/>
        <v/>
      </c>
    </row>
    <row r="1218" spans="17:18" x14ac:dyDescent="0.3">
      <c r="Q1218" t="str">
        <f t="shared" si="41"/>
        <v/>
      </c>
      <c r="R1218" s="54" t="str">
        <f t="shared" si="40"/>
        <v/>
      </c>
    </row>
    <row r="1219" spans="17:18" x14ac:dyDescent="0.3">
      <c r="Q1219" t="str">
        <f t="shared" si="41"/>
        <v/>
      </c>
      <c r="R1219" s="54" t="str">
        <f t="shared" ref="R1219:R1282" si="42">IF(F1233="","",IFERROR(IF(ISNUMBER(F1233),F1233,DATEVALUE(F1233)),""))</f>
        <v/>
      </c>
    </row>
    <row r="1220" spans="17:18" x14ac:dyDescent="0.3">
      <c r="Q1220" t="str">
        <f t="shared" si="41"/>
        <v/>
      </c>
      <c r="R1220" s="54" t="str">
        <f t="shared" si="42"/>
        <v/>
      </c>
    </row>
    <row r="1221" spans="17:18" x14ac:dyDescent="0.3">
      <c r="Q1221" t="str">
        <f t="shared" si="41"/>
        <v/>
      </c>
      <c r="R1221" s="54" t="str">
        <f t="shared" si="42"/>
        <v/>
      </c>
    </row>
    <row r="1222" spans="17:18" x14ac:dyDescent="0.3">
      <c r="Q1222" t="str">
        <f t="shared" si="41"/>
        <v/>
      </c>
      <c r="R1222" s="54" t="str">
        <f t="shared" si="42"/>
        <v/>
      </c>
    </row>
    <row r="1223" spans="17:18" x14ac:dyDescent="0.3">
      <c r="Q1223" t="str">
        <f t="shared" si="41"/>
        <v/>
      </c>
      <c r="R1223" s="54" t="str">
        <f t="shared" si="42"/>
        <v/>
      </c>
    </row>
    <row r="1224" spans="17:18" x14ac:dyDescent="0.3">
      <c r="Q1224" t="str">
        <f t="shared" si="41"/>
        <v/>
      </c>
      <c r="R1224" s="54" t="str">
        <f t="shared" si="42"/>
        <v/>
      </c>
    </row>
    <row r="1225" spans="17:18" x14ac:dyDescent="0.3">
      <c r="Q1225" t="str">
        <f t="shared" si="41"/>
        <v/>
      </c>
      <c r="R1225" s="54" t="str">
        <f t="shared" si="42"/>
        <v/>
      </c>
    </row>
    <row r="1226" spans="17:18" x14ac:dyDescent="0.3">
      <c r="Q1226" t="str">
        <f t="shared" si="41"/>
        <v/>
      </c>
      <c r="R1226" s="54" t="str">
        <f t="shared" si="42"/>
        <v/>
      </c>
    </row>
    <row r="1227" spans="17:18" x14ac:dyDescent="0.3">
      <c r="Q1227" t="str">
        <f t="shared" si="41"/>
        <v/>
      </c>
      <c r="R1227" s="54" t="str">
        <f t="shared" si="42"/>
        <v/>
      </c>
    </row>
    <row r="1228" spans="17:18" x14ac:dyDescent="0.3">
      <c r="Q1228" t="str">
        <f t="shared" si="41"/>
        <v/>
      </c>
      <c r="R1228" s="54" t="str">
        <f t="shared" si="42"/>
        <v/>
      </c>
    </row>
    <row r="1229" spans="17:18" x14ac:dyDescent="0.3">
      <c r="Q1229" t="str">
        <f t="shared" si="41"/>
        <v/>
      </c>
      <c r="R1229" s="54" t="str">
        <f t="shared" si="42"/>
        <v/>
      </c>
    </row>
    <row r="1230" spans="17:18" x14ac:dyDescent="0.3">
      <c r="Q1230" t="str">
        <f t="shared" si="41"/>
        <v/>
      </c>
      <c r="R1230" s="54" t="str">
        <f t="shared" si="42"/>
        <v/>
      </c>
    </row>
    <row r="1231" spans="17:18" x14ac:dyDescent="0.3">
      <c r="Q1231" t="str">
        <f t="shared" si="41"/>
        <v/>
      </c>
      <c r="R1231" s="54" t="str">
        <f t="shared" si="42"/>
        <v/>
      </c>
    </row>
    <row r="1232" spans="17:18" x14ac:dyDescent="0.3">
      <c r="Q1232" t="str">
        <f t="shared" si="41"/>
        <v/>
      </c>
      <c r="R1232" s="54" t="str">
        <f t="shared" si="42"/>
        <v/>
      </c>
    </row>
    <row r="1233" spans="17:18" x14ac:dyDescent="0.3">
      <c r="Q1233" t="str">
        <f t="shared" si="41"/>
        <v/>
      </c>
      <c r="R1233" s="54" t="str">
        <f t="shared" si="42"/>
        <v/>
      </c>
    </row>
    <row r="1234" spans="17:18" x14ac:dyDescent="0.3">
      <c r="Q1234" t="str">
        <f t="shared" si="41"/>
        <v/>
      </c>
      <c r="R1234" s="54" t="str">
        <f t="shared" si="42"/>
        <v/>
      </c>
    </row>
    <row r="1235" spans="17:18" x14ac:dyDescent="0.3">
      <c r="Q1235" t="str">
        <f t="shared" si="41"/>
        <v/>
      </c>
      <c r="R1235" s="54" t="str">
        <f t="shared" si="42"/>
        <v/>
      </c>
    </row>
    <row r="1236" spans="17:18" x14ac:dyDescent="0.3">
      <c r="Q1236" t="str">
        <f t="shared" si="41"/>
        <v/>
      </c>
      <c r="R1236" s="54" t="str">
        <f t="shared" si="42"/>
        <v/>
      </c>
    </row>
    <row r="1237" spans="17:18" x14ac:dyDescent="0.3">
      <c r="Q1237" t="str">
        <f t="shared" si="41"/>
        <v/>
      </c>
      <c r="R1237" s="54" t="str">
        <f t="shared" si="42"/>
        <v/>
      </c>
    </row>
    <row r="1238" spans="17:18" x14ac:dyDescent="0.3">
      <c r="Q1238" t="str">
        <f t="shared" si="41"/>
        <v/>
      </c>
      <c r="R1238" s="54" t="str">
        <f t="shared" si="42"/>
        <v/>
      </c>
    </row>
    <row r="1239" spans="17:18" x14ac:dyDescent="0.3">
      <c r="Q1239" t="str">
        <f t="shared" ref="Q1239:Q1302" si="43">IF(COUNTA(A1239:P1239)=0,"",IF(ISNUMBER(SEARCH("-AR-",E1253)),"Architectural",IF(ISNUMBER(SEARCH("-ST-",E1253)),"Structural",IF(ISNUMBER(SEARCH("-ME-",E1253)),"Mechanical",IF(ISNUMBER(SEARCH("-EL-",E1253)),"Electrical",IF(ISNUMBER(SEARCH("-GE-",E1253)),"General",IF(ISNUMBER(SEARCH("-AR-",D1253)),"Architectural",IF(ISNUMBER(SEARCH("-ST-",D1253)),"Structural",IF(ISNUMBER(SEARCH("-ME-",D1253)),"Mechanical",IF(ISNUMBER(SEARCH("-EL-",D1253)),"Electrical",IF(ISNUMBER(SEARCH("-GE-",D1253)),"General","Other")))))))))))</f>
        <v/>
      </c>
      <c r="R1239" s="54" t="str">
        <f t="shared" si="42"/>
        <v/>
      </c>
    </row>
    <row r="1240" spans="17:18" x14ac:dyDescent="0.3">
      <c r="Q1240" t="str">
        <f t="shared" si="43"/>
        <v/>
      </c>
      <c r="R1240" s="54" t="str">
        <f t="shared" si="42"/>
        <v/>
      </c>
    </row>
    <row r="1241" spans="17:18" x14ac:dyDescent="0.3">
      <c r="Q1241" t="str">
        <f t="shared" si="43"/>
        <v/>
      </c>
      <c r="R1241" s="54" t="str">
        <f t="shared" si="42"/>
        <v/>
      </c>
    </row>
    <row r="1242" spans="17:18" x14ac:dyDescent="0.3">
      <c r="Q1242" t="str">
        <f t="shared" si="43"/>
        <v/>
      </c>
      <c r="R1242" s="54" t="str">
        <f t="shared" si="42"/>
        <v/>
      </c>
    </row>
    <row r="1243" spans="17:18" x14ac:dyDescent="0.3">
      <c r="Q1243" t="str">
        <f t="shared" si="43"/>
        <v/>
      </c>
      <c r="R1243" s="54" t="str">
        <f t="shared" si="42"/>
        <v/>
      </c>
    </row>
    <row r="1244" spans="17:18" x14ac:dyDescent="0.3">
      <c r="Q1244" t="str">
        <f t="shared" si="43"/>
        <v/>
      </c>
      <c r="R1244" s="54" t="str">
        <f t="shared" si="42"/>
        <v/>
      </c>
    </row>
    <row r="1245" spans="17:18" x14ac:dyDescent="0.3">
      <c r="Q1245" t="str">
        <f t="shared" si="43"/>
        <v/>
      </c>
      <c r="R1245" s="54" t="str">
        <f t="shared" si="42"/>
        <v/>
      </c>
    </row>
    <row r="1246" spans="17:18" x14ac:dyDescent="0.3">
      <c r="Q1246" t="str">
        <f t="shared" si="43"/>
        <v/>
      </c>
      <c r="R1246" s="54" t="str">
        <f t="shared" si="42"/>
        <v/>
      </c>
    </row>
    <row r="1247" spans="17:18" x14ac:dyDescent="0.3">
      <c r="Q1247" t="str">
        <f t="shared" si="43"/>
        <v/>
      </c>
      <c r="R1247" s="54" t="str">
        <f t="shared" si="42"/>
        <v/>
      </c>
    </row>
    <row r="1248" spans="17:18" x14ac:dyDescent="0.3">
      <c r="Q1248" t="str">
        <f t="shared" si="43"/>
        <v/>
      </c>
      <c r="R1248" s="54" t="str">
        <f t="shared" si="42"/>
        <v/>
      </c>
    </row>
    <row r="1249" spans="17:18" x14ac:dyDescent="0.3">
      <c r="Q1249" t="str">
        <f t="shared" si="43"/>
        <v/>
      </c>
      <c r="R1249" s="54" t="str">
        <f t="shared" si="42"/>
        <v/>
      </c>
    </row>
    <row r="1250" spans="17:18" x14ac:dyDescent="0.3">
      <c r="Q1250" t="str">
        <f t="shared" si="43"/>
        <v/>
      </c>
      <c r="R1250" s="54" t="str">
        <f t="shared" si="42"/>
        <v/>
      </c>
    </row>
    <row r="1251" spans="17:18" x14ac:dyDescent="0.3">
      <c r="Q1251" t="str">
        <f t="shared" si="43"/>
        <v/>
      </c>
      <c r="R1251" s="54" t="str">
        <f t="shared" si="42"/>
        <v/>
      </c>
    </row>
    <row r="1252" spans="17:18" x14ac:dyDescent="0.3">
      <c r="Q1252" t="str">
        <f t="shared" si="43"/>
        <v/>
      </c>
      <c r="R1252" s="54" t="str">
        <f t="shared" si="42"/>
        <v/>
      </c>
    </row>
    <row r="1253" spans="17:18" x14ac:dyDescent="0.3">
      <c r="Q1253" t="str">
        <f t="shared" si="43"/>
        <v/>
      </c>
      <c r="R1253" s="54" t="str">
        <f t="shared" si="42"/>
        <v/>
      </c>
    </row>
    <row r="1254" spans="17:18" x14ac:dyDescent="0.3">
      <c r="Q1254" t="str">
        <f t="shared" si="43"/>
        <v/>
      </c>
      <c r="R1254" s="54" t="str">
        <f t="shared" si="42"/>
        <v/>
      </c>
    </row>
    <row r="1255" spans="17:18" x14ac:dyDescent="0.3">
      <c r="Q1255" t="str">
        <f t="shared" si="43"/>
        <v/>
      </c>
      <c r="R1255" s="54" t="str">
        <f t="shared" si="42"/>
        <v/>
      </c>
    </row>
    <row r="1256" spans="17:18" x14ac:dyDescent="0.3">
      <c r="Q1256" t="str">
        <f t="shared" si="43"/>
        <v/>
      </c>
      <c r="R1256" s="54" t="str">
        <f t="shared" si="42"/>
        <v/>
      </c>
    </row>
    <row r="1257" spans="17:18" x14ac:dyDescent="0.3">
      <c r="Q1257" t="str">
        <f t="shared" si="43"/>
        <v/>
      </c>
      <c r="R1257" s="54" t="str">
        <f t="shared" si="42"/>
        <v/>
      </c>
    </row>
    <row r="1258" spans="17:18" x14ac:dyDescent="0.3">
      <c r="Q1258" t="str">
        <f t="shared" si="43"/>
        <v/>
      </c>
      <c r="R1258" s="54" t="str">
        <f t="shared" si="42"/>
        <v/>
      </c>
    </row>
    <row r="1259" spans="17:18" x14ac:dyDescent="0.3">
      <c r="Q1259" t="str">
        <f t="shared" si="43"/>
        <v/>
      </c>
      <c r="R1259" s="54" t="str">
        <f t="shared" si="42"/>
        <v/>
      </c>
    </row>
    <row r="1260" spans="17:18" x14ac:dyDescent="0.3">
      <c r="Q1260" t="str">
        <f t="shared" si="43"/>
        <v/>
      </c>
      <c r="R1260" s="54" t="str">
        <f t="shared" si="42"/>
        <v/>
      </c>
    </row>
    <row r="1261" spans="17:18" x14ac:dyDescent="0.3">
      <c r="Q1261" t="str">
        <f t="shared" si="43"/>
        <v/>
      </c>
      <c r="R1261" s="54" t="str">
        <f t="shared" si="42"/>
        <v/>
      </c>
    </row>
    <row r="1262" spans="17:18" x14ac:dyDescent="0.3">
      <c r="Q1262" t="str">
        <f t="shared" si="43"/>
        <v/>
      </c>
      <c r="R1262" s="54" t="str">
        <f t="shared" si="42"/>
        <v/>
      </c>
    </row>
    <row r="1263" spans="17:18" x14ac:dyDescent="0.3">
      <c r="Q1263" t="str">
        <f t="shared" si="43"/>
        <v/>
      </c>
      <c r="R1263" s="54" t="str">
        <f t="shared" si="42"/>
        <v/>
      </c>
    </row>
    <row r="1264" spans="17:18" x14ac:dyDescent="0.3">
      <c r="Q1264" t="str">
        <f t="shared" si="43"/>
        <v/>
      </c>
      <c r="R1264" s="54" t="str">
        <f t="shared" si="42"/>
        <v/>
      </c>
    </row>
    <row r="1265" spans="17:18" x14ac:dyDescent="0.3">
      <c r="Q1265" t="str">
        <f t="shared" si="43"/>
        <v/>
      </c>
      <c r="R1265" s="54" t="str">
        <f t="shared" si="42"/>
        <v/>
      </c>
    </row>
    <row r="1266" spans="17:18" x14ac:dyDescent="0.3">
      <c r="Q1266" t="str">
        <f t="shared" si="43"/>
        <v/>
      </c>
      <c r="R1266" s="54" t="str">
        <f t="shared" si="42"/>
        <v/>
      </c>
    </row>
    <row r="1267" spans="17:18" x14ac:dyDescent="0.3">
      <c r="Q1267" t="str">
        <f t="shared" si="43"/>
        <v/>
      </c>
      <c r="R1267" s="54" t="str">
        <f t="shared" si="42"/>
        <v/>
      </c>
    </row>
    <row r="1268" spans="17:18" x14ac:dyDescent="0.3">
      <c r="Q1268" t="str">
        <f t="shared" si="43"/>
        <v/>
      </c>
      <c r="R1268" s="54" t="str">
        <f t="shared" si="42"/>
        <v/>
      </c>
    </row>
    <row r="1269" spans="17:18" x14ac:dyDescent="0.3">
      <c r="Q1269" t="str">
        <f t="shared" si="43"/>
        <v/>
      </c>
      <c r="R1269" s="54" t="str">
        <f t="shared" si="42"/>
        <v/>
      </c>
    </row>
    <row r="1270" spans="17:18" x14ac:dyDescent="0.3">
      <c r="Q1270" t="str">
        <f t="shared" si="43"/>
        <v/>
      </c>
      <c r="R1270" s="54" t="str">
        <f t="shared" si="42"/>
        <v/>
      </c>
    </row>
    <row r="1271" spans="17:18" x14ac:dyDescent="0.3">
      <c r="Q1271" t="str">
        <f t="shared" si="43"/>
        <v/>
      </c>
      <c r="R1271" s="54" t="str">
        <f t="shared" si="42"/>
        <v/>
      </c>
    </row>
    <row r="1272" spans="17:18" x14ac:dyDescent="0.3">
      <c r="Q1272" t="str">
        <f t="shared" si="43"/>
        <v/>
      </c>
      <c r="R1272" s="54" t="str">
        <f t="shared" si="42"/>
        <v/>
      </c>
    </row>
    <row r="1273" spans="17:18" x14ac:dyDescent="0.3">
      <c r="Q1273" t="str">
        <f t="shared" si="43"/>
        <v/>
      </c>
      <c r="R1273" s="54" t="str">
        <f t="shared" si="42"/>
        <v/>
      </c>
    </row>
    <row r="1274" spans="17:18" x14ac:dyDescent="0.3">
      <c r="Q1274" t="str">
        <f t="shared" si="43"/>
        <v/>
      </c>
      <c r="R1274" s="54" t="str">
        <f t="shared" si="42"/>
        <v/>
      </c>
    </row>
    <row r="1275" spans="17:18" x14ac:dyDescent="0.3">
      <c r="Q1275" t="str">
        <f t="shared" si="43"/>
        <v/>
      </c>
      <c r="R1275" s="54" t="str">
        <f t="shared" si="42"/>
        <v/>
      </c>
    </row>
    <row r="1276" spans="17:18" x14ac:dyDescent="0.3">
      <c r="Q1276" t="str">
        <f t="shared" si="43"/>
        <v/>
      </c>
      <c r="R1276" s="54" t="str">
        <f t="shared" si="42"/>
        <v/>
      </c>
    </row>
    <row r="1277" spans="17:18" x14ac:dyDescent="0.3">
      <c r="Q1277" t="str">
        <f t="shared" si="43"/>
        <v/>
      </c>
      <c r="R1277" s="54" t="str">
        <f t="shared" si="42"/>
        <v/>
      </c>
    </row>
    <row r="1278" spans="17:18" x14ac:dyDescent="0.3">
      <c r="Q1278" t="str">
        <f t="shared" si="43"/>
        <v/>
      </c>
      <c r="R1278" s="54" t="str">
        <f t="shared" si="42"/>
        <v/>
      </c>
    </row>
    <row r="1279" spans="17:18" x14ac:dyDescent="0.3">
      <c r="Q1279" t="str">
        <f t="shared" si="43"/>
        <v/>
      </c>
      <c r="R1279" s="54" t="str">
        <f t="shared" si="42"/>
        <v/>
      </c>
    </row>
    <row r="1280" spans="17:18" x14ac:dyDescent="0.3">
      <c r="Q1280" t="str">
        <f t="shared" si="43"/>
        <v/>
      </c>
      <c r="R1280" s="54" t="str">
        <f t="shared" si="42"/>
        <v/>
      </c>
    </row>
    <row r="1281" spans="17:18" x14ac:dyDescent="0.3">
      <c r="Q1281" t="str">
        <f t="shared" si="43"/>
        <v/>
      </c>
      <c r="R1281" s="54" t="str">
        <f t="shared" si="42"/>
        <v/>
      </c>
    </row>
    <row r="1282" spans="17:18" x14ac:dyDescent="0.3">
      <c r="Q1282" t="str">
        <f t="shared" si="43"/>
        <v/>
      </c>
      <c r="R1282" s="54" t="str">
        <f t="shared" si="42"/>
        <v/>
      </c>
    </row>
    <row r="1283" spans="17:18" x14ac:dyDescent="0.3">
      <c r="Q1283" t="str">
        <f t="shared" si="43"/>
        <v/>
      </c>
      <c r="R1283" s="54" t="str">
        <f t="shared" ref="R1283:R1346" si="44">IF(F1297="","",IFERROR(IF(ISNUMBER(F1297),F1297,DATEVALUE(F1297)),""))</f>
        <v/>
      </c>
    </row>
    <row r="1284" spans="17:18" x14ac:dyDescent="0.3">
      <c r="Q1284" t="str">
        <f t="shared" si="43"/>
        <v/>
      </c>
      <c r="R1284" s="54" t="str">
        <f t="shared" si="44"/>
        <v/>
      </c>
    </row>
    <row r="1285" spans="17:18" x14ac:dyDescent="0.3">
      <c r="Q1285" t="str">
        <f t="shared" si="43"/>
        <v/>
      </c>
      <c r="R1285" s="54" t="str">
        <f t="shared" si="44"/>
        <v/>
      </c>
    </row>
    <row r="1286" spans="17:18" x14ac:dyDescent="0.3">
      <c r="Q1286" t="str">
        <f t="shared" si="43"/>
        <v/>
      </c>
      <c r="R1286" s="54" t="str">
        <f t="shared" si="44"/>
        <v/>
      </c>
    </row>
    <row r="1287" spans="17:18" x14ac:dyDescent="0.3">
      <c r="Q1287" t="str">
        <f t="shared" si="43"/>
        <v/>
      </c>
      <c r="R1287" s="54" t="str">
        <f t="shared" si="44"/>
        <v/>
      </c>
    </row>
    <row r="1288" spans="17:18" x14ac:dyDescent="0.3">
      <c r="Q1288" t="str">
        <f t="shared" si="43"/>
        <v/>
      </c>
      <c r="R1288" s="54" t="str">
        <f t="shared" si="44"/>
        <v/>
      </c>
    </row>
    <row r="1289" spans="17:18" x14ac:dyDescent="0.3">
      <c r="Q1289" t="str">
        <f t="shared" si="43"/>
        <v/>
      </c>
      <c r="R1289" s="54" t="str">
        <f t="shared" si="44"/>
        <v/>
      </c>
    </row>
    <row r="1290" spans="17:18" x14ac:dyDescent="0.3">
      <c r="Q1290" t="str">
        <f t="shared" si="43"/>
        <v/>
      </c>
      <c r="R1290" s="54" t="str">
        <f t="shared" si="44"/>
        <v/>
      </c>
    </row>
    <row r="1291" spans="17:18" x14ac:dyDescent="0.3">
      <c r="Q1291" t="str">
        <f t="shared" si="43"/>
        <v/>
      </c>
      <c r="R1291" s="54" t="str">
        <f t="shared" si="44"/>
        <v/>
      </c>
    </row>
    <row r="1292" spans="17:18" x14ac:dyDescent="0.3">
      <c r="Q1292" t="str">
        <f t="shared" si="43"/>
        <v/>
      </c>
      <c r="R1292" s="54" t="str">
        <f t="shared" si="44"/>
        <v/>
      </c>
    </row>
    <row r="1293" spans="17:18" x14ac:dyDescent="0.3">
      <c r="Q1293" t="str">
        <f t="shared" si="43"/>
        <v/>
      </c>
      <c r="R1293" s="54" t="str">
        <f t="shared" si="44"/>
        <v/>
      </c>
    </row>
    <row r="1294" spans="17:18" x14ac:dyDescent="0.3">
      <c r="Q1294" t="str">
        <f t="shared" si="43"/>
        <v/>
      </c>
      <c r="R1294" s="54" t="str">
        <f t="shared" si="44"/>
        <v/>
      </c>
    </row>
    <row r="1295" spans="17:18" x14ac:dyDescent="0.3">
      <c r="Q1295" t="str">
        <f t="shared" si="43"/>
        <v/>
      </c>
      <c r="R1295" s="54" t="str">
        <f t="shared" si="44"/>
        <v/>
      </c>
    </row>
    <row r="1296" spans="17:18" x14ac:dyDescent="0.3">
      <c r="Q1296" t="str">
        <f t="shared" si="43"/>
        <v/>
      </c>
      <c r="R1296" s="54" t="str">
        <f t="shared" si="44"/>
        <v/>
      </c>
    </row>
    <row r="1297" spans="17:18" x14ac:dyDescent="0.3">
      <c r="Q1297" t="str">
        <f t="shared" si="43"/>
        <v/>
      </c>
      <c r="R1297" s="54" t="str">
        <f t="shared" si="44"/>
        <v/>
      </c>
    </row>
    <row r="1298" spans="17:18" x14ac:dyDescent="0.3">
      <c r="Q1298" t="str">
        <f t="shared" si="43"/>
        <v/>
      </c>
      <c r="R1298" s="54" t="str">
        <f t="shared" si="44"/>
        <v/>
      </c>
    </row>
    <row r="1299" spans="17:18" x14ac:dyDescent="0.3">
      <c r="Q1299" t="str">
        <f t="shared" si="43"/>
        <v/>
      </c>
      <c r="R1299" s="54" t="str">
        <f t="shared" si="44"/>
        <v/>
      </c>
    </row>
    <row r="1300" spans="17:18" x14ac:dyDescent="0.3">
      <c r="Q1300" t="str">
        <f t="shared" si="43"/>
        <v/>
      </c>
      <c r="R1300" s="54" t="str">
        <f t="shared" si="44"/>
        <v/>
      </c>
    </row>
    <row r="1301" spans="17:18" x14ac:dyDescent="0.3">
      <c r="Q1301" t="str">
        <f t="shared" si="43"/>
        <v/>
      </c>
      <c r="R1301" s="54" t="str">
        <f t="shared" si="44"/>
        <v/>
      </c>
    </row>
    <row r="1302" spans="17:18" x14ac:dyDescent="0.3">
      <c r="Q1302" t="str">
        <f t="shared" si="43"/>
        <v/>
      </c>
      <c r="R1302" s="54" t="str">
        <f t="shared" si="44"/>
        <v/>
      </c>
    </row>
    <row r="1303" spans="17:18" x14ac:dyDescent="0.3">
      <c r="Q1303" t="str">
        <f t="shared" ref="Q1303:Q1366" si="45">IF(COUNTA(A1303:P1303)=0,"",IF(ISNUMBER(SEARCH("-AR-",E1317)),"Architectural",IF(ISNUMBER(SEARCH("-ST-",E1317)),"Structural",IF(ISNUMBER(SEARCH("-ME-",E1317)),"Mechanical",IF(ISNUMBER(SEARCH("-EL-",E1317)),"Electrical",IF(ISNUMBER(SEARCH("-GE-",E1317)),"General",IF(ISNUMBER(SEARCH("-AR-",D1317)),"Architectural",IF(ISNUMBER(SEARCH("-ST-",D1317)),"Structural",IF(ISNUMBER(SEARCH("-ME-",D1317)),"Mechanical",IF(ISNUMBER(SEARCH("-EL-",D1317)),"Electrical",IF(ISNUMBER(SEARCH("-GE-",D1317)),"General","Other")))))))))))</f>
        <v/>
      </c>
      <c r="R1303" s="54" t="str">
        <f t="shared" si="44"/>
        <v/>
      </c>
    </row>
    <row r="1304" spans="17:18" x14ac:dyDescent="0.3">
      <c r="Q1304" t="str">
        <f t="shared" si="45"/>
        <v/>
      </c>
      <c r="R1304" s="54" t="str">
        <f t="shared" si="44"/>
        <v/>
      </c>
    </row>
    <row r="1305" spans="17:18" x14ac:dyDescent="0.3">
      <c r="Q1305" t="str">
        <f t="shared" si="45"/>
        <v/>
      </c>
      <c r="R1305" s="54" t="str">
        <f t="shared" si="44"/>
        <v/>
      </c>
    </row>
    <row r="1306" spans="17:18" x14ac:dyDescent="0.3">
      <c r="Q1306" t="str">
        <f t="shared" si="45"/>
        <v/>
      </c>
      <c r="R1306" s="54" t="str">
        <f t="shared" si="44"/>
        <v/>
      </c>
    </row>
    <row r="1307" spans="17:18" x14ac:dyDescent="0.3">
      <c r="Q1307" t="str">
        <f t="shared" si="45"/>
        <v/>
      </c>
      <c r="R1307" s="54" t="str">
        <f t="shared" si="44"/>
        <v/>
      </c>
    </row>
    <row r="1308" spans="17:18" x14ac:dyDescent="0.3">
      <c r="Q1308" t="str">
        <f t="shared" si="45"/>
        <v/>
      </c>
      <c r="R1308" s="54" t="str">
        <f t="shared" si="44"/>
        <v/>
      </c>
    </row>
    <row r="1309" spans="17:18" x14ac:dyDescent="0.3">
      <c r="Q1309" t="str">
        <f t="shared" si="45"/>
        <v/>
      </c>
      <c r="R1309" s="54" t="str">
        <f t="shared" si="44"/>
        <v/>
      </c>
    </row>
    <row r="1310" spans="17:18" x14ac:dyDescent="0.3">
      <c r="Q1310" t="str">
        <f t="shared" si="45"/>
        <v/>
      </c>
      <c r="R1310" s="54" t="str">
        <f t="shared" si="44"/>
        <v/>
      </c>
    </row>
    <row r="1311" spans="17:18" x14ac:dyDescent="0.3">
      <c r="Q1311" t="str">
        <f t="shared" si="45"/>
        <v/>
      </c>
      <c r="R1311" s="54" t="str">
        <f t="shared" si="44"/>
        <v/>
      </c>
    </row>
    <row r="1312" spans="17:18" x14ac:dyDescent="0.3">
      <c r="Q1312" t="str">
        <f t="shared" si="45"/>
        <v/>
      </c>
      <c r="R1312" s="54" t="str">
        <f t="shared" si="44"/>
        <v/>
      </c>
    </row>
    <row r="1313" spans="17:18" x14ac:dyDescent="0.3">
      <c r="Q1313" t="str">
        <f t="shared" si="45"/>
        <v/>
      </c>
      <c r="R1313" s="54" t="str">
        <f t="shared" si="44"/>
        <v/>
      </c>
    </row>
    <row r="1314" spans="17:18" x14ac:dyDescent="0.3">
      <c r="Q1314" t="str">
        <f t="shared" si="45"/>
        <v/>
      </c>
      <c r="R1314" s="54" t="str">
        <f t="shared" si="44"/>
        <v/>
      </c>
    </row>
    <row r="1315" spans="17:18" x14ac:dyDescent="0.3">
      <c r="Q1315" t="str">
        <f t="shared" si="45"/>
        <v/>
      </c>
      <c r="R1315" s="54" t="str">
        <f t="shared" si="44"/>
        <v/>
      </c>
    </row>
    <row r="1316" spans="17:18" x14ac:dyDescent="0.3">
      <c r="Q1316" t="str">
        <f t="shared" si="45"/>
        <v/>
      </c>
      <c r="R1316" s="54" t="str">
        <f t="shared" si="44"/>
        <v/>
      </c>
    </row>
    <row r="1317" spans="17:18" x14ac:dyDescent="0.3">
      <c r="Q1317" t="str">
        <f t="shared" si="45"/>
        <v/>
      </c>
      <c r="R1317" s="54" t="str">
        <f t="shared" si="44"/>
        <v/>
      </c>
    </row>
    <row r="1318" spans="17:18" x14ac:dyDescent="0.3">
      <c r="Q1318" t="str">
        <f t="shared" si="45"/>
        <v/>
      </c>
      <c r="R1318" s="54" t="str">
        <f t="shared" si="44"/>
        <v/>
      </c>
    </row>
    <row r="1319" spans="17:18" x14ac:dyDescent="0.3">
      <c r="Q1319" t="str">
        <f t="shared" si="45"/>
        <v/>
      </c>
      <c r="R1319" s="54" t="str">
        <f t="shared" si="44"/>
        <v/>
      </c>
    </row>
    <row r="1320" spans="17:18" x14ac:dyDescent="0.3">
      <c r="Q1320" t="str">
        <f t="shared" si="45"/>
        <v/>
      </c>
      <c r="R1320" s="54" t="str">
        <f t="shared" si="44"/>
        <v/>
      </c>
    </row>
    <row r="1321" spans="17:18" x14ac:dyDescent="0.3">
      <c r="Q1321" t="str">
        <f t="shared" si="45"/>
        <v/>
      </c>
      <c r="R1321" s="54" t="str">
        <f t="shared" si="44"/>
        <v/>
      </c>
    </row>
    <row r="1322" spans="17:18" x14ac:dyDescent="0.3">
      <c r="Q1322" t="str">
        <f t="shared" si="45"/>
        <v/>
      </c>
      <c r="R1322" s="54" t="str">
        <f t="shared" si="44"/>
        <v/>
      </c>
    </row>
    <row r="1323" spans="17:18" x14ac:dyDescent="0.3">
      <c r="Q1323" t="str">
        <f t="shared" si="45"/>
        <v/>
      </c>
      <c r="R1323" s="54" t="str">
        <f t="shared" si="44"/>
        <v/>
      </c>
    </row>
    <row r="1324" spans="17:18" x14ac:dyDescent="0.3">
      <c r="Q1324" t="str">
        <f t="shared" si="45"/>
        <v/>
      </c>
      <c r="R1324" s="54" t="str">
        <f t="shared" si="44"/>
        <v/>
      </c>
    </row>
    <row r="1325" spans="17:18" x14ac:dyDescent="0.3">
      <c r="Q1325" t="str">
        <f t="shared" si="45"/>
        <v/>
      </c>
      <c r="R1325" s="54" t="str">
        <f t="shared" si="44"/>
        <v/>
      </c>
    </row>
    <row r="1326" spans="17:18" x14ac:dyDescent="0.3">
      <c r="Q1326" t="str">
        <f t="shared" si="45"/>
        <v/>
      </c>
      <c r="R1326" s="54" t="str">
        <f t="shared" si="44"/>
        <v/>
      </c>
    </row>
    <row r="1327" spans="17:18" x14ac:dyDescent="0.3">
      <c r="Q1327" t="str">
        <f t="shared" si="45"/>
        <v/>
      </c>
      <c r="R1327" s="54" t="str">
        <f t="shared" si="44"/>
        <v/>
      </c>
    </row>
    <row r="1328" spans="17:18" x14ac:dyDescent="0.3">
      <c r="Q1328" t="str">
        <f t="shared" si="45"/>
        <v/>
      </c>
      <c r="R1328" s="54" t="str">
        <f t="shared" si="44"/>
        <v/>
      </c>
    </row>
    <row r="1329" spans="17:18" x14ac:dyDescent="0.3">
      <c r="Q1329" t="str">
        <f t="shared" si="45"/>
        <v/>
      </c>
      <c r="R1329" s="54" t="str">
        <f t="shared" si="44"/>
        <v/>
      </c>
    </row>
    <row r="1330" spans="17:18" x14ac:dyDescent="0.3">
      <c r="Q1330" t="str">
        <f t="shared" si="45"/>
        <v/>
      </c>
      <c r="R1330" s="54" t="str">
        <f t="shared" si="44"/>
        <v/>
      </c>
    </row>
    <row r="1331" spans="17:18" x14ac:dyDescent="0.3">
      <c r="Q1331" t="str">
        <f t="shared" si="45"/>
        <v/>
      </c>
      <c r="R1331" s="54" t="str">
        <f t="shared" si="44"/>
        <v/>
      </c>
    </row>
    <row r="1332" spans="17:18" x14ac:dyDescent="0.3">
      <c r="Q1332" t="str">
        <f t="shared" si="45"/>
        <v/>
      </c>
      <c r="R1332" s="54" t="str">
        <f t="shared" si="44"/>
        <v/>
      </c>
    </row>
    <row r="1333" spans="17:18" x14ac:dyDescent="0.3">
      <c r="Q1333" t="str">
        <f t="shared" si="45"/>
        <v/>
      </c>
      <c r="R1333" s="54" t="str">
        <f t="shared" si="44"/>
        <v/>
      </c>
    </row>
    <row r="1334" spans="17:18" x14ac:dyDescent="0.3">
      <c r="Q1334" t="str">
        <f t="shared" si="45"/>
        <v/>
      </c>
      <c r="R1334" s="54" t="str">
        <f t="shared" si="44"/>
        <v/>
      </c>
    </row>
    <row r="1335" spans="17:18" x14ac:dyDescent="0.3">
      <c r="Q1335" t="str">
        <f t="shared" si="45"/>
        <v/>
      </c>
      <c r="R1335" s="54" t="str">
        <f t="shared" si="44"/>
        <v/>
      </c>
    </row>
    <row r="1336" spans="17:18" x14ac:dyDescent="0.3">
      <c r="Q1336" t="str">
        <f t="shared" si="45"/>
        <v/>
      </c>
      <c r="R1336" s="54" t="str">
        <f t="shared" si="44"/>
        <v/>
      </c>
    </row>
    <row r="1337" spans="17:18" x14ac:dyDescent="0.3">
      <c r="Q1337" t="str">
        <f t="shared" si="45"/>
        <v/>
      </c>
      <c r="R1337" s="54" t="str">
        <f t="shared" si="44"/>
        <v/>
      </c>
    </row>
    <row r="1338" spans="17:18" x14ac:dyDescent="0.3">
      <c r="Q1338" t="str">
        <f t="shared" si="45"/>
        <v/>
      </c>
      <c r="R1338" s="54" t="str">
        <f t="shared" si="44"/>
        <v/>
      </c>
    </row>
    <row r="1339" spans="17:18" x14ac:dyDescent="0.3">
      <c r="Q1339" t="str">
        <f t="shared" si="45"/>
        <v/>
      </c>
      <c r="R1339" s="54" t="str">
        <f t="shared" si="44"/>
        <v/>
      </c>
    </row>
    <row r="1340" spans="17:18" x14ac:dyDescent="0.3">
      <c r="Q1340" t="str">
        <f t="shared" si="45"/>
        <v/>
      </c>
      <c r="R1340" s="54" t="str">
        <f t="shared" si="44"/>
        <v/>
      </c>
    </row>
    <row r="1341" spans="17:18" x14ac:dyDescent="0.3">
      <c r="Q1341" t="str">
        <f t="shared" si="45"/>
        <v/>
      </c>
      <c r="R1341" s="54" t="str">
        <f t="shared" si="44"/>
        <v/>
      </c>
    </row>
    <row r="1342" spans="17:18" x14ac:dyDescent="0.3">
      <c r="Q1342" t="str">
        <f t="shared" si="45"/>
        <v/>
      </c>
      <c r="R1342" s="54" t="str">
        <f t="shared" si="44"/>
        <v/>
      </c>
    </row>
    <row r="1343" spans="17:18" x14ac:dyDescent="0.3">
      <c r="Q1343" t="str">
        <f t="shared" si="45"/>
        <v/>
      </c>
      <c r="R1343" s="54" t="str">
        <f t="shared" si="44"/>
        <v/>
      </c>
    </row>
    <row r="1344" spans="17:18" x14ac:dyDescent="0.3">
      <c r="Q1344" t="str">
        <f t="shared" si="45"/>
        <v/>
      </c>
      <c r="R1344" s="54" t="str">
        <f t="shared" si="44"/>
        <v/>
      </c>
    </row>
    <row r="1345" spans="17:18" x14ac:dyDescent="0.3">
      <c r="Q1345" t="str">
        <f t="shared" si="45"/>
        <v/>
      </c>
      <c r="R1345" s="54" t="str">
        <f t="shared" si="44"/>
        <v/>
      </c>
    </row>
    <row r="1346" spans="17:18" x14ac:dyDescent="0.3">
      <c r="Q1346" t="str">
        <f t="shared" si="45"/>
        <v/>
      </c>
      <c r="R1346" s="54" t="str">
        <f t="shared" si="44"/>
        <v/>
      </c>
    </row>
    <row r="1347" spans="17:18" x14ac:dyDescent="0.3">
      <c r="Q1347" t="str">
        <f t="shared" si="45"/>
        <v/>
      </c>
      <c r="R1347" s="54" t="str">
        <f t="shared" ref="R1347:R1410" si="46">IF(F1361="","",IFERROR(IF(ISNUMBER(F1361),F1361,DATEVALUE(F1361)),""))</f>
        <v/>
      </c>
    </row>
    <row r="1348" spans="17:18" x14ac:dyDescent="0.3">
      <c r="Q1348" t="str">
        <f t="shared" si="45"/>
        <v/>
      </c>
      <c r="R1348" s="54" t="str">
        <f t="shared" si="46"/>
        <v/>
      </c>
    </row>
    <row r="1349" spans="17:18" x14ac:dyDescent="0.3">
      <c r="Q1349" t="str">
        <f t="shared" si="45"/>
        <v/>
      </c>
      <c r="R1349" s="54" t="str">
        <f t="shared" si="46"/>
        <v/>
      </c>
    </row>
    <row r="1350" spans="17:18" x14ac:dyDescent="0.3">
      <c r="Q1350" t="str">
        <f t="shared" si="45"/>
        <v/>
      </c>
      <c r="R1350" s="54" t="str">
        <f t="shared" si="46"/>
        <v/>
      </c>
    </row>
    <row r="1351" spans="17:18" x14ac:dyDescent="0.3">
      <c r="Q1351" t="str">
        <f t="shared" si="45"/>
        <v/>
      </c>
      <c r="R1351" s="54" t="str">
        <f t="shared" si="46"/>
        <v/>
      </c>
    </row>
    <row r="1352" spans="17:18" x14ac:dyDescent="0.3">
      <c r="Q1352" t="str">
        <f t="shared" si="45"/>
        <v/>
      </c>
      <c r="R1352" s="54" t="str">
        <f t="shared" si="46"/>
        <v/>
      </c>
    </row>
    <row r="1353" spans="17:18" x14ac:dyDescent="0.3">
      <c r="Q1353" t="str">
        <f t="shared" si="45"/>
        <v/>
      </c>
      <c r="R1353" s="54" t="str">
        <f t="shared" si="46"/>
        <v/>
      </c>
    </row>
    <row r="1354" spans="17:18" x14ac:dyDescent="0.3">
      <c r="Q1354" t="str">
        <f t="shared" si="45"/>
        <v/>
      </c>
      <c r="R1354" s="54" t="str">
        <f t="shared" si="46"/>
        <v/>
      </c>
    </row>
    <row r="1355" spans="17:18" x14ac:dyDescent="0.3">
      <c r="Q1355" t="str">
        <f t="shared" si="45"/>
        <v/>
      </c>
      <c r="R1355" s="54" t="str">
        <f t="shared" si="46"/>
        <v/>
      </c>
    </row>
    <row r="1356" spans="17:18" x14ac:dyDescent="0.3">
      <c r="Q1356" t="str">
        <f t="shared" si="45"/>
        <v/>
      </c>
      <c r="R1356" s="54" t="str">
        <f t="shared" si="46"/>
        <v/>
      </c>
    </row>
    <row r="1357" spans="17:18" x14ac:dyDescent="0.3">
      <c r="Q1357" t="str">
        <f t="shared" si="45"/>
        <v/>
      </c>
      <c r="R1357" s="54" t="str">
        <f t="shared" si="46"/>
        <v/>
      </c>
    </row>
    <row r="1358" spans="17:18" x14ac:dyDescent="0.3">
      <c r="Q1358" t="str">
        <f t="shared" si="45"/>
        <v/>
      </c>
      <c r="R1358" s="54" t="str">
        <f t="shared" si="46"/>
        <v/>
      </c>
    </row>
    <row r="1359" spans="17:18" x14ac:dyDescent="0.3">
      <c r="Q1359" t="str">
        <f t="shared" si="45"/>
        <v/>
      </c>
      <c r="R1359" s="54" t="str">
        <f t="shared" si="46"/>
        <v/>
      </c>
    </row>
    <row r="1360" spans="17:18" x14ac:dyDescent="0.3">
      <c r="Q1360" t="str">
        <f t="shared" si="45"/>
        <v/>
      </c>
      <c r="R1360" s="54" t="str">
        <f t="shared" si="46"/>
        <v/>
      </c>
    </row>
    <row r="1361" spans="17:18" x14ac:dyDescent="0.3">
      <c r="Q1361" t="str">
        <f t="shared" si="45"/>
        <v/>
      </c>
      <c r="R1361" s="54" t="str">
        <f t="shared" si="46"/>
        <v/>
      </c>
    </row>
    <row r="1362" spans="17:18" x14ac:dyDescent="0.3">
      <c r="Q1362" t="str">
        <f t="shared" si="45"/>
        <v/>
      </c>
      <c r="R1362" s="54" t="str">
        <f t="shared" si="46"/>
        <v/>
      </c>
    </row>
    <row r="1363" spans="17:18" x14ac:dyDescent="0.3">
      <c r="Q1363" t="str">
        <f t="shared" si="45"/>
        <v/>
      </c>
      <c r="R1363" s="54" t="str">
        <f t="shared" si="46"/>
        <v/>
      </c>
    </row>
    <row r="1364" spans="17:18" x14ac:dyDescent="0.3">
      <c r="Q1364" t="str">
        <f t="shared" si="45"/>
        <v/>
      </c>
      <c r="R1364" s="54" t="str">
        <f t="shared" si="46"/>
        <v/>
      </c>
    </row>
    <row r="1365" spans="17:18" x14ac:dyDescent="0.3">
      <c r="Q1365" t="str">
        <f t="shared" si="45"/>
        <v/>
      </c>
      <c r="R1365" s="54" t="str">
        <f t="shared" si="46"/>
        <v/>
      </c>
    </row>
    <row r="1366" spans="17:18" x14ac:dyDescent="0.3">
      <c r="Q1366" t="str">
        <f t="shared" si="45"/>
        <v/>
      </c>
      <c r="R1366" s="54" t="str">
        <f t="shared" si="46"/>
        <v/>
      </c>
    </row>
    <row r="1367" spans="17:18" x14ac:dyDescent="0.3">
      <c r="Q1367" t="str">
        <f t="shared" ref="Q1367:Q1430" si="47">IF(COUNTA(A1367:P1367)=0,"",IF(ISNUMBER(SEARCH("-AR-",E1381)),"Architectural",IF(ISNUMBER(SEARCH("-ST-",E1381)),"Structural",IF(ISNUMBER(SEARCH("-ME-",E1381)),"Mechanical",IF(ISNUMBER(SEARCH("-EL-",E1381)),"Electrical",IF(ISNUMBER(SEARCH("-GE-",E1381)),"General",IF(ISNUMBER(SEARCH("-AR-",D1381)),"Architectural",IF(ISNUMBER(SEARCH("-ST-",D1381)),"Structural",IF(ISNUMBER(SEARCH("-ME-",D1381)),"Mechanical",IF(ISNUMBER(SEARCH("-EL-",D1381)),"Electrical",IF(ISNUMBER(SEARCH("-GE-",D1381)),"General","Other")))))))))))</f>
        <v/>
      </c>
      <c r="R1367" s="54" t="str">
        <f t="shared" si="46"/>
        <v/>
      </c>
    </row>
    <row r="1368" spans="17:18" x14ac:dyDescent="0.3">
      <c r="Q1368" t="str">
        <f t="shared" si="47"/>
        <v/>
      </c>
      <c r="R1368" s="54" t="str">
        <f t="shared" si="46"/>
        <v/>
      </c>
    </row>
    <row r="1369" spans="17:18" x14ac:dyDescent="0.3">
      <c r="Q1369" t="str">
        <f t="shared" si="47"/>
        <v/>
      </c>
      <c r="R1369" s="54" t="str">
        <f t="shared" si="46"/>
        <v/>
      </c>
    </row>
    <row r="1370" spans="17:18" x14ac:dyDescent="0.3">
      <c r="Q1370" t="str">
        <f t="shared" si="47"/>
        <v/>
      </c>
      <c r="R1370" s="54" t="str">
        <f t="shared" si="46"/>
        <v/>
      </c>
    </row>
    <row r="1371" spans="17:18" x14ac:dyDescent="0.3">
      <c r="Q1371" t="str">
        <f t="shared" si="47"/>
        <v/>
      </c>
      <c r="R1371" s="54" t="str">
        <f t="shared" si="46"/>
        <v/>
      </c>
    </row>
    <row r="1372" spans="17:18" x14ac:dyDescent="0.3">
      <c r="Q1372" t="str">
        <f t="shared" si="47"/>
        <v/>
      </c>
      <c r="R1372" s="54" t="str">
        <f t="shared" si="46"/>
        <v/>
      </c>
    </row>
    <row r="1373" spans="17:18" x14ac:dyDescent="0.3">
      <c r="Q1373" t="str">
        <f t="shared" si="47"/>
        <v/>
      </c>
      <c r="R1373" s="54" t="str">
        <f t="shared" si="46"/>
        <v/>
      </c>
    </row>
    <row r="1374" spans="17:18" x14ac:dyDescent="0.3">
      <c r="Q1374" t="str">
        <f t="shared" si="47"/>
        <v/>
      </c>
      <c r="R1374" s="54" t="str">
        <f t="shared" si="46"/>
        <v/>
      </c>
    </row>
    <row r="1375" spans="17:18" x14ac:dyDescent="0.3">
      <c r="Q1375" t="str">
        <f t="shared" si="47"/>
        <v/>
      </c>
      <c r="R1375" s="54" t="str">
        <f t="shared" si="46"/>
        <v/>
      </c>
    </row>
    <row r="1376" spans="17:18" x14ac:dyDescent="0.3">
      <c r="Q1376" t="str">
        <f t="shared" si="47"/>
        <v/>
      </c>
      <c r="R1376" s="54" t="str">
        <f t="shared" si="46"/>
        <v/>
      </c>
    </row>
    <row r="1377" spans="17:18" x14ac:dyDescent="0.3">
      <c r="Q1377" t="str">
        <f t="shared" si="47"/>
        <v/>
      </c>
      <c r="R1377" s="54" t="str">
        <f t="shared" si="46"/>
        <v/>
      </c>
    </row>
    <row r="1378" spans="17:18" x14ac:dyDescent="0.3">
      <c r="Q1378" t="str">
        <f t="shared" si="47"/>
        <v/>
      </c>
      <c r="R1378" s="54" t="str">
        <f t="shared" si="46"/>
        <v/>
      </c>
    </row>
    <row r="1379" spans="17:18" x14ac:dyDescent="0.3">
      <c r="Q1379" t="str">
        <f t="shared" si="47"/>
        <v/>
      </c>
      <c r="R1379" s="54" t="str">
        <f t="shared" si="46"/>
        <v/>
      </c>
    </row>
    <row r="1380" spans="17:18" x14ac:dyDescent="0.3">
      <c r="Q1380" t="str">
        <f t="shared" si="47"/>
        <v/>
      </c>
      <c r="R1380" s="54" t="str">
        <f t="shared" si="46"/>
        <v/>
      </c>
    </row>
    <row r="1381" spans="17:18" x14ac:dyDescent="0.3">
      <c r="Q1381" t="str">
        <f t="shared" si="47"/>
        <v/>
      </c>
      <c r="R1381" s="54" t="str">
        <f t="shared" si="46"/>
        <v/>
      </c>
    </row>
    <row r="1382" spans="17:18" x14ac:dyDescent="0.3">
      <c r="Q1382" t="str">
        <f t="shared" si="47"/>
        <v/>
      </c>
      <c r="R1382" s="54" t="str">
        <f t="shared" si="46"/>
        <v/>
      </c>
    </row>
    <row r="1383" spans="17:18" x14ac:dyDescent="0.3">
      <c r="Q1383" t="str">
        <f t="shared" si="47"/>
        <v/>
      </c>
      <c r="R1383" s="54" t="str">
        <f t="shared" si="46"/>
        <v/>
      </c>
    </row>
    <row r="1384" spans="17:18" x14ac:dyDescent="0.3">
      <c r="Q1384" t="str">
        <f t="shared" si="47"/>
        <v/>
      </c>
      <c r="R1384" s="54" t="str">
        <f t="shared" si="46"/>
        <v/>
      </c>
    </row>
    <row r="1385" spans="17:18" x14ac:dyDescent="0.3">
      <c r="Q1385" t="str">
        <f t="shared" si="47"/>
        <v/>
      </c>
      <c r="R1385" s="54" t="str">
        <f t="shared" si="46"/>
        <v/>
      </c>
    </row>
    <row r="1386" spans="17:18" x14ac:dyDescent="0.3">
      <c r="Q1386" t="str">
        <f t="shared" si="47"/>
        <v/>
      </c>
      <c r="R1386" s="54" t="str">
        <f t="shared" si="46"/>
        <v/>
      </c>
    </row>
    <row r="1387" spans="17:18" x14ac:dyDescent="0.3">
      <c r="Q1387" t="str">
        <f t="shared" si="47"/>
        <v/>
      </c>
      <c r="R1387" s="54" t="str">
        <f t="shared" si="46"/>
        <v/>
      </c>
    </row>
    <row r="1388" spans="17:18" x14ac:dyDescent="0.3">
      <c r="Q1388" t="str">
        <f t="shared" si="47"/>
        <v/>
      </c>
      <c r="R1388" s="54" t="str">
        <f t="shared" si="46"/>
        <v/>
      </c>
    </row>
    <row r="1389" spans="17:18" x14ac:dyDescent="0.3">
      <c r="Q1389" t="str">
        <f t="shared" si="47"/>
        <v/>
      </c>
      <c r="R1389" s="54" t="str">
        <f t="shared" si="46"/>
        <v/>
      </c>
    </row>
    <row r="1390" spans="17:18" x14ac:dyDescent="0.3">
      <c r="Q1390" t="str">
        <f t="shared" si="47"/>
        <v/>
      </c>
      <c r="R1390" s="54" t="str">
        <f t="shared" si="46"/>
        <v/>
      </c>
    </row>
    <row r="1391" spans="17:18" x14ac:dyDescent="0.3">
      <c r="Q1391" t="str">
        <f t="shared" si="47"/>
        <v/>
      </c>
      <c r="R1391" s="54" t="str">
        <f t="shared" si="46"/>
        <v/>
      </c>
    </row>
    <row r="1392" spans="17:18" x14ac:dyDescent="0.3">
      <c r="Q1392" t="str">
        <f t="shared" si="47"/>
        <v/>
      </c>
      <c r="R1392" s="54" t="str">
        <f t="shared" si="46"/>
        <v/>
      </c>
    </row>
    <row r="1393" spans="17:18" x14ac:dyDescent="0.3">
      <c r="Q1393" t="str">
        <f t="shared" si="47"/>
        <v/>
      </c>
      <c r="R1393" s="54" t="str">
        <f t="shared" si="46"/>
        <v/>
      </c>
    </row>
    <row r="1394" spans="17:18" x14ac:dyDescent="0.3">
      <c r="Q1394" t="str">
        <f t="shared" si="47"/>
        <v/>
      </c>
      <c r="R1394" s="54" t="str">
        <f t="shared" si="46"/>
        <v/>
      </c>
    </row>
    <row r="1395" spans="17:18" x14ac:dyDescent="0.3">
      <c r="Q1395" t="str">
        <f t="shared" si="47"/>
        <v/>
      </c>
      <c r="R1395" s="54" t="str">
        <f t="shared" si="46"/>
        <v/>
      </c>
    </row>
    <row r="1396" spans="17:18" x14ac:dyDescent="0.3">
      <c r="Q1396" t="str">
        <f t="shared" si="47"/>
        <v/>
      </c>
      <c r="R1396" s="54" t="str">
        <f t="shared" si="46"/>
        <v/>
      </c>
    </row>
    <row r="1397" spans="17:18" x14ac:dyDescent="0.3">
      <c r="Q1397" t="str">
        <f t="shared" si="47"/>
        <v/>
      </c>
      <c r="R1397" s="54" t="str">
        <f t="shared" si="46"/>
        <v/>
      </c>
    </row>
    <row r="1398" spans="17:18" x14ac:dyDescent="0.3">
      <c r="Q1398" t="str">
        <f t="shared" si="47"/>
        <v/>
      </c>
      <c r="R1398" s="54" t="str">
        <f t="shared" si="46"/>
        <v/>
      </c>
    </row>
    <row r="1399" spans="17:18" x14ac:dyDescent="0.3">
      <c r="Q1399" t="str">
        <f t="shared" si="47"/>
        <v/>
      </c>
      <c r="R1399" s="54" t="str">
        <f t="shared" si="46"/>
        <v/>
      </c>
    </row>
    <row r="1400" spans="17:18" x14ac:dyDescent="0.3">
      <c r="Q1400" t="str">
        <f t="shared" si="47"/>
        <v/>
      </c>
      <c r="R1400" s="54" t="str">
        <f t="shared" si="46"/>
        <v/>
      </c>
    </row>
    <row r="1401" spans="17:18" x14ac:dyDescent="0.3">
      <c r="Q1401" t="str">
        <f t="shared" si="47"/>
        <v/>
      </c>
      <c r="R1401" s="54" t="str">
        <f t="shared" si="46"/>
        <v/>
      </c>
    </row>
    <row r="1402" spans="17:18" x14ac:dyDescent="0.3">
      <c r="Q1402" t="str">
        <f t="shared" si="47"/>
        <v/>
      </c>
      <c r="R1402" s="54" t="str">
        <f t="shared" si="46"/>
        <v/>
      </c>
    </row>
    <row r="1403" spans="17:18" x14ac:dyDescent="0.3">
      <c r="Q1403" t="str">
        <f t="shared" si="47"/>
        <v/>
      </c>
      <c r="R1403" s="54" t="str">
        <f t="shared" si="46"/>
        <v/>
      </c>
    </row>
    <row r="1404" spans="17:18" x14ac:dyDescent="0.3">
      <c r="Q1404" t="str">
        <f t="shared" si="47"/>
        <v/>
      </c>
      <c r="R1404" s="54" t="str">
        <f t="shared" si="46"/>
        <v/>
      </c>
    </row>
    <row r="1405" spans="17:18" x14ac:dyDescent="0.3">
      <c r="Q1405" t="str">
        <f t="shared" si="47"/>
        <v/>
      </c>
      <c r="R1405" s="54" t="str">
        <f t="shared" si="46"/>
        <v/>
      </c>
    </row>
    <row r="1406" spans="17:18" x14ac:dyDescent="0.3">
      <c r="Q1406" t="str">
        <f t="shared" si="47"/>
        <v/>
      </c>
      <c r="R1406" s="54" t="str">
        <f t="shared" si="46"/>
        <v/>
      </c>
    </row>
    <row r="1407" spans="17:18" x14ac:dyDescent="0.3">
      <c r="Q1407" t="str">
        <f t="shared" si="47"/>
        <v/>
      </c>
      <c r="R1407" s="54" t="str">
        <f t="shared" si="46"/>
        <v/>
      </c>
    </row>
    <row r="1408" spans="17:18" x14ac:dyDescent="0.3">
      <c r="Q1408" t="str">
        <f t="shared" si="47"/>
        <v/>
      </c>
      <c r="R1408" s="54" t="str">
        <f t="shared" si="46"/>
        <v/>
      </c>
    </row>
    <row r="1409" spans="17:18" x14ac:dyDescent="0.3">
      <c r="Q1409" t="str">
        <f t="shared" si="47"/>
        <v/>
      </c>
      <c r="R1409" s="54" t="str">
        <f t="shared" si="46"/>
        <v/>
      </c>
    </row>
    <row r="1410" spans="17:18" x14ac:dyDescent="0.3">
      <c r="Q1410" t="str">
        <f t="shared" si="47"/>
        <v/>
      </c>
      <c r="R1410" s="54" t="str">
        <f t="shared" si="46"/>
        <v/>
      </c>
    </row>
    <row r="1411" spans="17:18" x14ac:dyDescent="0.3">
      <c r="Q1411" t="str">
        <f t="shared" si="47"/>
        <v/>
      </c>
      <c r="R1411" s="54" t="str">
        <f t="shared" ref="R1411:R1474" si="48">IF(F1425="","",IFERROR(IF(ISNUMBER(F1425),F1425,DATEVALUE(F1425)),""))</f>
        <v/>
      </c>
    </row>
    <row r="1412" spans="17:18" x14ac:dyDescent="0.3">
      <c r="Q1412" t="str">
        <f t="shared" si="47"/>
        <v/>
      </c>
      <c r="R1412" s="54" t="str">
        <f t="shared" si="48"/>
        <v/>
      </c>
    </row>
    <row r="1413" spans="17:18" x14ac:dyDescent="0.3">
      <c r="Q1413" t="str">
        <f t="shared" si="47"/>
        <v/>
      </c>
      <c r="R1413" s="54" t="str">
        <f t="shared" si="48"/>
        <v/>
      </c>
    </row>
    <row r="1414" spans="17:18" x14ac:dyDescent="0.3">
      <c r="Q1414" t="str">
        <f t="shared" si="47"/>
        <v/>
      </c>
      <c r="R1414" s="54" t="str">
        <f t="shared" si="48"/>
        <v/>
      </c>
    </row>
    <row r="1415" spans="17:18" x14ac:dyDescent="0.3">
      <c r="Q1415" t="str">
        <f t="shared" si="47"/>
        <v/>
      </c>
      <c r="R1415" s="54" t="str">
        <f t="shared" si="48"/>
        <v/>
      </c>
    </row>
    <row r="1416" spans="17:18" x14ac:dyDescent="0.3">
      <c r="Q1416" t="str">
        <f t="shared" si="47"/>
        <v/>
      </c>
      <c r="R1416" s="54" t="str">
        <f t="shared" si="48"/>
        <v/>
      </c>
    </row>
    <row r="1417" spans="17:18" x14ac:dyDescent="0.3">
      <c r="Q1417" t="str">
        <f t="shared" si="47"/>
        <v/>
      </c>
      <c r="R1417" s="54" t="str">
        <f t="shared" si="48"/>
        <v/>
      </c>
    </row>
    <row r="1418" spans="17:18" x14ac:dyDescent="0.3">
      <c r="Q1418" t="str">
        <f t="shared" si="47"/>
        <v/>
      </c>
      <c r="R1418" s="54" t="str">
        <f t="shared" si="48"/>
        <v/>
      </c>
    </row>
    <row r="1419" spans="17:18" x14ac:dyDescent="0.3">
      <c r="Q1419" t="str">
        <f t="shared" si="47"/>
        <v/>
      </c>
      <c r="R1419" s="54" t="str">
        <f t="shared" si="48"/>
        <v/>
      </c>
    </row>
    <row r="1420" spans="17:18" x14ac:dyDescent="0.3">
      <c r="Q1420" t="str">
        <f t="shared" si="47"/>
        <v/>
      </c>
      <c r="R1420" s="54" t="str">
        <f t="shared" si="48"/>
        <v/>
      </c>
    </row>
    <row r="1421" spans="17:18" x14ac:dyDescent="0.3">
      <c r="Q1421" t="str">
        <f t="shared" si="47"/>
        <v/>
      </c>
      <c r="R1421" s="54" t="str">
        <f t="shared" si="48"/>
        <v/>
      </c>
    </row>
    <row r="1422" spans="17:18" x14ac:dyDescent="0.3">
      <c r="Q1422" t="str">
        <f t="shared" si="47"/>
        <v/>
      </c>
      <c r="R1422" s="54" t="str">
        <f t="shared" si="48"/>
        <v/>
      </c>
    </row>
    <row r="1423" spans="17:18" x14ac:dyDescent="0.3">
      <c r="Q1423" t="str">
        <f t="shared" si="47"/>
        <v/>
      </c>
      <c r="R1423" s="54" t="str">
        <f t="shared" si="48"/>
        <v/>
      </c>
    </row>
    <row r="1424" spans="17:18" x14ac:dyDescent="0.3">
      <c r="Q1424" t="str">
        <f t="shared" si="47"/>
        <v/>
      </c>
      <c r="R1424" s="54" t="str">
        <f t="shared" si="48"/>
        <v/>
      </c>
    </row>
    <row r="1425" spans="17:18" x14ac:dyDescent="0.3">
      <c r="Q1425" t="str">
        <f t="shared" si="47"/>
        <v/>
      </c>
      <c r="R1425" s="54" t="str">
        <f t="shared" si="48"/>
        <v/>
      </c>
    </row>
    <row r="1426" spans="17:18" x14ac:dyDescent="0.3">
      <c r="Q1426" t="str">
        <f t="shared" si="47"/>
        <v/>
      </c>
      <c r="R1426" s="54" t="str">
        <f t="shared" si="48"/>
        <v/>
      </c>
    </row>
    <row r="1427" spans="17:18" x14ac:dyDescent="0.3">
      <c r="Q1427" t="str">
        <f t="shared" si="47"/>
        <v/>
      </c>
      <c r="R1427" s="54" t="str">
        <f t="shared" si="48"/>
        <v/>
      </c>
    </row>
    <row r="1428" spans="17:18" x14ac:dyDescent="0.3">
      <c r="Q1428" t="str">
        <f t="shared" si="47"/>
        <v/>
      </c>
      <c r="R1428" s="54" t="str">
        <f t="shared" si="48"/>
        <v/>
      </c>
    </row>
    <row r="1429" spans="17:18" x14ac:dyDescent="0.3">
      <c r="Q1429" t="str">
        <f t="shared" si="47"/>
        <v/>
      </c>
      <c r="R1429" s="54" t="str">
        <f t="shared" si="48"/>
        <v/>
      </c>
    </row>
    <row r="1430" spans="17:18" x14ac:dyDescent="0.3">
      <c r="Q1430" t="str">
        <f t="shared" si="47"/>
        <v/>
      </c>
      <c r="R1430" s="54" t="str">
        <f t="shared" si="48"/>
        <v/>
      </c>
    </row>
    <row r="1431" spans="17:18" x14ac:dyDescent="0.3">
      <c r="Q1431" t="str">
        <f t="shared" ref="Q1431:Q1494" si="49">IF(COUNTA(A1431:P1431)=0,"",IF(ISNUMBER(SEARCH("-AR-",E1445)),"Architectural",IF(ISNUMBER(SEARCH("-ST-",E1445)),"Structural",IF(ISNUMBER(SEARCH("-ME-",E1445)),"Mechanical",IF(ISNUMBER(SEARCH("-EL-",E1445)),"Electrical",IF(ISNUMBER(SEARCH("-GE-",E1445)),"General",IF(ISNUMBER(SEARCH("-AR-",D1445)),"Architectural",IF(ISNUMBER(SEARCH("-ST-",D1445)),"Structural",IF(ISNUMBER(SEARCH("-ME-",D1445)),"Mechanical",IF(ISNUMBER(SEARCH("-EL-",D1445)),"Electrical",IF(ISNUMBER(SEARCH("-GE-",D1445)),"General","Other")))))))))))</f>
        <v/>
      </c>
      <c r="R1431" s="54" t="str">
        <f t="shared" si="48"/>
        <v/>
      </c>
    </row>
    <row r="1432" spans="17:18" x14ac:dyDescent="0.3">
      <c r="Q1432" t="str">
        <f t="shared" si="49"/>
        <v/>
      </c>
      <c r="R1432" s="54" t="str">
        <f t="shared" si="48"/>
        <v/>
      </c>
    </row>
    <row r="1433" spans="17:18" x14ac:dyDescent="0.3">
      <c r="Q1433" t="str">
        <f t="shared" si="49"/>
        <v/>
      </c>
      <c r="R1433" s="54" t="str">
        <f t="shared" si="48"/>
        <v/>
      </c>
    </row>
    <row r="1434" spans="17:18" x14ac:dyDescent="0.3">
      <c r="Q1434" t="str">
        <f t="shared" si="49"/>
        <v/>
      </c>
      <c r="R1434" s="54" t="str">
        <f t="shared" si="48"/>
        <v/>
      </c>
    </row>
    <row r="1435" spans="17:18" x14ac:dyDescent="0.3">
      <c r="Q1435" t="str">
        <f t="shared" si="49"/>
        <v/>
      </c>
      <c r="R1435" s="54" t="str">
        <f t="shared" si="48"/>
        <v/>
      </c>
    </row>
    <row r="1436" spans="17:18" x14ac:dyDescent="0.3">
      <c r="Q1436" t="str">
        <f t="shared" si="49"/>
        <v/>
      </c>
      <c r="R1436" s="54" t="str">
        <f t="shared" si="48"/>
        <v/>
      </c>
    </row>
    <row r="1437" spans="17:18" x14ac:dyDescent="0.3">
      <c r="Q1437" t="str">
        <f t="shared" si="49"/>
        <v/>
      </c>
      <c r="R1437" s="54" t="str">
        <f t="shared" si="48"/>
        <v/>
      </c>
    </row>
    <row r="1438" spans="17:18" x14ac:dyDescent="0.3">
      <c r="Q1438" t="str">
        <f t="shared" si="49"/>
        <v/>
      </c>
      <c r="R1438" s="54" t="str">
        <f t="shared" si="48"/>
        <v/>
      </c>
    </row>
    <row r="1439" spans="17:18" x14ac:dyDescent="0.3">
      <c r="Q1439" t="str">
        <f t="shared" si="49"/>
        <v/>
      </c>
      <c r="R1439" s="54" t="str">
        <f t="shared" si="48"/>
        <v/>
      </c>
    </row>
    <row r="1440" spans="17:18" x14ac:dyDescent="0.3">
      <c r="Q1440" t="str">
        <f t="shared" si="49"/>
        <v/>
      </c>
      <c r="R1440" s="54" t="str">
        <f t="shared" si="48"/>
        <v/>
      </c>
    </row>
    <row r="1441" spans="17:18" x14ac:dyDescent="0.3">
      <c r="Q1441" t="str">
        <f t="shared" si="49"/>
        <v/>
      </c>
      <c r="R1441" s="54" t="str">
        <f t="shared" si="48"/>
        <v/>
      </c>
    </row>
    <row r="1442" spans="17:18" x14ac:dyDescent="0.3">
      <c r="Q1442" t="str">
        <f t="shared" si="49"/>
        <v/>
      </c>
      <c r="R1442" s="54" t="str">
        <f t="shared" si="48"/>
        <v/>
      </c>
    </row>
    <row r="1443" spans="17:18" x14ac:dyDescent="0.3">
      <c r="Q1443" t="str">
        <f t="shared" si="49"/>
        <v/>
      </c>
      <c r="R1443" s="54" t="str">
        <f t="shared" si="48"/>
        <v/>
      </c>
    </row>
    <row r="1444" spans="17:18" x14ac:dyDescent="0.3">
      <c r="Q1444" t="str">
        <f t="shared" si="49"/>
        <v/>
      </c>
      <c r="R1444" s="54" t="str">
        <f t="shared" si="48"/>
        <v/>
      </c>
    </row>
    <row r="1445" spans="17:18" x14ac:dyDescent="0.3">
      <c r="Q1445" t="str">
        <f t="shared" si="49"/>
        <v/>
      </c>
      <c r="R1445" s="54" t="str">
        <f t="shared" si="48"/>
        <v/>
      </c>
    </row>
    <row r="1446" spans="17:18" x14ac:dyDescent="0.3">
      <c r="Q1446" t="str">
        <f t="shared" si="49"/>
        <v/>
      </c>
      <c r="R1446" s="54" t="str">
        <f t="shared" si="48"/>
        <v/>
      </c>
    </row>
    <row r="1447" spans="17:18" x14ac:dyDescent="0.3">
      <c r="Q1447" t="str">
        <f t="shared" si="49"/>
        <v/>
      </c>
      <c r="R1447" s="54" t="str">
        <f t="shared" si="48"/>
        <v/>
      </c>
    </row>
    <row r="1448" spans="17:18" x14ac:dyDescent="0.3">
      <c r="Q1448" t="str">
        <f t="shared" si="49"/>
        <v/>
      </c>
      <c r="R1448" s="54" t="str">
        <f t="shared" si="48"/>
        <v/>
      </c>
    </row>
    <row r="1449" spans="17:18" x14ac:dyDescent="0.3">
      <c r="Q1449" t="str">
        <f t="shared" si="49"/>
        <v/>
      </c>
      <c r="R1449" s="54" t="str">
        <f t="shared" si="48"/>
        <v/>
      </c>
    </row>
    <row r="1450" spans="17:18" x14ac:dyDescent="0.3">
      <c r="Q1450" t="str">
        <f t="shared" si="49"/>
        <v/>
      </c>
      <c r="R1450" s="54" t="str">
        <f t="shared" si="48"/>
        <v/>
      </c>
    </row>
    <row r="1451" spans="17:18" x14ac:dyDescent="0.3">
      <c r="Q1451" t="str">
        <f t="shared" si="49"/>
        <v/>
      </c>
      <c r="R1451" s="54" t="str">
        <f t="shared" si="48"/>
        <v/>
      </c>
    </row>
    <row r="1452" spans="17:18" x14ac:dyDescent="0.3">
      <c r="Q1452" t="str">
        <f t="shared" si="49"/>
        <v/>
      </c>
      <c r="R1452" s="54" t="str">
        <f t="shared" si="48"/>
        <v/>
      </c>
    </row>
    <row r="1453" spans="17:18" x14ac:dyDescent="0.3">
      <c r="Q1453" t="str">
        <f t="shared" si="49"/>
        <v/>
      </c>
      <c r="R1453" s="54" t="str">
        <f t="shared" si="48"/>
        <v/>
      </c>
    </row>
    <row r="1454" spans="17:18" x14ac:dyDescent="0.3">
      <c r="Q1454" t="str">
        <f t="shared" si="49"/>
        <v/>
      </c>
      <c r="R1454" s="54" t="str">
        <f t="shared" si="48"/>
        <v/>
      </c>
    </row>
    <row r="1455" spans="17:18" x14ac:dyDescent="0.3">
      <c r="Q1455" t="str">
        <f t="shared" si="49"/>
        <v/>
      </c>
      <c r="R1455" s="54" t="str">
        <f t="shared" si="48"/>
        <v/>
      </c>
    </row>
    <row r="1456" spans="17:18" x14ac:dyDescent="0.3">
      <c r="Q1456" t="str">
        <f t="shared" si="49"/>
        <v/>
      </c>
      <c r="R1456" s="54" t="str">
        <f t="shared" si="48"/>
        <v/>
      </c>
    </row>
    <row r="1457" spans="17:18" x14ac:dyDescent="0.3">
      <c r="Q1457" t="str">
        <f t="shared" si="49"/>
        <v/>
      </c>
      <c r="R1457" s="54" t="str">
        <f t="shared" si="48"/>
        <v/>
      </c>
    </row>
    <row r="1458" spans="17:18" x14ac:dyDescent="0.3">
      <c r="Q1458" t="str">
        <f t="shared" si="49"/>
        <v/>
      </c>
      <c r="R1458" s="54" t="str">
        <f t="shared" si="48"/>
        <v/>
      </c>
    </row>
    <row r="1459" spans="17:18" x14ac:dyDescent="0.3">
      <c r="Q1459" t="str">
        <f t="shared" si="49"/>
        <v/>
      </c>
      <c r="R1459" s="54" t="str">
        <f t="shared" si="48"/>
        <v/>
      </c>
    </row>
    <row r="1460" spans="17:18" x14ac:dyDescent="0.3">
      <c r="Q1460" t="str">
        <f t="shared" si="49"/>
        <v/>
      </c>
      <c r="R1460" s="54" t="str">
        <f t="shared" si="48"/>
        <v/>
      </c>
    </row>
    <row r="1461" spans="17:18" x14ac:dyDescent="0.3">
      <c r="Q1461" t="str">
        <f t="shared" si="49"/>
        <v/>
      </c>
      <c r="R1461" s="54" t="str">
        <f t="shared" si="48"/>
        <v/>
      </c>
    </row>
    <row r="1462" spans="17:18" x14ac:dyDescent="0.3">
      <c r="Q1462" t="str">
        <f t="shared" si="49"/>
        <v/>
      </c>
      <c r="R1462" s="54" t="str">
        <f t="shared" si="48"/>
        <v/>
      </c>
    </row>
    <row r="1463" spans="17:18" x14ac:dyDescent="0.3">
      <c r="Q1463" t="str">
        <f t="shared" si="49"/>
        <v/>
      </c>
      <c r="R1463" s="54" t="str">
        <f t="shared" si="48"/>
        <v/>
      </c>
    </row>
    <row r="1464" spans="17:18" x14ac:dyDescent="0.3">
      <c r="Q1464" t="str">
        <f t="shared" si="49"/>
        <v/>
      </c>
      <c r="R1464" s="54" t="str">
        <f t="shared" si="48"/>
        <v/>
      </c>
    </row>
    <row r="1465" spans="17:18" x14ac:dyDescent="0.3">
      <c r="Q1465" t="str">
        <f t="shared" si="49"/>
        <v/>
      </c>
      <c r="R1465" s="54" t="str">
        <f t="shared" si="48"/>
        <v/>
      </c>
    </row>
    <row r="1466" spans="17:18" x14ac:dyDescent="0.3">
      <c r="Q1466" t="str">
        <f t="shared" si="49"/>
        <v/>
      </c>
      <c r="R1466" s="54" t="str">
        <f t="shared" si="48"/>
        <v/>
      </c>
    </row>
    <row r="1467" spans="17:18" x14ac:dyDescent="0.3">
      <c r="Q1467" t="str">
        <f t="shared" si="49"/>
        <v/>
      </c>
      <c r="R1467" s="54" t="str">
        <f t="shared" si="48"/>
        <v/>
      </c>
    </row>
    <row r="1468" spans="17:18" x14ac:dyDescent="0.3">
      <c r="Q1468" t="str">
        <f t="shared" si="49"/>
        <v/>
      </c>
      <c r="R1468" s="54" t="str">
        <f t="shared" si="48"/>
        <v/>
      </c>
    </row>
    <row r="1469" spans="17:18" x14ac:dyDescent="0.3">
      <c r="Q1469" t="str">
        <f t="shared" si="49"/>
        <v/>
      </c>
      <c r="R1469" s="54" t="str">
        <f t="shared" si="48"/>
        <v/>
      </c>
    </row>
    <row r="1470" spans="17:18" x14ac:dyDescent="0.3">
      <c r="Q1470" t="str">
        <f t="shared" si="49"/>
        <v/>
      </c>
      <c r="R1470" s="54" t="str">
        <f t="shared" si="48"/>
        <v/>
      </c>
    </row>
    <row r="1471" spans="17:18" x14ac:dyDescent="0.3">
      <c r="Q1471" t="str">
        <f t="shared" si="49"/>
        <v/>
      </c>
      <c r="R1471" s="54" t="str">
        <f t="shared" si="48"/>
        <v/>
      </c>
    </row>
    <row r="1472" spans="17:18" x14ac:dyDescent="0.3">
      <c r="Q1472" t="str">
        <f t="shared" si="49"/>
        <v/>
      </c>
      <c r="R1472" s="54" t="str">
        <f t="shared" si="48"/>
        <v/>
      </c>
    </row>
    <row r="1473" spans="17:18" x14ac:dyDescent="0.3">
      <c r="Q1473" t="str">
        <f t="shared" si="49"/>
        <v/>
      </c>
      <c r="R1473" s="54" t="str">
        <f t="shared" si="48"/>
        <v/>
      </c>
    </row>
    <row r="1474" spans="17:18" x14ac:dyDescent="0.3">
      <c r="Q1474" t="str">
        <f t="shared" si="49"/>
        <v/>
      </c>
      <c r="R1474" s="54" t="str">
        <f t="shared" si="48"/>
        <v/>
      </c>
    </row>
    <row r="1475" spans="17:18" x14ac:dyDescent="0.3">
      <c r="Q1475" t="str">
        <f t="shared" si="49"/>
        <v/>
      </c>
      <c r="R1475" s="54" t="str">
        <f t="shared" ref="R1475:R1538" si="50">IF(F1489="","",IFERROR(IF(ISNUMBER(F1489),F1489,DATEVALUE(F1489)),""))</f>
        <v/>
      </c>
    </row>
    <row r="1476" spans="17:18" x14ac:dyDescent="0.3">
      <c r="Q1476" t="str">
        <f t="shared" si="49"/>
        <v/>
      </c>
      <c r="R1476" s="54" t="str">
        <f t="shared" si="50"/>
        <v/>
      </c>
    </row>
    <row r="1477" spans="17:18" x14ac:dyDescent="0.3">
      <c r="Q1477" t="str">
        <f t="shared" si="49"/>
        <v/>
      </c>
      <c r="R1477" s="54" t="str">
        <f t="shared" si="50"/>
        <v/>
      </c>
    </row>
    <row r="1478" spans="17:18" x14ac:dyDescent="0.3">
      <c r="Q1478" t="str">
        <f t="shared" si="49"/>
        <v/>
      </c>
      <c r="R1478" s="54" t="str">
        <f t="shared" si="50"/>
        <v/>
      </c>
    </row>
    <row r="1479" spans="17:18" x14ac:dyDescent="0.3">
      <c r="Q1479" t="str">
        <f t="shared" si="49"/>
        <v/>
      </c>
      <c r="R1479" s="54" t="str">
        <f t="shared" si="50"/>
        <v/>
      </c>
    </row>
    <row r="1480" spans="17:18" x14ac:dyDescent="0.3">
      <c r="Q1480" t="str">
        <f t="shared" si="49"/>
        <v/>
      </c>
      <c r="R1480" s="54" t="str">
        <f t="shared" si="50"/>
        <v/>
      </c>
    </row>
    <row r="1481" spans="17:18" x14ac:dyDescent="0.3">
      <c r="Q1481" t="str">
        <f t="shared" si="49"/>
        <v/>
      </c>
      <c r="R1481" s="54" t="str">
        <f t="shared" si="50"/>
        <v/>
      </c>
    </row>
    <row r="1482" spans="17:18" x14ac:dyDescent="0.3">
      <c r="Q1482" t="str">
        <f t="shared" si="49"/>
        <v/>
      </c>
      <c r="R1482" s="54" t="str">
        <f t="shared" si="50"/>
        <v/>
      </c>
    </row>
    <row r="1483" spans="17:18" x14ac:dyDescent="0.3">
      <c r="Q1483" t="str">
        <f t="shared" si="49"/>
        <v/>
      </c>
      <c r="R1483" s="54" t="str">
        <f t="shared" si="50"/>
        <v/>
      </c>
    </row>
    <row r="1484" spans="17:18" x14ac:dyDescent="0.3">
      <c r="Q1484" t="str">
        <f t="shared" si="49"/>
        <v/>
      </c>
      <c r="R1484" s="54" t="str">
        <f t="shared" si="50"/>
        <v/>
      </c>
    </row>
    <row r="1485" spans="17:18" x14ac:dyDescent="0.3">
      <c r="Q1485" t="str">
        <f t="shared" si="49"/>
        <v/>
      </c>
      <c r="R1485" s="54" t="str">
        <f t="shared" si="50"/>
        <v/>
      </c>
    </row>
    <row r="1486" spans="17:18" x14ac:dyDescent="0.3">
      <c r="Q1486" t="str">
        <f t="shared" si="49"/>
        <v/>
      </c>
      <c r="R1486" s="54" t="str">
        <f t="shared" si="50"/>
        <v/>
      </c>
    </row>
    <row r="1487" spans="17:18" x14ac:dyDescent="0.3">
      <c r="Q1487" t="str">
        <f t="shared" si="49"/>
        <v/>
      </c>
      <c r="R1487" s="54" t="str">
        <f t="shared" si="50"/>
        <v/>
      </c>
    </row>
    <row r="1488" spans="17:18" x14ac:dyDescent="0.3">
      <c r="Q1488" t="str">
        <f t="shared" si="49"/>
        <v/>
      </c>
      <c r="R1488" s="54" t="str">
        <f t="shared" si="50"/>
        <v/>
      </c>
    </row>
    <row r="1489" spans="17:18" x14ac:dyDescent="0.3">
      <c r="Q1489" t="str">
        <f t="shared" si="49"/>
        <v/>
      </c>
      <c r="R1489" s="54" t="str">
        <f t="shared" si="50"/>
        <v/>
      </c>
    </row>
    <row r="1490" spans="17:18" x14ac:dyDescent="0.3">
      <c r="Q1490" t="str">
        <f t="shared" si="49"/>
        <v/>
      </c>
      <c r="R1490" s="54" t="str">
        <f t="shared" si="50"/>
        <v/>
      </c>
    </row>
    <row r="1491" spans="17:18" x14ac:dyDescent="0.3">
      <c r="Q1491" t="str">
        <f t="shared" si="49"/>
        <v/>
      </c>
      <c r="R1491" s="54" t="str">
        <f t="shared" si="50"/>
        <v/>
      </c>
    </row>
    <row r="1492" spans="17:18" x14ac:dyDescent="0.3">
      <c r="Q1492" t="str">
        <f t="shared" si="49"/>
        <v/>
      </c>
      <c r="R1492" s="54" t="str">
        <f t="shared" si="50"/>
        <v/>
      </c>
    </row>
    <row r="1493" spans="17:18" x14ac:dyDescent="0.3">
      <c r="Q1493" t="str">
        <f t="shared" si="49"/>
        <v/>
      </c>
      <c r="R1493" s="54" t="str">
        <f t="shared" si="50"/>
        <v/>
      </c>
    </row>
    <row r="1494" spans="17:18" x14ac:dyDescent="0.3">
      <c r="Q1494" t="str">
        <f t="shared" si="49"/>
        <v/>
      </c>
      <c r="R1494" s="54" t="str">
        <f t="shared" si="50"/>
        <v/>
      </c>
    </row>
    <row r="1495" spans="17:18" x14ac:dyDescent="0.3">
      <c r="Q1495" t="str">
        <f t="shared" ref="Q1495:Q1558" si="51">IF(COUNTA(A1495:P1495)=0,"",IF(ISNUMBER(SEARCH("-AR-",E1509)),"Architectural",IF(ISNUMBER(SEARCH("-ST-",E1509)),"Structural",IF(ISNUMBER(SEARCH("-ME-",E1509)),"Mechanical",IF(ISNUMBER(SEARCH("-EL-",E1509)),"Electrical",IF(ISNUMBER(SEARCH("-GE-",E1509)),"General",IF(ISNUMBER(SEARCH("-AR-",D1509)),"Architectural",IF(ISNUMBER(SEARCH("-ST-",D1509)),"Structural",IF(ISNUMBER(SEARCH("-ME-",D1509)),"Mechanical",IF(ISNUMBER(SEARCH("-EL-",D1509)),"Electrical",IF(ISNUMBER(SEARCH("-GE-",D1509)),"General","Other")))))))))))</f>
        <v/>
      </c>
      <c r="R1495" s="54" t="str">
        <f t="shared" si="50"/>
        <v/>
      </c>
    </row>
    <row r="1496" spans="17:18" x14ac:dyDescent="0.3">
      <c r="Q1496" t="str">
        <f t="shared" si="51"/>
        <v/>
      </c>
      <c r="R1496" s="54" t="str">
        <f t="shared" si="50"/>
        <v/>
      </c>
    </row>
    <row r="1497" spans="17:18" x14ac:dyDescent="0.3">
      <c r="Q1497" t="str">
        <f t="shared" si="51"/>
        <v/>
      </c>
      <c r="R1497" s="54" t="str">
        <f t="shared" si="50"/>
        <v/>
      </c>
    </row>
    <row r="1498" spans="17:18" x14ac:dyDescent="0.3">
      <c r="Q1498" t="str">
        <f t="shared" si="51"/>
        <v/>
      </c>
      <c r="R1498" s="54" t="str">
        <f t="shared" si="50"/>
        <v/>
      </c>
    </row>
    <row r="1499" spans="17:18" x14ac:dyDescent="0.3">
      <c r="Q1499" t="str">
        <f t="shared" si="51"/>
        <v/>
      </c>
      <c r="R1499" s="54" t="str">
        <f t="shared" si="50"/>
        <v/>
      </c>
    </row>
    <row r="1500" spans="17:18" x14ac:dyDescent="0.3">
      <c r="Q1500" t="str">
        <f t="shared" si="51"/>
        <v/>
      </c>
      <c r="R1500" s="54" t="str">
        <f t="shared" si="50"/>
        <v/>
      </c>
    </row>
    <row r="1501" spans="17:18" x14ac:dyDescent="0.3">
      <c r="Q1501" t="str">
        <f t="shared" si="51"/>
        <v/>
      </c>
      <c r="R1501" s="54" t="str">
        <f t="shared" si="50"/>
        <v/>
      </c>
    </row>
    <row r="1502" spans="17:18" x14ac:dyDescent="0.3">
      <c r="Q1502" t="str">
        <f t="shared" si="51"/>
        <v/>
      </c>
      <c r="R1502" s="54" t="str">
        <f t="shared" si="50"/>
        <v/>
      </c>
    </row>
    <row r="1503" spans="17:18" x14ac:dyDescent="0.3">
      <c r="Q1503" t="str">
        <f t="shared" si="51"/>
        <v/>
      </c>
      <c r="R1503" s="54" t="str">
        <f t="shared" si="50"/>
        <v/>
      </c>
    </row>
    <row r="1504" spans="17:18" x14ac:dyDescent="0.3">
      <c r="Q1504" t="str">
        <f t="shared" si="51"/>
        <v/>
      </c>
      <c r="R1504" s="54" t="str">
        <f t="shared" si="50"/>
        <v/>
      </c>
    </row>
    <row r="1505" spans="17:18" x14ac:dyDescent="0.3">
      <c r="Q1505" t="str">
        <f t="shared" si="51"/>
        <v/>
      </c>
      <c r="R1505" s="54" t="str">
        <f t="shared" si="50"/>
        <v/>
      </c>
    </row>
    <row r="1506" spans="17:18" x14ac:dyDescent="0.3">
      <c r="Q1506" t="str">
        <f t="shared" si="51"/>
        <v/>
      </c>
      <c r="R1506" s="54" t="str">
        <f t="shared" si="50"/>
        <v/>
      </c>
    </row>
    <row r="1507" spans="17:18" x14ac:dyDescent="0.3">
      <c r="Q1507" t="str">
        <f t="shared" si="51"/>
        <v/>
      </c>
      <c r="R1507" s="54" t="str">
        <f t="shared" si="50"/>
        <v/>
      </c>
    </row>
    <row r="1508" spans="17:18" x14ac:dyDescent="0.3">
      <c r="Q1508" t="str">
        <f t="shared" si="51"/>
        <v/>
      </c>
      <c r="R1508" s="54" t="str">
        <f t="shared" si="50"/>
        <v/>
      </c>
    </row>
    <row r="1509" spans="17:18" x14ac:dyDescent="0.3">
      <c r="Q1509" t="str">
        <f t="shared" si="51"/>
        <v/>
      </c>
      <c r="R1509" s="54" t="str">
        <f t="shared" si="50"/>
        <v/>
      </c>
    </row>
    <row r="1510" spans="17:18" x14ac:dyDescent="0.3">
      <c r="Q1510" t="str">
        <f t="shared" si="51"/>
        <v/>
      </c>
      <c r="R1510" s="54" t="str">
        <f t="shared" si="50"/>
        <v/>
      </c>
    </row>
    <row r="1511" spans="17:18" x14ac:dyDescent="0.3">
      <c r="Q1511" t="str">
        <f t="shared" si="51"/>
        <v/>
      </c>
      <c r="R1511" s="54" t="str">
        <f t="shared" si="50"/>
        <v/>
      </c>
    </row>
    <row r="1512" spans="17:18" x14ac:dyDescent="0.3">
      <c r="Q1512" t="str">
        <f t="shared" si="51"/>
        <v/>
      </c>
      <c r="R1512" s="54" t="str">
        <f t="shared" si="50"/>
        <v/>
      </c>
    </row>
    <row r="1513" spans="17:18" x14ac:dyDescent="0.3">
      <c r="Q1513" t="str">
        <f t="shared" si="51"/>
        <v/>
      </c>
      <c r="R1513" s="54" t="str">
        <f t="shared" si="50"/>
        <v/>
      </c>
    </row>
    <row r="1514" spans="17:18" x14ac:dyDescent="0.3">
      <c r="Q1514" t="str">
        <f t="shared" si="51"/>
        <v/>
      </c>
      <c r="R1514" s="54" t="str">
        <f t="shared" si="50"/>
        <v/>
      </c>
    </row>
    <row r="1515" spans="17:18" x14ac:dyDescent="0.3">
      <c r="Q1515" t="str">
        <f t="shared" si="51"/>
        <v/>
      </c>
      <c r="R1515" s="54" t="str">
        <f t="shared" si="50"/>
        <v/>
      </c>
    </row>
    <row r="1516" spans="17:18" x14ac:dyDescent="0.3">
      <c r="Q1516" t="str">
        <f t="shared" si="51"/>
        <v/>
      </c>
      <c r="R1516" s="54" t="str">
        <f t="shared" si="50"/>
        <v/>
      </c>
    </row>
    <row r="1517" spans="17:18" x14ac:dyDescent="0.3">
      <c r="Q1517" t="str">
        <f t="shared" si="51"/>
        <v/>
      </c>
      <c r="R1517" s="54" t="str">
        <f t="shared" si="50"/>
        <v/>
      </c>
    </row>
    <row r="1518" spans="17:18" x14ac:dyDescent="0.3">
      <c r="Q1518" t="str">
        <f t="shared" si="51"/>
        <v/>
      </c>
      <c r="R1518" s="54" t="str">
        <f t="shared" si="50"/>
        <v/>
      </c>
    </row>
    <row r="1519" spans="17:18" x14ac:dyDescent="0.3">
      <c r="Q1519" t="str">
        <f t="shared" si="51"/>
        <v/>
      </c>
      <c r="R1519" s="54" t="str">
        <f t="shared" si="50"/>
        <v/>
      </c>
    </row>
    <row r="1520" spans="17:18" x14ac:dyDescent="0.3">
      <c r="Q1520" t="str">
        <f t="shared" si="51"/>
        <v/>
      </c>
      <c r="R1520" s="54" t="str">
        <f t="shared" si="50"/>
        <v/>
      </c>
    </row>
    <row r="1521" spans="17:18" x14ac:dyDescent="0.3">
      <c r="Q1521" t="str">
        <f t="shared" si="51"/>
        <v/>
      </c>
      <c r="R1521" s="54" t="str">
        <f t="shared" si="50"/>
        <v/>
      </c>
    </row>
    <row r="1522" spans="17:18" x14ac:dyDescent="0.3">
      <c r="Q1522" t="str">
        <f t="shared" si="51"/>
        <v/>
      </c>
      <c r="R1522" s="54" t="str">
        <f t="shared" si="50"/>
        <v/>
      </c>
    </row>
    <row r="1523" spans="17:18" x14ac:dyDescent="0.3">
      <c r="Q1523" t="str">
        <f t="shared" si="51"/>
        <v/>
      </c>
      <c r="R1523" s="54" t="str">
        <f t="shared" si="50"/>
        <v/>
      </c>
    </row>
    <row r="1524" spans="17:18" x14ac:dyDescent="0.3">
      <c r="Q1524" t="str">
        <f t="shared" si="51"/>
        <v/>
      </c>
      <c r="R1524" s="54" t="str">
        <f t="shared" si="50"/>
        <v/>
      </c>
    </row>
    <row r="1525" spans="17:18" x14ac:dyDescent="0.3">
      <c r="Q1525" t="str">
        <f t="shared" si="51"/>
        <v/>
      </c>
      <c r="R1525" s="54" t="str">
        <f t="shared" si="50"/>
        <v/>
      </c>
    </row>
    <row r="1526" spans="17:18" x14ac:dyDescent="0.3">
      <c r="Q1526" t="str">
        <f t="shared" si="51"/>
        <v/>
      </c>
      <c r="R1526" s="54" t="str">
        <f t="shared" si="50"/>
        <v/>
      </c>
    </row>
    <row r="1527" spans="17:18" x14ac:dyDescent="0.3">
      <c r="Q1527" t="str">
        <f t="shared" si="51"/>
        <v/>
      </c>
      <c r="R1527" s="54" t="str">
        <f t="shared" si="50"/>
        <v/>
      </c>
    </row>
    <row r="1528" spans="17:18" x14ac:dyDescent="0.3">
      <c r="Q1528" t="str">
        <f t="shared" si="51"/>
        <v/>
      </c>
      <c r="R1528" s="54" t="str">
        <f t="shared" si="50"/>
        <v/>
      </c>
    </row>
    <row r="1529" spans="17:18" x14ac:dyDescent="0.3">
      <c r="Q1529" t="str">
        <f t="shared" si="51"/>
        <v/>
      </c>
      <c r="R1529" s="54" t="str">
        <f t="shared" si="50"/>
        <v/>
      </c>
    </row>
    <row r="1530" spans="17:18" x14ac:dyDescent="0.3">
      <c r="Q1530" t="str">
        <f t="shared" si="51"/>
        <v/>
      </c>
      <c r="R1530" s="54" t="str">
        <f t="shared" si="50"/>
        <v/>
      </c>
    </row>
    <row r="1531" spans="17:18" x14ac:dyDescent="0.3">
      <c r="Q1531" t="str">
        <f t="shared" si="51"/>
        <v/>
      </c>
      <c r="R1531" s="54" t="str">
        <f t="shared" si="50"/>
        <v/>
      </c>
    </row>
    <row r="1532" spans="17:18" x14ac:dyDescent="0.3">
      <c r="Q1532" t="str">
        <f t="shared" si="51"/>
        <v/>
      </c>
      <c r="R1532" s="54" t="str">
        <f t="shared" si="50"/>
        <v/>
      </c>
    </row>
    <row r="1533" spans="17:18" x14ac:dyDescent="0.3">
      <c r="Q1533" t="str">
        <f t="shared" si="51"/>
        <v/>
      </c>
      <c r="R1533" s="54" t="str">
        <f t="shared" si="50"/>
        <v/>
      </c>
    </row>
    <row r="1534" spans="17:18" x14ac:dyDescent="0.3">
      <c r="Q1534" t="str">
        <f t="shared" si="51"/>
        <v/>
      </c>
      <c r="R1534" s="54" t="str">
        <f t="shared" si="50"/>
        <v/>
      </c>
    </row>
    <row r="1535" spans="17:18" x14ac:dyDescent="0.3">
      <c r="Q1535" t="str">
        <f t="shared" si="51"/>
        <v/>
      </c>
      <c r="R1535" s="54" t="str">
        <f t="shared" si="50"/>
        <v/>
      </c>
    </row>
    <row r="1536" spans="17:18" x14ac:dyDescent="0.3">
      <c r="Q1536" t="str">
        <f t="shared" si="51"/>
        <v/>
      </c>
      <c r="R1536" s="54" t="str">
        <f t="shared" si="50"/>
        <v/>
      </c>
    </row>
    <row r="1537" spans="17:18" x14ac:dyDescent="0.3">
      <c r="Q1537" t="str">
        <f t="shared" si="51"/>
        <v/>
      </c>
      <c r="R1537" s="54" t="str">
        <f t="shared" si="50"/>
        <v/>
      </c>
    </row>
    <row r="1538" spans="17:18" x14ac:dyDescent="0.3">
      <c r="Q1538" t="str">
        <f t="shared" si="51"/>
        <v/>
      </c>
      <c r="R1538" s="54" t="str">
        <f t="shared" si="50"/>
        <v/>
      </c>
    </row>
    <row r="1539" spans="17:18" x14ac:dyDescent="0.3">
      <c r="Q1539" t="str">
        <f t="shared" si="51"/>
        <v/>
      </c>
      <c r="R1539" s="54" t="str">
        <f t="shared" ref="R1539:R1602" si="52">IF(F1553="","",IFERROR(IF(ISNUMBER(F1553),F1553,DATEVALUE(F1553)),""))</f>
        <v/>
      </c>
    </row>
    <row r="1540" spans="17:18" x14ac:dyDescent="0.3">
      <c r="Q1540" t="str">
        <f t="shared" si="51"/>
        <v/>
      </c>
      <c r="R1540" s="54" t="str">
        <f t="shared" si="52"/>
        <v/>
      </c>
    </row>
    <row r="1541" spans="17:18" x14ac:dyDescent="0.3">
      <c r="Q1541" t="str">
        <f t="shared" si="51"/>
        <v/>
      </c>
      <c r="R1541" s="54" t="str">
        <f t="shared" si="52"/>
        <v/>
      </c>
    </row>
    <row r="1542" spans="17:18" x14ac:dyDescent="0.3">
      <c r="Q1542" t="str">
        <f t="shared" si="51"/>
        <v/>
      </c>
      <c r="R1542" s="54" t="str">
        <f t="shared" si="52"/>
        <v/>
      </c>
    </row>
    <row r="1543" spans="17:18" x14ac:dyDescent="0.3">
      <c r="Q1543" t="str">
        <f t="shared" si="51"/>
        <v/>
      </c>
      <c r="R1543" s="54" t="str">
        <f t="shared" si="52"/>
        <v/>
      </c>
    </row>
    <row r="1544" spans="17:18" x14ac:dyDescent="0.3">
      <c r="Q1544" t="str">
        <f t="shared" si="51"/>
        <v/>
      </c>
      <c r="R1544" s="54" t="str">
        <f t="shared" si="52"/>
        <v/>
      </c>
    </row>
    <row r="1545" spans="17:18" x14ac:dyDescent="0.3">
      <c r="Q1545" t="str">
        <f t="shared" si="51"/>
        <v/>
      </c>
      <c r="R1545" s="54" t="str">
        <f t="shared" si="52"/>
        <v/>
      </c>
    </row>
    <row r="1546" spans="17:18" x14ac:dyDescent="0.3">
      <c r="Q1546" t="str">
        <f t="shared" si="51"/>
        <v/>
      </c>
      <c r="R1546" s="54" t="str">
        <f t="shared" si="52"/>
        <v/>
      </c>
    </row>
    <row r="1547" spans="17:18" x14ac:dyDescent="0.3">
      <c r="Q1547" t="str">
        <f t="shared" si="51"/>
        <v/>
      </c>
      <c r="R1547" s="54" t="str">
        <f t="shared" si="52"/>
        <v/>
      </c>
    </row>
    <row r="1548" spans="17:18" x14ac:dyDescent="0.3">
      <c r="Q1548" t="str">
        <f t="shared" si="51"/>
        <v/>
      </c>
      <c r="R1548" s="54" t="str">
        <f t="shared" si="52"/>
        <v/>
      </c>
    </row>
    <row r="1549" spans="17:18" x14ac:dyDescent="0.3">
      <c r="Q1549" t="str">
        <f t="shared" si="51"/>
        <v/>
      </c>
      <c r="R1549" s="54" t="str">
        <f t="shared" si="52"/>
        <v/>
      </c>
    </row>
    <row r="1550" spans="17:18" x14ac:dyDescent="0.3">
      <c r="Q1550" t="str">
        <f t="shared" si="51"/>
        <v/>
      </c>
      <c r="R1550" s="54" t="str">
        <f t="shared" si="52"/>
        <v/>
      </c>
    </row>
    <row r="1551" spans="17:18" x14ac:dyDescent="0.3">
      <c r="Q1551" t="str">
        <f t="shared" si="51"/>
        <v/>
      </c>
      <c r="R1551" s="54" t="str">
        <f t="shared" si="52"/>
        <v/>
      </c>
    </row>
    <row r="1552" spans="17:18" x14ac:dyDescent="0.3">
      <c r="Q1552" t="str">
        <f t="shared" si="51"/>
        <v/>
      </c>
      <c r="R1552" s="54" t="str">
        <f t="shared" si="52"/>
        <v/>
      </c>
    </row>
    <row r="1553" spans="17:18" x14ac:dyDescent="0.3">
      <c r="Q1553" t="str">
        <f t="shared" si="51"/>
        <v/>
      </c>
      <c r="R1553" s="54" t="str">
        <f t="shared" si="52"/>
        <v/>
      </c>
    </row>
    <row r="1554" spans="17:18" x14ac:dyDescent="0.3">
      <c r="Q1554" t="str">
        <f t="shared" si="51"/>
        <v/>
      </c>
      <c r="R1554" s="54" t="str">
        <f t="shared" si="52"/>
        <v/>
      </c>
    </row>
    <row r="1555" spans="17:18" x14ac:dyDescent="0.3">
      <c r="Q1555" t="str">
        <f t="shared" si="51"/>
        <v/>
      </c>
      <c r="R1555" s="54" t="str">
        <f t="shared" si="52"/>
        <v/>
      </c>
    </row>
    <row r="1556" spans="17:18" x14ac:dyDescent="0.3">
      <c r="Q1556" t="str">
        <f t="shared" si="51"/>
        <v/>
      </c>
      <c r="R1556" s="54" t="str">
        <f t="shared" si="52"/>
        <v/>
      </c>
    </row>
    <row r="1557" spans="17:18" x14ac:dyDescent="0.3">
      <c r="Q1557" t="str">
        <f t="shared" si="51"/>
        <v/>
      </c>
      <c r="R1557" s="54" t="str">
        <f t="shared" si="52"/>
        <v/>
      </c>
    </row>
    <row r="1558" spans="17:18" x14ac:dyDescent="0.3">
      <c r="Q1558" t="str">
        <f t="shared" si="51"/>
        <v/>
      </c>
      <c r="R1558" s="54" t="str">
        <f t="shared" si="52"/>
        <v/>
      </c>
    </row>
    <row r="1559" spans="17:18" x14ac:dyDescent="0.3">
      <c r="Q1559" t="str">
        <f t="shared" ref="Q1559:Q1622" si="53">IF(COUNTA(A1559:P1559)=0,"",IF(ISNUMBER(SEARCH("-AR-",E1573)),"Architectural",IF(ISNUMBER(SEARCH("-ST-",E1573)),"Structural",IF(ISNUMBER(SEARCH("-ME-",E1573)),"Mechanical",IF(ISNUMBER(SEARCH("-EL-",E1573)),"Electrical",IF(ISNUMBER(SEARCH("-GE-",E1573)),"General",IF(ISNUMBER(SEARCH("-AR-",D1573)),"Architectural",IF(ISNUMBER(SEARCH("-ST-",D1573)),"Structural",IF(ISNUMBER(SEARCH("-ME-",D1573)),"Mechanical",IF(ISNUMBER(SEARCH("-EL-",D1573)),"Electrical",IF(ISNUMBER(SEARCH("-GE-",D1573)),"General","Other")))))))))))</f>
        <v/>
      </c>
      <c r="R1559" s="54" t="str">
        <f t="shared" si="52"/>
        <v/>
      </c>
    </row>
    <row r="1560" spans="17:18" x14ac:dyDescent="0.3">
      <c r="Q1560" t="str">
        <f t="shared" si="53"/>
        <v/>
      </c>
      <c r="R1560" s="54" t="str">
        <f t="shared" si="52"/>
        <v/>
      </c>
    </row>
    <row r="1561" spans="17:18" x14ac:dyDescent="0.3">
      <c r="Q1561" t="str">
        <f t="shared" si="53"/>
        <v/>
      </c>
      <c r="R1561" s="54" t="str">
        <f t="shared" si="52"/>
        <v/>
      </c>
    </row>
    <row r="1562" spans="17:18" x14ac:dyDescent="0.3">
      <c r="Q1562" t="str">
        <f t="shared" si="53"/>
        <v/>
      </c>
      <c r="R1562" s="54" t="str">
        <f t="shared" si="52"/>
        <v/>
      </c>
    </row>
    <row r="1563" spans="17:18" x14ac:dyDescent="0.3">
      <c r="Q1563" t="str">
        <f t="shared" si="53"/>
        <v/>
      </c>
      <c r="R1563" s="54" t="str">
        <f t="shared" si="52"/>
        <v/>
      </c>
    </row>
    <row r="1564" spans="17:18" x14ac:dyDescent="0.3">
      <c r="Q1564" t="str">
        <f t="shared" si="53"/>
        <v/>
      </c>
      <c r="R1564" s="54" t="str">
        <f t="shared" si="52"/>
        <v/>
      </c>
    </row>
    <row r="1565" spans="17:18" x14ac:dyDescent="0.3">
      <c r="Q1565" t="str">
        <f t="shared" si="53"/>
        <v/>
      </c>
      <c r="R1565" s="54" t="str">
        <f t="shared" si="52"/>
        <v/>
      </c>
    </row>
    <row r="1566" spans="17:18" x14ac:dyDescent="0.3">
      <c r="Q1566" t="str">
        <f t="shared" si="53"/>
        <v/>
      </c>
      <c r="R1566" s="54" t="str">
        <f t="shared" si="52"/>
        <v/>
      </c>
    </row>
    <row r="1567" spans="17:18" x14ac:dyDescent="0.3">
      <c r="Q1567" t="str">
        <f t="shared" si="53"/>
        <v/>
      </c>
      <c r="R1567" s="54" t="str">
        <f t="shared" si="52"/>
        <v/>
      </c>
    </row>
    <row r="1568" spans="17:18" x14ac:dyDescent="0.3">
      <c r="Q1568" t="str">
        <f t="shared" si="53"/>
        <v/>
      </c>
      <c r="R1568" s="54" t="str">
        <f t="shared" si="52"/>
        <v/>
      </c>
    </row>
    <row r="1569" spans="17:18" x14ac:dyDescent="0.3">
      <c r="Q1569" t="str">
        <f t="shared" si="53"/>
        <v/>
      </c>
      <c r="R1569" s="54" t="str">
        <f t="shared" si="52"/>
        <v/>
      </c>
    </row>
    <row r="1570" spans="17:18" x14ac:dyDescent="0.3">
      <c r="Q1570" t="str">
        <f t="shared" si="53"/>
        <v/>
      </c>
      <c r="R1570" s="54" t="str">
        <f t="shared" si="52"/>
        <v/>
      </c>
    </row>
    <row r="1571" spans="17:18" x14ac:dyDescent="0.3">
      <c r="Q1571" t="str">
        <f t="shared" si="53"/>
        <v/>
      </c>
      <c r="R1571" s="54" t="str">
        <f t="shared" si="52"/>
        <v/>
      </c>
    </row>
    <row r="1572" spans="17:18" x14ac:dyDescent="0.3">
      <c r="Q1572" t="str">
        <f t="shared" si="53"/>
        <v/>
      </c>
      <c r="R1572" s="54" t="str">
        <f t="shared" si="52"/>
        <v/>
      </c>
    </row>
    <row r="1573" spans="17:18" x14ac:dyDescent="0.3">
      <c r="Q1573" t="str">
        <f t="shared" si="53"/>
        <v/>
      </c>
      <c r="R1573" s="54" t="str">
        <f t="shared" si="52"/>
        <v/>
      </c>
    </row>
    <row r="1574" spans="17:18" x14ac:dyDescent="0.3">
      <c r="Q1574" t="str">
        <f t="shared" si="53"/>
        <v/>
      </c>
      <c r="R1574" s="54" t="str">
        <f t="shared" si="52"/>
        <v/>
      </c>
    </row>
    <row r="1575" spans="17:18" x14ac:dyDescent="0.3">
      <c r="Q1575" t="str">
        <f t="shared" si="53"/>
        <v/>
      </c>
      <c r="R1575" s="54" t="str">
        <f t="shared" si="52"/>
        <v/>
      </c>
    </row>
    <row r="1576" spans="17:18" x14ac:dyDescent="0.3">
      <c r="Q1576" t="str">
        <f t="shared" si="53"/>
        <v/>
      </c>
      <c r="R1576" s="54" t="str">
        <f t="shared" si="52"/>
        <v/>
      </c>
    </row>
    <row r="1577" spans="17:18" x14ac:dyDescent="0.3">
      <c r="Q1577" t="str">
        <f t="shared" si="53"/>
        <v/>
      </c>
      <c r="R1577" s="54" t="str">
        <f t="shared" si="52"/>
        <v/>
      </c>
    </row>
    <row r="1578" spans="17:18" x14ac:dyDescent="0.3">
      <c r="Q1578" t="str">
        <f t="shared" si="53"/>
        <v/>
      </c>
      <c r="R1578" s="54" t="str">
        <f t="shared" si="52"/>
        <v/>
      </c>
    </row>
    <row r="1579" spans="17:18" x14ac:dyDescent="0.3">
      <c r="Q1579" t="str">
        <f t="shared" si="53"/>
        <v/>
      </c>
      <c r="R1579" s="54" t="str">
        <f t="shared" si="52"/>
        <v/>
      </c>
    </row>
    <row r="1580" spans="17:18" x14ac:dyDescent="0.3">
      <c r="Q1580" t="str">
        <f t="shared" si="53"/>
        <v/>
      </c>
      <c r="R1580" s="54" t="str">
        <f t="shared" si="52"/>
        <v/>
      </c>
    </row>
    <row r="1581" spans="17:18" x14ac:dyDescent="0.3">
      <c r="Q1581" t="str">
        <f t="shared" si="53"/>
        <v/>
      </c>
      <c r="R1581" s="54" t="str">
        <f t="shared" si="52"/>
        <v/>
      </c>
    </row>
    <row r="1582" spans="17:18" x14ac:dyDescent="0.3">
      <c r="Q1582" t="str">
        <f t="shared" si="53"/>
        <v/>
      </c>
      <c r="R1582" s="54" t="str">
        <f t="shared" si="52"/>
        <v/>
      </c>
    </row>
    <row r="1583" spans="17:18" x14ac:dyDescent="0.3">
      <c r="Q1583" t="str">
        <f t="shared" si="53"/>
        <v/>
      </c>
      <c r="R1583" s="54" t="str">
        <f t="shared" si="52"/>
        <v/>
      </c>
    </row>
    <row r="1584" spans="17:18" x14ac:dyDescent="0.3">
      <c r="Q1584" t="str">
        <f t="shared" si="53"/>
        <v/>
      </c>
      <c r="R1584" s="54" t="str">
        <f t="shared" si="52"/>
        <v/>
      </c>
    </row>
    <row r="1585" spans="17:18" x14ac:dyDescent="0.3">
      <c r="Q1585" t="str">
        <f t="shared" si="53"/>
        <v/>
      </c>
      <c r="R1585" s="54" t="str">
        <f t="shared" si="52"/>
        <v/>
      </c>
    </row>
    <row r="1586" spans="17:18" x14ac:dyDescent="0.3">
      <c r="Q1586" t="str">
        <f t="shared" si="53"/>
        <v/>
      </c>
      <c r="R1586" s="54" t="str">
        <f t="shared" si="52"/>
        <v/>
      </c>
    </row>
    <row r="1587" spans="17:18" x14ac:dyDescent="0.3">
      <c r="Q1587" t="str">
        <f t="shared" si="53"/>
        <v/>
      </c>
      <c r="R1587" s="54" t="str">
        <f t="shared" si="52"/>
        <v/>
      </c>
    </row>
    <row r="1588" spans="17:18" x14ac:dyDescent="0.3">
      <c r="Q1588" t="str">
        <f t="shared" si="53"/>
        <v/>
      </c>
      <c r="R1588" s="54" t="str">
        <f t="shared" si="52"/>
        <v/>
      </c>
    </row>
    <row r="1589" spans="17:18" x14ac:dyDescent="0.3">
      <c r="Q1589" t="str">
        <f t="shared" si="53"/>
        <v/>
      </c>
      <c r="R1589" s="54" t="str">
        <f t="shared" si="52"/>
        <v/>
      </c>
    </row>
    <row r="1590" spans="17:18" x14ac:dyDescent="0.3">
      <c r="Q1590" t="str">
        <f t="shared" si="53"/>
        <v/>
      </c>
      <c r="R1590" s="54" t="str">
        <f t="shared" si="52"/>
        <v/>
      </c>
    </row>
    <row r="1591" spans="17:18" x14ac:dyDescent="0.3">
      <c r="Q1591" t="str">
        <f t="shared" si="53"/>
        <v/>
      </c>
      <c r="R1591" s="54" t="str">
        <f t="shared" si="52"/>
        <v/>
      </c>
    </row>
    <row r="1592" spans="17:18" x14ac:dyDescent="0.3">
      <c r="Q1592" t="str">
        <f t="shared" si="53"/>
        <v/>
      </c>
      <c r="R1592" s="54" t="str">
        <f t="shared" si="52"/>
        <v/>
      </c>
    </row>
    <row r="1593" spans="17:18" x14ac:dyDescent="0.3">
      <c r="Q1593" t="str">
        <f t="shared" si="53"/>
        <v/>
      </c>
      <c r="R1593" s="54" t="str">
        <f t="shared" si="52"/>
        <v/>
      </c>
    </row>
    <row r="1594" spans="17:18" x14ac:dyDescent="0.3">
      <c r="Q1594" t="str">
        <f t="shared" si="53"/>
        <v/>
      </c>
      <c r="R1594" s="54" t="str">
        <f t="shared" si="52"/>
        <v/>
      </c>
    </row>
    <row r="1595" spans="17:18" x14ac:dyDescent="0.3">
      <c r="Q1595" t="str">
        <f t="shared" si="53"/>
        <v/>
      </c>
      <c r="R1595" s="54" t="str">
        <f t="shared" si="52"/>
        <v/>
      </c>
    </row>
    <row r="1596" spans="17:18" x14ac:dyDescent="0.3">
      <c r="Q1596" t="str">
        <f t="shared" si="53"/>
        <v/>
      </c>
      <c r="R1596" s="54" t="str">
        <f t="shared" si="52"/>
        <v/>
      </c>
    </row>
    <row r="1597" spans="17:18" x14ac:dyDescent="0.3">
      <c r="Q1597" t="str">
        <f t="shared" si="53"/>
        <v/>
      </c>
      <c r="R1597" s="54" t="str">
        <f t="shared" si="52"/>
        <v/>
      </c>
    </row>
    <row r="1598" spans="17:18" x14ac:dyDescent="0.3">
      <c r="Q1598" t="str">
        <f t="shared" si="53"/>
        <v/>
      </c>
      <c r="R1598" s="54" t="str">
        <f t="shared" si="52"/>
        <v/>
      </c>
    </row>
    <row r="1599" spans="17:18" x14ac:dyDescent="0.3">
      <c r="Q1599" t="str">
        <f t="shared" si="53"/>
        <v/>
      </c>
      <c r="R1599" s="54" t="str">
        <f t="shared" si="52"/>
        <v/>
      </c>
    </row>
    <row r="1600" spans="17:18" x14ac:dyDescent="0.3">
      <c r="Q1600" t="str">
        <f t="shared" si="53"/>
        <v/>
      </c>
      <c r="R1600" s="54" t="str">
        <f t="shared" si="52"/>
        <v/>
      </c>
    </row>
    <row r="1601" spans="17:18" x14ac:dyDescent="0.3">
      <c r="Q1601" t="str">
        <f t="shared" si="53"/>
        <v/>
      </c>
      <c r="R1601" s="54" t="str">
        <f t="shared" si="52"/>
        <v/>
      </c>
    </row>
    <row r="1602" spans="17:18" x14ac:dyDescent="0.3">
      <c r="Q1602" t="str">
        <f t="shared" si="53"/>
        <v/>
      </c>
      <c r="R1602" s="54" t="str">
        <f t="shared" si="52"/>
        <v/>
      </c>
    </row>
    <row r="1603" spans="17:18" x14ac:dyDescent="0.3">
      <c r="Q1603" t="str">
        <f t="shared" si="53"/>
        <v/>
      </c>
      <c r="R1603" s="54" t="str">
        <f t="shared" ref="R1603:R1666" si="54">IF(F1617="","",IFERROR(IF(ISNUMBER(F1617),F1617,DATEVALUE(F1617)),""))</f>
        <v/>
      </c>
    </row>
    <row r="1604" spans="17:18" x14ac:dyDescent="0.3">
      <c r="Q1604" t="str">
        <f t="shared" si="53"/>
        <v/>
      </c>
      <c r="R1604" s="54" t="str">
        <f t="shared" si="54"/>
        <v/>
      </c>
    </row>
    <row r="1605" spans="17:18" x14ac:dyDescent="0.3">
      <c r="Q1605" t="str">
        <f t="shared" si="53"/>
        <v/>
      </c>
      <c r="R1605" s="54" t="str">
        <f t="shared" si="54"/>
        <v/>
      </c>
    </row>
    <row r="1606" spans="17:18" x14ac:dyDescent="0.3">
      <c r="Q1606" t="str">
        <f t="shared" si="53"/>
        <v/>
      </c>
      <c r="R1606" s="54" t="str">
        <f t="shared" si="54"/>
        <v/>
      </c>
    </row>
    <row r="1607" spans="17:18" x14ac:dyDescent="0.3">
      <c r="Q1607" t="str">
        <f t="shared" si="53"/>
        <v/>
      </c>
      <c r="R1607" s="54" t="str">
        <f t="shared" si="54"/>
        <v/>
      </c>
    </row>
    <row r="1608" spans="17:18" x14ac:dyDescent="0.3">
      <c r="Q1608" t="str">
        <f t="shared" si="53"/>
        <v/>
      </c>
      <c r="R1608" s="54" t="str">
        <f t="shared" si="54"/>
        <v/>
      </c>
    </row>
    <row r="1609" spans="17:18" x14ac:dyDescent="0.3">
      <c r="Q1609" t="str">
        <f t="shared" si="53"/>
        <v/>
      </c>
      <c r="R1609" s="54" t="str">
        <f t="shared" si="54"/>
        <v/>
      </c>
    </row>
    <row r="1610" spans="17:18" x14ac:dyDescent="0.3">
      <c r="Q1610" t="str">
        <f t="shared" si="53"/>
        <v/>
      </c>
      <c r="R1610" s="54" t="str">
        <f t="shared" si="54"/>
        <v/>
      </c>
    </row>
    <row r="1611" spans="17:18" x14ac:dyDescent="0.3">
      <c r="Q1611" t="str">
        <f t="shared" si="53"/>
        <v/>
      </c>
      <c r="R1611" s="54" t="str">
        <f t="shared" si="54"/>
        <v/>
      </c>
    </row>
    <row r="1612" spans="17:18" x14ac:dyDescent="0.3">
      <c r="Q1612" t="str">
        <f t="shared" si="53"/>
        <v/>
      </c>
      <c r="R1612" s="54" t="str">
        <f t="shared" si="54"/>
        <v/>
      </c>
    </row>
    <row r="1613" spans="17:18" x14ac:dyDescent="0.3">
      <c r="Q1613" t="str">
        <f t="shared" si="53"/>
        <v/>
      </c>
      <c r="R1613" s="54" t="str">
        <f t="shared" si="54"/>
        <v/>
      </c>
    </row>
    <row r="1614" spans="17:18" x14ac:dyDescent="0.3">
      <c r="Q1614" t="str">
        <f t="shared" si="53"/>
        <v/>
      </c>
      <c r="R1614" s="54" t="str">
        <f t="shared" si="54"/>
        <v/>
      </c>
    </row>
    <row r="1615" spans="17:18" x14ac:dyDescent="0.3">
      <c r="Q1615" t="str">
        <f t="shared" si="53"/>
        <v/>
      </c>
      <c r="R1615" s="54" t="str">
        <f t="shared" si="54"/>
        <v/>
      </c>
    </row>
    <row r="1616" spans="17:18" x14ac:dyDescent="0.3">
      <c r="Q1616" t="str">
        <f t="shared" si="53"/>
        <v/>
      </c>
      <c r="R1616" s="54" t="str">
        <f t="shared" si="54"/>
        <v/>
      </c>
    </row>
    <row r="1617" spans="17:18" x14ac:dyDescent="0.3">
      <c r="Q1617" t="str">
        <f t="shared" si="53"/>
        <v/>
      </c>
      <c r="R1617" s="54" t="str">
        <f t="shared" si="54"/>
        <v/>
      </c>
    </row>
    <row r="1618" spans="17:18" x14ac:dyDescent="0.3">
      <c r="Q1618" t="str">
        <f t="shared" si="53"/>
        <v/>
      </c>
      <c r="R1618" s="54" t="str">
        <f t="shared" si="54"/>
        <v/>
      </c>
    </row>
    <row r="1619" spans="17:18" x14ac:dyDescent="0.3">
      <c r="Q1619" t="str">
        <f t="shared" si="53"/>
        <v/>
      </c>
      <c r="R1619" s="54" t="str">
        <f t="shared" si="54"/>
        <v/>
      </c>
    </row>
    <row r="1620" spans="17:18" x14ac:dyDescent="0.3">
      <c r="Q1620" t="str">
        <f t="shared" si="53"/>
        <v/>
      </c>
      <c r="R1620" s="54" t="str">
        <f t="shared" si="54"/>
        <v/>
      </c>
    </row>
    <row r="1621" spans="17:18" x14ac:dyDescent="0.3">
      <c r="Q1621" t="str">
        <f t="shared" si="53"/>
        <v/>
      </c>
      <c r="R1621" s="54" t="str">
        <f t="shared" si="54"/>
        <v/>
      </c>
    </row>
    <row r="1622" spans="17:18" x14ac:dyDescent="0.3">
      <c r="Q1622" t="str">
        <f t="shared" si="53"/>
        <v/>
      </c>
      <c r="R1622" s="54" t="str">
        <f t="shared" si="54"/>
        <v/>
      </c>
    </row>
    <row r="1623" spans="17:18" x14ac:dyDescent="0.3">
      <c r="Q1623" t="str">
        <f t="shared" ref="Q1623:Q1686" si="55">IF(COUNTA(A1623:P1623)=0,"",IF(ISNUMBER(SEARCH("-AR-",E1637)),"Architectural",IF(ISNUMBER(SEARCH("-ST-",E1637)),"Structural",IF(ISNUMBER(SEARCH("-ME-",E1637)),"Mechanical",IF(ISNUMBER(SEARCH("-EL-",E1637)),"Electrical",IF(ISNUMBER(SEARCH("-GE-",E1637)),"General",IF(ISNUMBER(SEARCH("-AR-",D1637)),"Architectural",IF(ISNUMBER(SEARCH("-ST-",D1637)),"Structural",IF(ISNUMBER(SEARCH("-ME-",D1637)),"Mechanical",IF(ISNUMBER(SEARCH("-EL-",D1637)),"Electrical",IF(ISNUMBER(SEARCH("-GE-",D1637)),"General","Other")))))))))))</f>
        <v/>
      </c>
      <c r="R1623" s="54" t="str">
        <f t="shared" si="54"/>
        <v/>
      </c>
    </row>
    <row r="1624" spans="17:18" x14ac:dyDescent="0.3">
      <c r="Q1624" t="str">
        <f t="shared" si="55"/>
        <v/>
      </c>
      <c r="R1624" s="54" t="str">
        <f t="shared" si="54"/>
        <v/>
      </c>
    </row>
    <row r="1625" spans="17:18" x14ac:dyDescent="0.3">
      <c r="Q1625" t="str">
        <f t="shared" si="55"/>
        <v/>
      </c>
      <c r="R1625" s="54" t="str">
        <f t="shared" si="54"/>
        <v/>
      </c>
    </row>
    <row r="1626" spans="17:18" x14ac:dyDescent="0.3">
      <c r="Q1626" t="str">
        <f t="shared" si="55"/>
        <v/>
      </c>
      <c r="R1626" s="54" t="str">
        <f t="shared" si="54"/>
        <v/>
      </c>
    </row>
    <row r="1627" spans="17:18" x14ac:dyDescent="0.3">
      <c r="Q1627" t="str">
        <f t="shared" si="55"/>
        <v/>
      </c>
      <c r="R1627" s="54" t="str">
        <f t="shared" si="54"/>
        <v/>
      </c>
    </row>
    <row r="1628" spans="17:18" x14ac:dyDescent="0.3">
      <c r="Q1628" t="str">
        <f t="shared" si="55"/>
        <v/>
      </c>
      <c r="R1628" s="54" t="str">
        <f t="shared" si="54"/>
        <v/>
      </c>
    </row>
    <row r="1629" spans="17:18" x14ac:dyDescent="0.3">
      <c r="Q1629" t="str">
        <f t="shared" si="55"/>
        <v/>
      </c>
      <c r="R1629" s="54" t="str">
        <f t="shared" si="54"/>
        <v/>
      </c>
    </row>
    <row r="1630" spans="17:18" x14ac:dyDescent="0.3">
      <c r="Q1630" t="str">
        <f t="shared" si="55"/>
        <v/>
      </c>
      <c r="R1630" s="54" t="str">
        <f t="shared" si="54"/>
        <v/>
      </c>
    </row>
    <row r="1631" spans="17:18" x14ac:dyDescent="0.3">
      <c r="Q1631" t="str">
        <f t="shared" si="55"/>
        <v/>
      </c>
      <c r="R1631" s="54" t="str">
        <f t="shared" si="54"/>
        <v/>
      </c>
    </row>
    <row r="1632" spans="17:18" x14ac:dyDescent="0.3">
      <c r="Q1632" t="str">
        <f t="shared" si="55"/>
        <v/>
      </c>
      <c r="R1632" s="54" t="str">
        <f t="shared" si="54"/>
        <v/>
      </c>
    </row>
    <row r="1633" spans="17:18" x14ac:dyDescent="0.3">
      <c r="Q1633" t="str">
        <f t="shared" si="55"/>
        <v/>
      </c>
      <c r="R1633" s="54" t="str">
        <f t="shared" si="54"/>
        <v/>
      </c>
    </row>
    <row r="1634" spans="17:18" x14ac:dyDescent="0.3">
      <c r="Q1634" t="str">
        <f t="shared" si="55"/>
        <v/>
      </c>
      <c r="R1634" s="54" t="str">
        <f t="shared" si="54"/>
        <v/>
      </c>
    </row>
    <row r="1635" spans="17:18" x14ac:dyDescent="0.3">
      <c r="Q1635" t="str">
        <f t="shared" si="55"/>
        <v/>
      </c>
      <c r="R1635" s="54" t="str">
        <f t="shared" si="54"/>
        <v/>
      </c>
    </row>
    <row r="1636" spans="17:18" x14ac:dyDescent="0.3">
      <c r="Q1636" t="str">
        <f t="shared" si="55"/>
        <v/>
      </c>
      <c r="R1636" s="54" t="str">
        <f t="shared" si="54"/>
        <v/>
      </c>
    </row>
    <row r="1637" spans="17:18" x14ac:dyDescent="0.3">
      <c r="Q1637" t="str">
        <f t="shared" si="55"/>
        <v/>
      </c>
      <c r="R1637" s="54" t="str">
        <f t="shared" si="54"/>
        <v/>
      </c>
    </row>
    <row r="1638" spans="17:18" x14ac:dyDescent="0.3">
      <c r="Q1638" t="str">
        <f t="shared" si="55"/>
        <v/>
      </c>
      <c r="R1638" s="54" t="str">
        <f t="shared" si="54"/>
        <v/>
      </c>
    </row>
    <row r="1639" spans="17:18" x14ac:dyDescent="0.3">
      <c r="Q1639" t="str">
        <f t="shared" si="55"/>
        <v/>
      </c>
      <c r="R1639" s="54" t="str">
        <f t="shared" si="54"/>
        <v/>
      </c>
    </row>
    <row r="1640" spans="17:18" x14ac:dyDescent="0.3">
      <c r="Q1640" t="str">
        <f t="shared" si="55"/>
        <v/>
      </c>
      <c r="R1640" s="54" t="str">
        <f t="shared" si="54"/>
        <v/>
      </c>
    </row>
    <row r="1641" spans="17:18" x14ac:dyDescent="0.3">
      <c r="Q1641" t="str">
        <f t="shared" si="55"/>
        <v/>
      </c>
      <c r="R1641" s="54" t="str">
        <f t="shared" si="54"/>
        <v/>
      </c>
    </row>
    <row r="1642" spans="17:18" x14ac:dyDescent="0.3">
      <c r="Q1642" t="str">
        <f t="shared" si="55"/>
        <v/>
      </c>
      <c r="R1642" s="54" t="str">
        <f t="shared" si="54"/>
        <v/>
      </c>
    </row>
    <row r="1643" spans="17:18" x14ac:dyDescent="0.3">
      <c r="Q1643" t="str">
        <f t="shared" si="55"/>
        <v/>
      </c>
      <c r="R1643" s="54" t="str">
        <f t="shared" si="54"/>
        <v/>
      </c>
    </row>
    <row r="1644" spans="17:18" x14ac:dyDescent="0.3">
      <c r="Q1644" t="str">
        <f t="shared" si="55"/>
        <v/>
      </c>
      <c r="R1644" s="54" t="str">
        <f t="shared" si="54"/>
        <v/>
      </c>
    </row>
    <row r="1645" spans="17:18" x14ac:dyDescent="0.3">
      <c r="Q1645" t="str">
        <f t="shared" si="55"/>
        <v/>
      </c>
      <c r="R1645" s="54" t="str">
        <f t="shared" si="54"/>
        <v/>
      </c>
    </row>
    <row r="1646" spans="17:18" x14ac:dyDescent="0.3">
      <c r="Q1646" t="str">
        <f t="shared" si="55"/>
        <v/>
      </c>
      <c r="R1646" s="54" t="str">
        <f t="shared" si="54"/>
        <v/>
      </c>
    </row>
    <row r="1647" spans="17:18" x14ac:dyDescent="0.3">
      <c r="Q1647" t="str">
        <f t="shared" si="55"/>
        <v/>
      </c>
      <c r="R1647" s="54" t="str">
        <f t="shared" si="54"/>
        <v/>
      </c>
    </row>
    <row r="1648" spans="17:18" x14ac:dyDescent="0.3">
      <c r="Q1648" t="str">
        <f t="shared" si="55"/>
        <v/>
      </c>
      <c r="R1648" s="54" t="str">
        <f t="shared" si="54"/>
        <v/>
      </c>
    </row>
    <row r="1649" spans="17:18" x14ac:dyDescent="0.3">
      <c r="Q1649" t="str">
        <f t="shared" si="55"/>
        <v/>
      </c>
      <c r="R1649" s="54" t="str">
        <f t="shared" si="54"/>
        <v/>
      </c>
    </row>
    <row r="1650" spans="17:18" x14ac:dyDescent="0.3">
      <c r="Q1650" t="str">
        <f t="shared" si="55"/>
        <v/>
      </c>
      <c r="R1650" s="54" t="str">
        <f t="shared" si="54"/>
        <v/>
      </c>
    </row>
    <row r="1651" spans="17:18" x14ac:dyDescent="0.3">
      <c r="Q1651" t="str">
        <f t="shared" si="55"/>
        <v/>
      </c>
      <c r="R1651" s="54" t="str">
        <f t="shared" si="54"/>
        <v/>
      </c>
    </row>
    <row r="1652" spans="17:18" x14ac:dyDescent="0.3">
      <c r="Q1652" t="str">
        <f t="shared" si="55"/>
        <v/>
      </c>
      <c r="R1652" s="54" t="str">
        <f t="shared" si="54"/>
        <v/>
      </c>
    </row>
    <row r="1653" spans="17:18" x14ac:dyDescent="0.3">
      <c r="Q1653" t="str">
        <f t="shared" si="55"/>
        <v/>
      </c>
      <c r="R1653" s="54" t="str">
        <f t="shared" si="54"/>
        <v/>
      </c>
    </row>
    <row r="1654" spans="17:18" x14ac:dyDescent="0.3">
      <c r="Q1654" t="str">
        <f t="shared" si="55"/>
        <v/>
      </c>
      <c r="R1654" s="54" t="str">
        <f t="shared" si="54"/>
        <v/>
      </c>
    </row>
    <row r="1655" spans="17:18" x14ac:dyDescent="0.3">
      <c r="Q1655" t="str">
        <f t="shared" si="55"/>
        <v/>
      </c>
      <c r="R1655" s="54" t="str">
        <f t="shared" si="54"/>
        <v/>
      </c>
    </row>
    <row r="1656" spans="17:18" x14ac:dyDescent="0.3">
      <c r="Q1656" t="str">
        <f t="shared" si="55"/>
        <v/>
      </c>
      <c r="R1656" s="54" t="str">
        <f t="shared" si="54"/>
        <v/>
      </c>
    </row>
    <row r="1657" spans="17:18" x14ac:dyDescent="0.3">
      <c r="Q1657" t="str">
        <f t="shared" si="55"/>
        <v/>
      </c>
      <c r="R1657" s="54" t="str">
        <f t="shared" si="54"/>
        <v/>
      </c>
    </row>
    <row r="1658" spans="17:18" x14ac:dyDescent="0.3">
      <c r="Q1658" t="str">
        <f t="shared" si="55"/>
        <v/>
      </c>
      <c r="R1658" s="54" t="str">
        <f t="shared" si="54"/>
        <v/>
      </c>
    </row>
    <row r="1659" spans="17:18" x14ac:dyDescent="0.3">
      <c r="Q1659" t="str">
        <f t="shared" si="55"/>
        <v/>
      </c>
      <c r="R1659" s="54" t="str">
        <f t="shared" si="54"/>
        <v/>
      </c>
    </row>
    <row r="1660" spans="17:18" x14ac:dyDescent="0.3">
      <c r="Q1660" t="str">
        <f t="shared" si="55"/>
        <v/>
      </c>
      <c r="R1660" s="54" t="str">
        <f t="shared" si="54"/>
        <v/>
      </c>
    </row>
    <row r="1661" spans="17:18" x14ac:dyDescent="0.3">
      <c r="Q1661" t="str">
        <f t="shared" si="55"/>
        <v/>
      </c>
      <c r="R1661" s="54" t="str">
        <f t="shared" si="54"/>
        <v/>
      </c>
    </row>
    <row r="1662" spans="17:18" x14ac:dyDescent="0.3">
      <c r="Q1662" t="str">
        <f t="shared" si="55"/>
        <v/>
      </c>
      <c r="R1662" s="54" t="str">
        <f t="shared" si="54"/>
        <v/>
      </c>
    </row>
    <row r="1663" spans="17:18" x14ac:dyDescent="0.3">
      <c r="Q1663" t="str">
        <f t="shared" si="55"/>
        <v/>
      </c>
      <c r="R1663" s="54" t="str">
        <f t="shared" si="54"/>
        <v/>
      </c>
    </row>
    <row r="1664" spans="17:18" x14ac:dyDescent="0.3">
      <c r="Q1664" t="str">
        <f t="shared" si="55"/>
        <v/>
      </c>
      <c r="R1664" s="54" t="str">
        <f t="shared" si="54"/>
        <v/>
      </c>
    </row>
    <row r="1665" spans="17:18" x14ac:dyDescent="0.3">
      <c r="Q1665" t="str">
        <f t="shared" si="55"/>
        <v/>
      </c>
      <c r="R1665" s="54" t="str">
        <f t="shared" si="54"/>
        <v/>
      </c>
    </row>
    <row r="1666" spans="17:18" x14ac:dyDescent="0.3">
      <c r="Q1666" t="str">
        <f t="shared" si="55"/>
        <v/>
      </c>
      <c r="R1666" s="54" t="str">
        <f t="shared" si="54"/>
        <v/>
      </c>
    </row>
    <row r="1667" spans="17:18" x14ac:dyDescent="0.3">
      <c r="Q1667" t="str">
        <f t="shared" si="55"/>
        <v/>
      </c>
      <c r="R1667" s="54" t="str">
        <f t="shared" ref="R1667:R1730" si="56">IF(F1681="","",IFERROR(IF(ISNUMBER(F1681),F1681,DATEVALUE(F1681)),""))</f>
        <v/>
      </c>
    </row>
    <row r="1668" spans="17:18" x14ac:dyDescent="0.3">
      <c r="Q1668" t="str">
        <f t="shared" si="55"/>
        <v/>
      </c>
      <c r="R1668" s="54" t="str">
        <f t="shared" si="56"/>
        <v/>
      </c>
    </row>
    <row r="1669" spans="17:18" x14ac:dyDescent="0.3">
      <c r="Q1669" t="str">
        <f t="shared" si="55"/>
        <v/>
      </c>
      <c r="R1669" s="54" t="str">
        <f t="shared" si="56"/>
        <v/>
      </c>
    </row>
    <row r="1670" spans="17:18" x14ac:dyDescent="0.3">
      <c r="Q1670" t="str">
        <f t="shared" si="55"/>
        <v/>
      </c>
      <c r="R1670" s="54" t="str">
        <f t="shared" si="56"/>
        <v/>
      </c>
    </row>
    <row r="1671" spans="17:18" x14ac:dyDescent="0.3">
      <c r="Q1671" t="str">
        <f t="shared" si="55"/>
        <v/>
      </c>
      <c r="R1671" s="54" t="str">
        <f t="shared" si="56"/>
        <v/>
      </c>
    </row>
    <row r="1672" spans="17:18" x14ac:dyDescent="0.3">
      <c r="Q1672" t="str">
        <f t="shared" si="55"/>
        <v/>
      </c>
      <c r="R1672" s="54" t="str">
        <f t="shared" si="56"/>
        <v/>
      </c>
    </row>
    <row r="1673" spans="17:18" x14ac:dyDescent="0.3">
      <c r="Q1673" t="str">
        <f t="shared" si="55"/>
        <v/>
      </c>
      <c r="R1673" s="54" t="str">
        <f t="shared" si="56"/>
        <v/>
      </c>
    </row>
    <row r="1674" spans="17:18" x14ac:dyDescent="0.3">
      <c r="Q1674" t="str">
        <f t="shared" si="55"/>
        <v/>
      </c>
      <c r="R1674" s="54" t="str">
        <f t="shared" si="56"/>
        <v/>
      </c>
    </row>
    <row r="1675" spans="17:18" x14ac:dyDescent="0.3">
      <c r="Q1675" t="str">
        <f t="shared" si="55"/>
        <v/>
      </c>
      <c r="R1675" s="54" t="str">
        <f t="shared" si="56"/>
        <v/>
      </c>
    </row>
    <row r="1676" spans="17:18" x14ac:dyDescent="0.3">
      <c r="Q1676" t="str">
        <f t="shared" si="55"/>
        <v/>
      </c>
      <c r="R1676" s="54" t="str">
        <f t="shared" si="56"/>
        <v/>
      </c>
    </row>
    <row r="1677" spans="17:18" x14ac:dyDescent="0.3">
      <c r="Q1677" t="str">
        <f t="shared" si="55"/>
        <v/>
      </c>
      <c r="R1677" s="54" t="str">
        <f t="shared" si="56"/>
        <v/>
      </c>
    </row>
    <row r="1678" spans="17:18" x14ac:dyDescent="0.3">
      <c r="Q1678" t="str">
        <f t="shared" si="55"/>
        <v/>
      </c>
      <c r="R1678" s="54" t="str">
        <f t="shared" si="56"/>
        <v/>
      </c>
    </row>
    <row r="1679" spans="17:18" x14ac:dyDescent="0.3">
      <c r="Q1679" t="str">
        <f t="shared" si="55"/>
        <v/>
      </c>
      <c r="R1679" s="54" t="str">
        <f t="shared" si="56"/>
        <v/>
      </c>
    </row>
    <row r="1680" spans="17:18" x14ac:dyDescent="0.3">
      <c r="Q1680" t="str">
        <f t="shared" si="55"/>
        <v/>
      </c>
      <c r="R1680" s="54" t="str">
        <f t="shared" si="56"/>
        <v/>
      </c>
    </row>
    <row r="1681" spans="17:18" x14ac:dyDescent="0.3">
      <c r="Q1681" t="str">
        <f t="shared" si="55"/>
        <v/>
      </c>
      <c r="R1681" s="54" t="str">
        <f t="shared" si="56"/>
        <v/>
      </c>
    </row>
    <row r="1682" spans="17:18" x14ac:dyDescent="0.3">
      <c r="Q1682" t="str">
        <f t="shared" si="55"/>
        <v/>
      </c>
      <c r="R1682" s="54" t="str">
        <f t="shared" si="56"/>
        <v/>
      </c>
    </row>
    <row r="1683" spans="17:18" x14ac:dyDescent="0.3">
      <c r="Q1683" t="str">
        <f t="shared" si="55"/>
        <v/>
      </c>
      <c r="R1683" s="54" t="str">
        <f t="shared" si="56"/>
        <v/>
      </c>
    </row>
    <row r="1684" spans="17:18" x14ac:dyDescent="0.3">
      <c r="Q1684" t="str">
        <f t="shared" si="55"/>
        <v/>
      </c>
      <c r="R1684" s="54" t="str">
        <f t="shared" si="56"/>
        <v/>
      </c>
    </row>
    <row r="1685" spans="17:18" x14ac:dyDescent="0.3">
      <c r="Q1685" t="str">
        <f t="shared" si="55"/>
        <v/>
      </c>
      <c r="R1685" s="54" t="str">
        <f t="shared" si="56"/>
        <v/>
      </c>
    </row>
    <row r="1686" spans="17:18" x14ac:dyDescent="0.3">
      <c r="Q1686" t="str">
        <f t="shared" si="55"/>
        <v/>
      </c>
      <c r="R1686" s="54" t="str">
        <f t="shared" si="56"/>
        <v/>
      </c>
    </row>
    <row r="1687" spans="17:18" x14ac:dyDescent="0.3">
      <c r="Q1687" t="str">
        <f t="shared" ref="Q1687:Q1750" si="57">IF(COUNTA(A1687:P1687)=0,"",IF(ISNUMBER(SEARCH("-AR-",E1701)),"Architectural",IF(ISNUMBER(SEARCH("-ST-",E1701)),"Structural",IF(ISNUMBER(SEARCH("-ME-",E1701)),"Mechanical",IF(ISNUMBER(SEARCH("-EL-",E1701)),"Electrical",IF(ISNUMBER(SEARCH("-GE-",E1701)),"General",IF(ISNUMBER(SEARCH("-AR-",D1701)),"Architectural",IF(ISNUMBER(SEARCH("-ST-",D1701)),"Structural",IF(ISNUMBER(SEARCH("-ME-",D1701)),"Mechanical",IF(ISNUMBER(SEARCH("-EL-",D1701)),"Electrical",IF(ISNUMBER(SEARCH("-GE-",D1701)),"General","Other")))))))))))</f>
        <v/>
      </c>
      <c r="R1687" s="54" t="str">
        <f t="shared" si="56"/>
        <v/>
      </c>
    </row>
    <row r="1688" spans="17:18" x14ac:dyDescent="0.3">
      <c r="Q1688" t="str">
        <f t="shared" si="57"/>
        <v/>
      </c>
      <c r="R1688" s="54" t="str">
        <f t="shared" si="56"/>
        <v/>
      </c>
    </row>
    <row r="1689" spans="17:18" x14ac:dyDescent="0.3">
      <c r="Q1689" t="str">
        <f t="shared" si="57"/>
        <v/>
      </c>
      <c r="R1689" s="54" t="str">
        <f t="shared" si="56"/>
        <v/>
      </c>
    </row>
    <row r="1690" spans="17:18" x14ac:dyDescent="0.3">
      <c r="Q1690" t="str">
        <f t="shared" si="57"/>
        <v/>
      </c>
      <c r="R1690" s="54" t="str">
        <f t="shared" si="56"/>
        <v/>
      </c>
    </row>
    <row r="1691" spans="17:18" x14ac:dyDescent="0.3">
      <c r="Q1691" t="str">
        <f t="shared" si="57"/>
        <v/>
      </c>
      <c r="R1691" s="54" t="str">
        <f t="shared" si="56"/>
        <v/>
      </c>
    </row>
    <row r="1692" spans="17:18" x14ac:dyDescent="0.3">
      <c r="Q1692" t="str">
        <f t="shared" si="57"/>
        <v/>
      </c>
      <c r="R1692" s="54" t="str">
        <f t="shared" si="56"/>
        <v/>
      </c>
    </row>
    <row r="1693" spans="17:18" x14ac:dyDescent="0.3">
      <c r="Q1693" t="str">
        <f t="shared" si="57"/>
        <v/>
      </c>
      <c r="R1693" s="54" t="str">
        <f t="shared" si="56"/>
        <v/>
      </c>
    </row>
    <row r="1694" spans="17:18" x14ac:dyDescent="0.3">
      <c r="Q1694" t="str">
        <f t="shared" si="57"/>
        <v/>
      </c>
      <c r="R1694" s="54" t="str">
        <f t="shared" si="56"/>
        <v/>
      </c>
    </row>
    <row r="1695" spans="17:18" x14ac:dyDescent="0.3">
      <c r="Q1695" t="str">
        <f t="shared" si="57"/>
        <v/>
      </c>
      <c r="R1695" s="54" t="str">
        <f t="shared" si="56"/>
        <v/>
      </c>
    </row>
    <row r="1696" spans="17:18" x14ac:dyDescent="0.3">
      <c r="Q1696" t="str">
        <f t="shared" si="57"/>
        <v/>
      </c>
      <c r="R1696" s="54" t="str">
        <f t="shared" si="56"/>
        <v/>
      </c>
    </row>
    <row r="1697" spans="17:18" x14ac:dyDescent="0.3">
      <c r="Q1697" t="str">
        <f t="shared" si="57"/>
        <v/>
      </c>
      <c r="R1697" s="54" t="str">
        <f t="shared" si="56"/>
        <v/>
      </c>
    </row>
    <row r="1698" spans="17:18" x14ac:dyDescent="0.3">
      <c r="Q1698" t="str">
        <f t="shared" si="57"/>
        <v/>
      </c>
      <c r="R1698" s="54" t="str">
        <f t="shared" si="56"/>
        <v/>
      </c>
    </row>
    <row r="1699" spans="17:18" x14ac:dyDescent="0.3">
      <c r="Q1699" t="str">
        <f t="shared" si="57"/>
        <v/>
      </c>
      <c r="R1699" s="54" t="str">
        <f t="shared" si="56"/>
        <v/>
      </c>
    </row>
    <row r="1700" spans="17:18" x14ac:dyDescent="0.3">
      <c r="Q1700" t="str">
        <f t="shared" si="57"/>
        <v/>
      </c>
      <c r="R1700" s="54" t="str">
        <f t="shared" si="56"/>
        <v/>
      </c>
    </row>
    <row r="1701" spans="17:18" x14ac:dyDescent="0.3">
      <c r="Q1701" t="str">
        <f t="shared" si="57"/>
        <v/>
      </c>
      <c r="R1701" s="54" t="str">
        <f t="shared" si="56"/>
        <v/>
      </c>
    </row>
    <row r="1702" spans="17:18" x14ac:dyDescent="0.3">
      <c r="Q1702" t="str">
        <f t="shared" si="57"/>
        <v/>
      </c>
      <c r="R1702" s="54" t="str">
        <f t="shared" si="56"/>
        <v/>
      </c>
    </row>
    <row r="1703" spans="17:18" x14ac:dyDescent="0.3">
      <c r="Q1703" t="str">
        <f t="shared" si="57"/>
        <v/>
      </c>
      <c r="R1703" s="54" t="str">
        <f t="shared" si="56"/>
        <v/>
      </c>
    </row>
    <row r="1704" spans="17:18" x14ac:dyDescent="0.3">
      <c r="Q1704" t="str">
        <f t="shared" si="57"/>
        <v/>
      </c>
      <c r="R1704" s="54" t="str">
        <f t="shared" si="56"/>
        <v/>
      </c>
    </row>
    <row r="1705" spans="17:18" x14ac:dyDescent="0.3">
      <c r="Q1705" t="str">
        <f t="shared" si="57"/>
        <v/>
      </c>
      <c r="R1705" s="54" t="str">
        <f t="shared" si="56"/>
        <v/>
      </c>
    </row>
    <row r="1706" spans="17:18" x14ac:dyDescent="0.3">
      <c r="Q1706" t="str">
        <f t="shared" si="57"/>
        <v/>
      </c>
      <c r="R1706" s="54" t="str">
        <f t="shared" si="56"/>
        <v/>
      </c>
    </row>
    <row r="1707" spans="17:18" x14ac:dyDescent="0.3">
      <c r="Q1707" t="str">
        <f t="shared" si="57"/>
        <v/>
      </c>
      <c r="R1707" s="54" t="str">
        <f t="shared" si="56"/>
        <v/>
      </c>
    </row>
    <row r="1708" spans="17:18" x14ac:dyDescent="0.3">
      <c r="Q1708" t="str">
        <f t="shared" si="57"/>
        <v/>
      </c>
      <c r="R1708" s="54" t="str">
        <f t="shared" si="56"/>
        <v/>
      </c>
    </row>
    <row r="1709" spans="17:18" x14ac:dyDescent="0.3">
      <c r="Q1709" t="str">
        <f t="shared" si="57"/>
        <v/>
      </c>
      <c r="R1709" s="54" t="str">
        <f t="shared" si="56"/>
        <v/>
      </c>
    </row>
    <row r="1710" spans="17:18" x14ac:dyDescent="0.3">
      <c r="Q1710" t="str">
        <f t="shared" si="57"/>
        <v/>
      </c>
      <c r="R1710" s="54" t="str">
        <f t="shared" si="56"/>
        <v/>
      </c>
    </row>
    <row r="1711" spans="17:18" x14ac:dyDescent="0.3">
      <c r="Q1711" t="str">
        <f t="shared" si="57"/>
        <v/>
      </c>
      <c r="R1711" s="54" t="str">
        <f t="shared" si="56"/>
        <v/>
      </c>
    </row>
    <row r="1712" spans="17:18" x14ac:dyDescent="0.3">
      <c r="Q1712" t="str">
        <f t="shared" si="57"/>
        <v/>
      </c>
      <c r="R1712" s="54" t="str">
        <f t="shared" si="56"/>
        <v/>
      </c>
    </row>
    <row r="1713" spans="17:18" x14ac:dyDescent="0.3">
      <c r="Q1713" t="str">
        <f t="shared" si="57"/>
        <v/>
      </c>
      <c r="R1713" s="54" t="str">
        <f t="shared" si="56"/>
        <v/>
      </c>
    </row>
    <row r="1714" spans="17:18" x14ac:dyDescent="0.3">
      <c r="Q1714" t="str">
        <f t="shared" si="57"/>
        <v/>
      </c>
      <c r="R1714" s="54" t="str">
        <f t="shared" si="56"/>
        <v/>
      </c>
    </row>
    <row r="1715" spans="17:18" x14ac:dyDescent="0.3">
      <c r="Q1715" t="str">
        <f t="shared" si="57"/>
        <v/>
      </c>
      <c r="R1715" s="54" t="str">
        <f t="shared" si="56"/>
        <v/>
      </c>
    </row>
    <row r="1716" spans="17:18" x14ac:dyDescent="0.3">
      <c r="Q1716" t="str">
        <f t="shared" si="57"/>
        <v/>
      </c>
      <c r="R1716" s="54" t="str">
        <f t="shared" si="56"/>
        <v/>
      </c>
    </row>
    <row r="1717" spans="17:18" x14ac:dyDescent="0.3">
      <c r="Q1717" t="str">
        <f t="shared" si="57"/>
        <v/>
      </c>
      <c r="R1717" s="54" t="str">
        <f t="shared" si="56"/>
        <v/>
      </c>
    </row>
    <row r="1718" spans="17:18" x14ac:dyDescent="0.3">
      <c r="Q1718" t="str">
        <f t="shared" si="57"/>
        <v/>
      </c>
      <c r="R1718" s="54" t="str">
        <f t="shared" si="56"/>
        <v/>
      </c>
    </row>
    <row r="1719" spans="17:18" x14ac:dyDescent="0.3">
      <c r="Q1719" t="str">
        <f t="shared" si="57"/>
        <v/>
      </c>
      <c r="R1719" s="54" t="str">
        <f t="shared" si="56"/>
        <v/>
      </c>
    </row>
    <row r="1720" spans="17:18" x14ac:dyDescent="0.3">
      <c r="Q1720" t="str">
        <f t="shared" si="57"/>
        <v/>
      </c>
      <c r="R1720" s="54" t="str">
        <f t="shared" si="56"/>
        <v/>
      </c>
    </row>
    <row r="1721" spans="17:18" x14ac:dyDescent="0.3">
      <c r="Q1721" t="str">
        <f t="shared" si="57"/>
        <v/>
      </c>
      <c r="R1721" s="54" t="str">
        <f t="shared" si="56"/>
        <v/>
      </c>
    </row>
    <row r="1722" spans="17:18" x14ac:dyDescent="0.3">
      <c r="Q1722" t="str">
        <f t="shared" si="57"/>
        <v/>
      </c>
      <c r="R1722" s="54" t="str">
        <f t="shared" si="56"/>
        <v/>
      </c>
    </row>
    <row r="1723" spans="17:18" x14ac:dyDescent="0.3">
      <c r="Q1723" t="str">
        <f t="shared" si="57"/>
        <v/>
      </c>
      <c r="R1723" s="54" t="str">
        <f t="shared" si="56"/>
        <v/>
      </c>
    </row>
    <row r="1724" spans="17:18" x14ac:dyDescent="0.3">
      <c r="Q1724" t="str">
        <f t="shared" si="57"/>
        <v/>
      </c>
      <c r="R1724" s="54" t="str">
        <f t="shared" si="56"/>
        <v/>
      </c>
    </row>
    <row r="1725" spans="17:18" x14ac:dyDescent="0.3">
      <c r="Q1725" t="str">
        <f t="shared" si="57"/>
        <v/>
      </c>
      <c r="R1725" s="54" t="str">
        <f t="shared" si="56"/>
        <v/>
      </c>
    </row>
    <row r="1726" spans="17:18" x14ac:dyDescent="0.3">
      <c r="Q1726" t="str">
        <f t="shared" si="57"/>
        <v/>
      </c>
      <c r="R1726" s="54" t="str">
        <f t="shared" si="56"/>
        <v/>
      </c>
    </row>
    <row r="1727" spans="17:18" x14ac:dyDescent="0.3">
      <c r="Q1727" t="str">
        <f t="shared" si="57"/>
        <v/>
      </c>
      <c r="R1727" s="54" t="str">
        <f t="shared" si="56"/>
        <v/>
      </c>
    </row>
    <row r="1728" spans="17:18" x14ac:dyDescent="0.3">
      <c r="Q1728" t="str">
        <f t="shared" si="57"/>
        <v/>
      </c>
      <c r="R1728" s="54" t="str">
        <f t="shared" si="56"/>
        <v/>
      </c>
    </row>
    <row r="1729" spans="17:18" x14ac:dyDescent="0.3">
      <c r="Q1729" t="str">
        <f t="shared" si="57"/>
        <v/>
      </c>
      <c r="R1729" s="54" t="str">
        <f t="shared" si="56"/>
        <v/>
      </c>
    </row>
    <row r="1730" spans="17:18" x14ac:dyDescent="0.3">
      <c r="Q1730" t="str">
        <f t="shared" si="57"/>
        <v/>
      </c>
      <c r="R1730" s="54" t="str">
        <f t="shared" si="56"/>
        <v/>
      </c>
    </row>
    <row r="1731" spans="17:18" x14ac:dyDescent="0.3">
      <c r="Q1731" t="str">
        <f t="shared" si="57"/>
        <v/>
      </c>
      <c r="R1731" s="54" t="str">
        <f t="shared" ref="R1731:R1794" si="58">IF(F1745="","",IFERROR(IF(ISNUMBER(F1745),F1745,DATEVALUE(F1745)),""))</f>
        <v/>
      </c>
    </row>
    <row r="1732" spans="17:18" x14ac:dyDescent="0.3">
      <c r="Q1732" t="str">
        <f t="shared" si="57"/>
        <v/>
      </c>
      <c r="R1732" s="54" t="str">
        <f t="shared" si="58"/>
        <v/>
      </c>
    </row>
    <row r="1733" spans="17:18" x14ac:dyDescent="0.3">
      <c r="Q1733" t="str">
        <f t="shared" si="57"/>
        <v/>
      </c>
      <c r="R1733" s="54" t="str">
        <f t="shared" si="58"/>
        <v/>
      </c>
    </row>
    <row r="1734" spans="17:18" x14ac:dyDescent="0.3">
      <c r="Q1734" t="str">
        <f t="shared" si="57"/>
        <v/>
      </c>
      <c r="R1734" s="54" t="str">
        <f t="shared" si="58"/>
        <v/>
      </c>
    </row>
    <row r="1735" spans="17:18" x14ac:dyDescent="0.3">
      <c r="Q1735" t="str">
        <f t="shared" si="57"/>
        <v/>
      </c>
      <c r="R1735" s="54" t="str">
        <f t="shared" si="58"/>
        <v/>
      </c>
    </row>
    <row r="1736" spans="17:18" x14ac:dyDescent="0.3">
      <c r="Q1736" t="str">
        <f t="shared" si="57"/>
        <v/>
      </c>
      <c r="R1736" s="54" t="str">
        <f t="shared" si="58"/>
        <v/>
      </c>
    </row>
    <row r="1737" spans="17:18" x14ac:dyDescent="0.3">
      <c r="Q1737" t="str">
        <f t="shared" si="57"/>
        <v/>
      </c>
      <c r="R1737" s="54" t="str">
        <f t="shared" si="58"/>
        <v/>
      </c>
    </row>
    <row r="1738" spans="17:18" x14ac:dyDescent="0.3">
      <c r="Q1738" t="str">
        <f t="shared" si="57"/>
        <v/>
      </c>
      <c r="R1738" s="54" t="str">
        <f t="shared" si="58"/>
        <v/>
      </c>
    </row>
    <row r="1739" spans="17:18" x14ac:dyDescent="0.3">
      <c r="Q1739" t="str">
        <f t="shared" si="57"/>
        <v/>
      </c>
      <c r="R1739" s="54" t="str">
        <f t="shared" si="58"/>
        <v/>
      </c>
    </row>
    <row r="1740" spans="17:18" x14ac:dyDescent="0.3">
      <c r="Q1740" t="str">
        <f t="shared" si="57"/>
        <v/>
      </c>
      <c r="R1740" s="54" t="str">
        <f t="shared" si="58"/>
        <v/>
      </c>
    </row>
    <row r="1741" spans="17:18" x14ac:dyDescent="0.3">
      <c r="Q1741" t="str">
        <f t="shared" si="57"/>
        <v/>
      </c>
      <c r="R1741" s="54" t="str">
        <f t="shared" si="58"/>
        <v/>
      </c>
    </row>
    <row r="1742" spans="17:18" x14ac:dyDescent="0.3">
      <c r="Q1742" t="str">
        <f t="shared" si="57"/>
        <v/>
      </c>
      <c r="R1742" s="54" t="str">
        <f t="shared" si="58"/>
        <v/>
      </c>
    </row>
    <row r="1743" spans="17:18" x14ac:dyDescent="0.3">
      <c r="Q1743" t="str">
        <f t="shared" si="57"/>
        <v/>
      </c>
      <c r="R1743" s="54" t="str">
        <f t="shared" si="58"/>
        <v/>
      </c>
    </row>
    <row r="1744" spans="17:18" x14ac:dyDescent="0.3">
      <c r="Q1744" t="str">
        <f t="shared" si="57"/>
        <v/>
      </c>
      <c r="R1744" s="54" t="str">
        <f t="shared" si="58"/>
        <v/>
      </c>
    </row>
    <row r="1745" spans="17:18" x14ac:dyDescent="0.3">
      <c r="Q1745" t="str">
        <f t="shared" si="57"/>
        <v/>
      </c>
      <c r="R1745" s="54" t="str">
        <f t="shared" si="58"/>
        <v/>
      </c>
    </row>
    <row r="1746" spans="17:18" x14ac:dyDescent="0.3">
      <c r="Q1746" t="str">
        <f t="shared" si="57"/>
        <v/>
      </c>
      <c r="R1746" s="54" t="str">
        <f t="shared" si="58"/>
        <v/>
      </c>
    </row>
    <row r="1747" spans="17:18" x14ac:dyDescent="0.3">
      <c r="Q1747" t="str">
        <f t="shared" si="57"/>
        <v/>
      </c>
      <c r="R1747" s="54" t="str">
        <f t="shared" si="58"/>
        <v/>
      </c>
    </row>
    <row r="1748" spans="17:18" x14ac:dyDescent="0.3">
      <c r="Q1748" t="str">
        <f t="shared" si="57"/>
        <v/>
      </c>
      <c r="R1748" s="54" t="str">
        <f t="shared" si="58"/>
        <v/>
      </c>
    </row>
    <row r="1749" spans="17:18" x14ac:dyDescent="0.3">
      <c r="Q1749" t="str">
        <f t="shared" si="57"/>
        <v/>
      </c>
      <c r="R1749" s="54" t="str">
        <f t="shared" si="58"/>
        <v/>
      </c>
    </row>
    <row r="1750" spans="17:18" x14ac:dyDescent="0.3">
      <c r="Q1750" t="str">
        <f t="shared" si="57"/>
        <v/>
      </c>
      <c r="R1750" s="54" t="str">
        <f t="shared" si="58"/>
        <v/>
      </c>
    </row>
    <row r="1751" spans="17:18" x14ac:dyDescent="0.3">
      <c r="Q1751" t="str">
        <f t="shared" ref="Q1751:Q1814" si="59">IF(COUNTA(A1751:P1751)=0,"",IF(ISNUMBER(SEARCH("-AR-",E1765)),"Architectural",IF(ISNUMBER(SEARCH("-ST-",E1765)),"Structural",IF(ISNUMBER(SEARCH("-ME-",E1765)),"Mechanical",IF(ISNUMBER(SEARCH("-EL-",E1765)),"Electrical",IF(ISNUMBER(SEARCH("-GE-",E1765)),"General",IF(ISNUMBER(SEARCH("-AR-",D1765)),"Architectural",IF(ISNUMBER(SEARCH("-ST-",D1765)),"Structural",IF(ISNUMBER(SEARCH("-ME-",D1765)),"Mechanical",IF(ISNUMBER(SEARCH("-EL-",D1765)),"Electrical",IF(ISNUMBER(SEARCH("-GE-",D1765)),"General","Other")))))))))))</f>
        <v/>
      </c>
      <c r="R1751" s="54" t="str">
        <f t="shared" si="58"/>
        <v/>
      </c>
    </row>
    <row r="1752" spans="17:18" x14ac:dyDescent="0.3">
      <c r="Q1752" t="str">
        <f t="shared" si="59"/>
        <v/>
      </c>
      <c r="R1752" s="54" t="str">
        <f t="shared" si="58"/>
        <v/>
      </c>
    </row>
    <row r="1753" spans="17:18" x14ac:dyDescent="0.3">
      <c r="Q1753" t="str">
        <f t="shared" si="59"/>
        <v/>
      </c>
      <c r="R1753" s="54" t="str">
        <f t="shared" si="58"/>
        <v/>
      </c>
    </row>
    <row r="1754" spans="17:18" x14ac:dyDescent="0.3">
      <c r="Q1754" t="str">
        <f t="shared" si="59"/>
        <v/>
      </c>
      <c r="R1754" s="54" t="str">
        <f t="shared" si="58"/>
        <v/>
      </c>
    </row>
    <row r="1755" spans="17:18" x14ac:dyDescent="0.3">
      <c r="Q1755" t="str">
        <f t="shared" si="59"/>
        <v/>
      </c>
      <c r="R1755" s="54" t="str">
        <f t="shared" si="58"/>
        <v/>
      </c>
    </row>
    <row r="1756" spans="17:18" x14ac:dyDescent="0.3">
      <c r="Q1756" t="str">
        <f t="shared" si="59"/>
        <v/>
      </c>
      <c r="R1756" s="54" t="str">
        <f t="shared" si="58"/>
        <v/>
      </c>
    </row>
    <row r="1757" spans="17:18" x14ac:dyDescent="0.3">
      <c r="Q1757" t="str">
        <f t="shared" si="59"/>
        <v/>
      </c>
      <c r="R1757" s="54" t="str">
        <f t="shared" si="58"/>
        <v/>
      </c>
    </row>
    <row r="1758" spans="17:18" x14ac:dyDescent="0.3">
      <c r="Q1758" t="str">
        <f t="shared" si="59"/>
        <v/>
      </c>
      <c r="R1758" s="54" t="str">
        <f t="shared" si="58"/>
        <v/>
      </c>
    </row>
    <row r="1759" spans="17:18" x14ac:dyDescent="0.3">
      <c r="Q1759" t="str">
        <f t="shared" si="59"/>
        <v/>
      </c>
      <c r="R1759" s="54" t="str">
        <f t="shared" si="58"/>
        <v/>
      </c>
    </row>
    <row r="1760" spans="17:18" x14ac:dyDescent="0.3">
      <c r="Q1760" t="str">
        <f t="shared" si="59"/>
        <v/>
      </c>
      <c r="R1760" s="54" t="str">
        <f t="shared" si="58"/>
        <v/>
      </c>
    </row>
    <row r="1761" spans="17:18" x14ac:dyDescent="0.3">
      <c r="Q1761" t="str">
        <f t="shared" si="59"/>
        <v/>
      </c>
      <c r="R1761" s="54" t="str">
        <f t="shared" si="58"/>
        <v/>
      </c>
    </row>
    <row r="1762" spans="17:18" x14ac:dyDescent="0.3">
      <c r="Q1762" t="str">
        <f t="shared" si="59"/>
        <v/>
      </c>
      <c r="R1762" s="54" t="str">
        <f t="shared" si="58"/>
        <v/>
      </c>
    </row>
    <row r="1763" spans="17:18" x14ac:dyDescent="0.3">
      <c r="Q1763" t="str">
        <f t="shared" si="59"/>
        <v/>
      </c>
      <c r="R1763" s="54" t="str">
        <f t="shared" si="58"/>
        <v/>
      </c>
    </row>
    <row r="1764" spans="17:18" x14ac:dyDescent="0.3">
      <c r="Q1764" t="str">
        <f t="shared" si="59"/>
        <v/>
      </c>
      <c r="R1764" s="54" t="str">
        <f t="shared" si="58"/>
        <v/>
      </c>
    </row>
    <row r="1765" spans="17:18" x14ac:dyDescent="0.3">
      <c r="Q1765" t="str">
        <f t="shared" si="59"/>
        <v/>
      </c>
      <c r="R1765" s="54" t="str">
        <f t="shared" si="58"/>
        <v/>
      </c>
    </row>
    <row r="1766" spans="17:18" x14ac:dyDescent="0.3">
      <c r="Q1766" t="str">
        <f t="shared" si="59"/>
        <v/>
      </c>
      <c r="R1766" s="54" t="str">
        <f t="shared" si="58"/>
        <v/>
      </c>
    </row>
    <row r="1767" spans="17:18" x14ac:dyDescent="0.3">
      <c r="Q1767" t="str">
        <f t="shared" si="59"/>
        <v/>
      </c>
      <c r="R1767" s="54" t="str">
        <f t="shared" si="58"/>
        <v/>
      </c>
    </row>
    <row r="1768" spans="17:18" x14ac:dyDescent="0.3">
      <c r="Q1768" t="str">
        <f t="shared" si="59"/>
        <v/>
      </c>
      <c r="R1768" s="54" t="str">
        <f t="shared" si="58"/>
        <v/>
      </c>
    </row>
    <row r="1769" spans="17:18" x14ac:dyDescent="0.3">
      <c r="Q1769" t="str">
        <f t="shared" si="59"/>
        <v/>
      </c>
      <c r="R1769" s="54" t="str">
        <f t="shared" si="58"/>
        <v/>
      </c>
    </row>
    <row r="1770" spans="17:18" x14ac:dyDescent="0.3">
      <c r="Q1770" t="str">
        <f t="shared" si="59"/>
        <v/>
      </c>
      <c r="R1770" s="54" t="str">
        <f t="shared" si="58"/>
        <v/>
      </c>
    </row>
    <row r="1771" spans="17:18" x14ac:dyDescent="0.3">
      <c r="Q1771" t="str">
        <f t="shared" si="59"/>
        <v/>
      </c>
      <c r="R1771" s="54" t="str">
        <f t="shared" si="58"/>
        <v/>
      </c>
    </row>
    <row r="1772" spans="17:18" x14ac:dyDescent="0.3">
      <c r="Q1772" t="str">
        <f t="shared" si="59"/>
        <v/>
      </c>
      <c r="R1772" s="54" t="str">
        <f t="shared" si="58"/>
        <v/>
      </c>
    </row>
    <row r="1773" spans="17:18" x14ac:dyDescent="0.3">
      <c r="Q1773" t="str">
        <f t="shared" si="59"/>
        <v/>
      </c>
      <c r="R1773" s="54" t="str">
        <f t="shared" si="58"/>
        <v/>
      </c>
    </row>
    <row r="1774" spans="17:18" x14ac:dyDescent="0.3">
      <c r="Q1774" t="str">
        <f t="shared" si="59"/>
        <v/>
      </c>
      <c r="R1774" s="54" t="str">
        <f t="shared" si="58"/>
        <v/>
      </c>
    </row>
    <row r="1775" spans="17:18" x14ac:dyDescent="0.3">
      <c r="Q1775" t="str">
        <f t="shared" si="59"/>
        <v/>
      </c>
      <c r="R1775" s="54" t="str">
        <f t="shared" si="58"/>
        <v/>
      </c>
    </row>
    <row r="1776" spans="17:18" x14ac:dyDescent="0.3">
      <c r="Q1776" t="str">
        <f t="shared" si="59"/>
        <v/>
      </c>
      <c r="R1776" s="54" t="str">
        <f t="shared" si="58"/>
        <v/>
      </c>
    </row>
    <row r="1777" spans="17:18" x14ac:dyDescent="0.3">
      <c r="Q1777" t="str">
        <f t="shared" si="59"/>
        <v/>
      </c>
      <c r="R1777" s="54" t="str">
        <f t="shared" si="58"/>
        <v/>
      </c>
    </row>
    <row r="1778" spans="17:18" x14ac:dyDescent="0.3">
      <c r="Q1778" t="str">
        <f t="shared" si="59"/>
        <v/>
      </c>
      <c r="R1778" s="54" t="str">
        <f t="shared" si="58"/>
        <v/>
      </c>
    </row>
    <row r="1779" spans="17:18" x14ac:dyDescent="0.3">
      <c r="Q1779" t="str">
        <f t="shared" si="59"/>
        <v/>
      </c>
      <c r="R1779" s="54" t="str">
        <f t="shared" si="58"/>
        <v/>
      </c>
    </row>
    <row r="1780" spans="17:18" x14ac:dyDescent="0.3">
      <c r="Q1780" t="str">
        <f t="shared" si="59"/>
        <v/>
      </c>
      <c r="R1780" s="54" t="str">
        <f t="shared" si="58"/>
        <v/>
      </c>
    </row>
    <row r="1781" spans="17:18" x14ac:dyDescent="0.3">
      <c r="Q1781" t="str">
        <f t="shared" si="59"/>
        <v/>
      </c>
      <c r="R1781" s="54" t="str">
        <f t="shared" si="58"/>
        <v/>
      </c>
    </row>
    <row r="1782" spans="17:18" x14ac:dyDescent="0.3">
      <c r="Q1782" t="str">
        <f t="shared" si="59"/>
        <v/>
      </c>
      <c r="R1782" s="54" t="str">
        <f t="shared" si="58"/>
        <v/>
      </c>
    </row>
    <row r="1783" spans="17:18" x14ac:dyDescent="0.3">
      <c r="Q1783" t="str">
        <f t="shared" si="59"/>
        <v/>
      </c>
      <c r="R1783" s="54" t="str">
        <f t="shared" si="58"/>
        <v/>
      </c>
    </row>
    <row r="1784" spans="17:18" x14ac:dyDescent="0.3">
      <c r="Q1784" t="str">
        <f t="shared" si="59"/>
        <v/>
      </c>
      <c r="R1784" s="54" t="str">
        <f t="shared" si="58"/>
        <v/>
      </c>
    </row>
    <row r="1785" spans="17:18" x14ac:dyDescent="0.3">
      <c r="Q1785" t="str">
        <f t="shared" si="59"/>
        <v/>
      </c>
      <c r="R1785" s="54" t="str">
        <f t="shared" si="58"/>
        <v/>
      </c>
    </row>
    <row r="1786" spans="17:18" x14ac:dyDescent="0.3">
      <c r="Q1786" t="str">
        <f t="shared" si="59"/>
        <v/>
      </c>
      <c r="R1786" s="54" t="str">
        <f t="shared" si="58"/>
        <v/>
      </c>
    </row>
    <row r="1787" spans="17:18" x14ac:dyDescent="0.3">
      <c r="Q1787" t="str">
        <f t="shared" si="59"/>
        <v/>
      </c>
      <c r="R1787" s="54" t="str">
        <f t="shared" si="58"/>
        <v/>
      </c>
    </row>
    <row r="1788" spans="17:18" x14ac:dyDescent="0.3">
      <c r="Q1788" t="str">
        <f t="shared" si="59"/>
        <v/>
      </c>
      <c r="R1788" s="54" t="str">
        <f t="shared" si="58"/>
        <v/>
      </c>
    </row>
    <row r="1789" spans="17:18" x14ac:dyDescent="0.3">
      <c r="Q1789" t="str">
        <f t="shared" si="59"/>
        <v/>
      </c>
      <c r="R1789" s="54" t="str">
        <f t="shared" si="58"/>
        <v/>
      </c>
    </row>
    <row r="1790" spans="17:18" x14ac:dyDescent="0.3">
      <c r="Q1790" t="str">
        <f t="shared" si="59"/>
        <v/>
      </c>
      <c r="R1790" s="54" t="str">
        <f t="shared" si="58"/>
        <v/>
      </c>
    </row>
    <row r="1791" spans="17:18" x14ac:dyDescent="0.3">
      <c r="Q1791" t="str">
        <f t="shared" si="59"/>
        <v/>
      </c>
      <c r="R1791" s="54" t="str">
        <f t="shared" si="58"/>
        <v/>
      </c>
    </row>
    <row r="1792" spans="17:18" x14ac:dyDescent="0.3">
      <c r="Q1792" t="str">
        <f t="shared" si="59"/>
        <v/>
      </c>
      <c r="R1792" s="54" t="str">
        <f t="shared" si="58"/>
        <v/>
      </c>
    </row>
    <row r="1793" spans="17:18" x14ac:dyDescent="0.3">
      <c r="Q1793" t="str">
        <f t="shared" si="59"/>
        <v/>
      </c>
      <c r="R1793" s="54" t="str">
        <f t="shared" si="58"/>
        <v/>
      </c>
    </row>
    <row r="1794" spans="17:18" x14ac:dyDescent="0.3">
      <c r="Q1794" t="str">
        <f t="shared" si="59"/>
        <v/>
      </c>
      <c r="R1794" s="54" t="str">
        <f t="shared" si="58"/>
        <v/>
      </c>
    </row>
    <row r="1795" spans="17:18" x14ac:dyDescent="0.3">
      <c r="Q1795" t="str">
        <f t="shared" si="59"/>
        <v/>
      </c>
      <c r="R1795" s="54" t="str">
        <f t="shared" ref="R1795:R1858" si="60">IF(F1809="","",IFERROR(IF(ISNUMBER(F1809),F1809,DATEVALUE(F1809)),""))</f>
        <v/>
      </c>
    </row>
    <row r="1796" spans="17:18" x14ac:dyDescent="0.3">
      <c r="Q1796" t="str">
        <f t="shared" si="59"/>
        <v/>
      </c>
      <c r="R1796" s="54" t="str">
        <f t="shared" si="60"/>
        <v/>
      </c>
    </row>
    <row r="1797" spans="17:18" x14ac:dyDescent="0.3">
      <c r="Q1797" t="str">
        <f t="shared" si="59"/>
        <v/>
      </c>
      <c r="R1797" s="54" t="str">
        <f t="shared" si="60"/>
        <v/>
      </c>
    </row>
    <row r="1798" spans="17:18" x14ac:dyDescent="0.3">
      <c r="Q1798" t="str">
        <f t="shared" si="59"/>
        <v/>
      </c>
      <c r="R1798" s="54" t="str">
        <f t="shared" si="60"/>
        <v/>
      </c>
    </row>
    <row r="1799" spans="17:18" x14ac:dyDescent="0.3">
      <c r="Q1799" t="str">
        <f t="shared" si="59"/>
        <v/>
      </c>
      <c r="R1799" s="54" t="str">
        <f t="shared" si="60"/>
        <v/>
      </c>
    </row>
    <row r="1800" spans="17:18" x14ac:dyDescent="0.3">
      <c r="Q1800" t="str">
        <f t="shared" si="59"/>
        <v/>
      </c>
      <c r="R1800" s="54" t="str">
        <f t="shared" si="60"/>
        <v/>
      </c>
    </row>
    <row r="1801" spans="17:18" x14ac:dyDescent="0.3">
      <c r="Q1801" t="str">
        <f t="shared" si="59"/>
        <v/>
      </c>
      <c r="R1801" s="54" t="str">
        <f t="shared" si="60"/>
        <v/>
      </c>
    </row>
    <row r="1802" spans="17:18" x14ac:dyDescent="0.3">
      <c r="Q1802" t="str">
        <f t="shared" si="59"/>
        <v/>
      </c>
      <c r="R1802" s="54" t="str">
        <f t="shared" si="60"/>
        <v/>
      </c>
    </row>
    <row r="1803" spans="17:18" x14ac:dyDescent="0.3">
      <c r="Q1803" t="str">
        <f t="shared" si="59"/>
        <v/>
      </c>
      <c r="R1803" s="54" t="str">
        <f t="shared" si="60"/>
        <v/>
      </c>
    </row>
    <row r="1804" spans="17:18" x14ac:dyDescent="0.3">
      <c r="Q1804" t="str">
        <f t="shared" si="59"/>
        <v/>
      </c>
      <c r="R1804" s="54" t="str">
        <f t="shared" si="60"/>
        <v/>
      </c>
    </row>
    <row r="1805" spans="17:18" x14ac:dyDescent="0.3">
      <c r="Q1805" t="str">
        <f t="shared" si="59"/>
        <v/>
      </c>
      <c r="R1805" s="54" t="str">
        <f t="shared" si="60"/>
        <v/>
      </c>
    </row>
    <row r="1806" spans="17:18" x14ac:dyDescent="0.3">
      <c r="Q1806" t="str">
        <f t="shared" si="59"/>
        <v/>
      </c>
      <c r="R1806" s="54" t="str">
        <f t="shared" si="60"/>
        <v/>
      </c>
    </row>
    <row r="1807" spans="17:18" x14ac:dyDescent="0.3">
      <c r="Q1807" t="str">
        <f t="shared" si="59"/>
        <v/>
      </c>
      <c r="R1807" s="54" t="str">
        <f t="shared" si="60"/>
        <v/>
      </c>
    </row>
    <row r="1808" spans="17:18" x14ac:dyDescent="0.3">
      <c r="Q1808" t="str">
        <f t="shared" si="59"/>
        <v/>
      </c>
      <c r="R1808" s="54" t="str">
        <f t="shared" si="60"/>
        <v/>
      </c>
    </row>
    <row r="1809" spans="17:18" x14ac:dyDescent="0.3">
      <c r="Q1809" t="str">
        <f t="shared" si="59"/>
        <v/>
      </c>
      <c r="R1809" s="54" t="str">
        <f t="shared" si="60"/>
        <v/>
      </c>
    </row>
    <row r="1810" spans="17:18" x14ac:dyDescent="0.3">
      <c r="Q1810" t="str">
        <f t="shared" si="59"/>
        <v/>
      </c>
      <c r="R1810" s="54" t="str">
        <f t="shared" si="60"/>
        <v/>
      </c>
    </row>
    <row r="1811" spans="17:18" x14ac:dyDescent="0.3">
      <c r="Q1811" t="str">
        <f t="shared" si="59"/>
        <v/>
      </c>
      <c r="R1811" s="54" t="str">
        <f t="shared" si="60"/>
        <v/>
      </c>
    </row>
    <row r="1812" spans="17:18" x14ac:dyDescent="0.3">
      <c r="Q1812" t="str">
        <f t="shared" si="59"/>
        <v/>
      </c>
      <c r="R1812" s="54" t="str">
        <f t="shared" si="60"/>
        <v/>
      </c>
    </row>
    <row r="1813" spans="17:18" x14ac:dyDescent="0.3">
      <c r="Q1813" t="str">
        <f t="shared" si="59"/>
        <v/>
      </c>
      <c r="R1813" s="54" t="str">
        <f t="shared" si="60"/>
        <v/>
      </c>
    </row>
    <row r="1814" spans="17:18" x14ac:dyDescent="0.3">
      <c r="Q1814" t="str">
        <f t="shared" si="59"/>
        <v/>
      </c>
      <c r="R1814" s="54" t="str">
        <f t="shared" si="60"/>
        <v/>
      </c>
    </row>
    <row r="1815" spans="17:18" x14ac:dyDescent="0.3">
      <c r="Q1815" t="str">
        <f t="shared" ref="Q1815:Q1878" si="61">IF(COUNTA(A1815:P1815)=0,"",IF(ISNUMBER(SEARCH("-AR-",E1829)),"Architectural",IF(ISNUMBER(SEARCH("-ST-",E1829)),"Structural",IF(ISNUMBER(SEARCH("-ME-",E1829)),"Mechanical",IF(ISNUMBER(SEARCH("-EL-",E1829)),"Electrical",IF(ISNUMBER(SEARCH("-GE-",E1829)),"General",IF(ISNUMBER(SEARCH("-AR-",D1829)),"Architectural",IF(ISNUMBER(SEARCH("-ST-",D1829)),"Structural",IF(ISNUMBER(SEARCH("-ME-",D1829)),"Mechanical",IF(ISNUMBER(SEARCH("-EL-",D1829)),"Electrical",IF(ISNUMBER(SEARCH("-GE-",D1829)),"General","Other")))))))))))</f>
        <v/>
      </c>
      <c r="R1815" s="54" t="str">
        <f t="shared" si="60"/>
        <v/>
      </c>
    </row>
    <row r="1816" spans="17:18" x14ac:dyDescent="0.3">
      <c r="Q1816" t="str">
        <f t="shared" si="61"/>
        <v/>
      </c>
      <c r="R1816" s="54" t="str">
        <f t="shared" si="60"/>
        <v/>
      </c>
    </row>
    <row r="1817" spans="17:18" x14ac:dyDescent="0.3">
      <c r="Q1817" t="str">
        <f t="shared" si="61"/>
        <v/>
      </c>
      <c r="R1817" s="54" t="str">
        <f t="shared" si="60"/>
        <v/>
      </c>
    </row>
    <row r="1818" spans="17:18" x14ac:dyDescent="0.3">
      <c r="Q1818" t="str">
        <f t="shared" si="61"/>
        <v/>
      </c>
      <c r="R1818" s="54" t="str">
        <f t="shared" si="60"/>
        <v/>
      </c>
    </row>
    <row r="1819" spans="17:18" x14ac:dyDescent="0.3">
      <c r="Q1819" t="str">
        <f t="shared" si="61"/>
        <v/>
      </c>
      <c r="R1819" s="54" t="str">
        <f t="shared" si="60"/>
        <v/>
      </c>
    </row>
    <row r="1820" spans="17:18" x14ac:dyDescent="0.3">
      <c r="Q1820" t="str">
        <f t="shared" si="61"/>
        <v/>
      </c>
      <c r="R1820" s="54" t="str">
        <f t="shared" si="60"/>
        <v/>
      </c>
    </row>
    <row r="1821" spans="17:18" x14ac:dyDescent="0.3">
      <c r="Q1821" t="str">
        <f t="shared" si="61"/>
        <v/>
      </c>
      <c r="R1821" s="54" t="str">
        <f t="shared" si="60"/>
        <v/>
      </c>
    </row>
    <row r="1822" spans="17:18" x14ac:dyDescent="0.3">
      <c r="Q1822" t="str">
        <f t="shared" si="61"/>
        <v/>
      </c>
      <c r="R1822" s="54" t="str">
        <f t="shared" si="60"/>
        <v/>
      </c>
    </row>
    <row r="1823" spans="17:18" x14ac:dyDescent="0.3">
      <c r="Q1823" t="str">
        <f t="shared" si="61"/>
        <v/>
      </c>
      <c r="R1823" s="54" t="str">
        <f t="shared" si="60"/>
        <v/>
      </c>
    </row>
    <row r="1824" spans="17:18" x14ac:dyDescent="0.3">
      <c r="Q1824" t="str">
        <f t="shared" si="61"/>
        <v/>
      </c>
      <c r="R1824" s="54" t="str">
        <f t="shared" si="60"/>
        <v/>
      </c>
    </row>
    <row r="1825" spans="17:18" x14ac:dyDescent="0.3">
      <c r="Q1825" t="str">
        <f t="shared" si="61"/>
        <v/>
      </c>
      <c r="R1825" s="54" t="str">
        <f t="shared" si="60"/>
        <v/>
      </c>
    </row>
    <row r="1826" spans="17:18" x14ac:dyDescent="0.3">
      <c r="Q1826" t="str">
        <f t="shared" si="61"/>
        <v/>
      </c>
      <c r="R1826" s="54" t="str">
        <f t="shared" si="60"/>
        <v/>
      </c>
    </row>
    <row r="1827" spans="17:18" x14ac:dyDescent="0.3">
      <c r="Q1827" t="str">
        <f t="shared" si="61"/>
        <v/>
      </c>
      <c r="R1827" s="54" t="str">
        <f t="shared" si="60"/>
        <v/>
      </c>
    </row>
    <row r="1828" spans="17:18" x14ac:dyDescent="0.3">
      <c r="Q1828" t="str">
        <f t="shared" si="61"/>
        <v/>
      </c>
      <c r="R1828" s="54" t="str">
        <f t="shared" si="60"/>
        <v/>
      </c>
    </row>
    <row r="1829" spans="17:18" x14ac:dyDescent="0.3">
      <c r="Q1829" t="str">
        <f t="shared" si="61"/>
        <v/>
      </c>
      <c r="R1829" s="54" t="str">
        <f t="shared" si="60"/>
        <v/>
      </c>
    </row>
    <row r="1830" spans="17:18" x14ac:dyDescent="0.3">
      <c r="Q1830" t="str">
        <f t="shared" si="61"/>
        <v/>
      </c>
      <c r="R1830" s="54" t="str">
        <f t="shared" si="60"/>
        <v/>
      </c>
    </row>
    <row r="1831" spans="17:18" x14ac:dyDescent="0.3">
      <c r="Q1831" t="str">
        <f t="shared" si="61"/>
        <v/>
      </c>
      <c r="R1831" s="54" t="str">
        <f t="shared" si="60"/>
        <v/>
      </c>
    </row>
    <row r="1832" spans="17:18" x14ac:dyDescent="0.3">
      <c r="Q1832" t="str">
        <f t="shared" si="61"/>
        <v/>
      </c>
      <c r="R1832" s="54" t="str">
        <f t="shared" si="60"/>
        <v/>
      </c>
    </row>
    <row r="1833" spans="17:18" x14ac:dyDescent="0.3">
      <c r="Q1833" t="str">
        <f t="shared" si="61"/>
        <v/>
      </c>
      <c r="R1833" s="54" t="str">
        <f t="shared" si="60"/>
        <v/>
      </c>
    </row>
    <row r="1834" spans="17:18" x14ac:dyDescent="0.3">
      <c r="Q1834" t="str">
        <f t="shared" si="61"/>
        <v/>
      </c>
      <c r="R1834" s="54" t="str">
        <f t="shared" si="60"/>
        <v/>
      </c>
    </row>
    <row r="1835" spans="17:18" x14ac:dyDescent="0.3">
      <c r="Q1835" t="str">
        <f t="shared" si="61"/>
        <v/>
      </c>
      <c r="R1835" s="54" t="str">
        <f t="shared" si="60"/>
        <v/>
      </c>
    </row>
    <row r="1836" spans="17:18" x14ac:dyDescent="0.3">
      <c r="Q1836" t="str">
        <f t="shared" si="61"/>
        <v/>
      </c>
      <c r="R1836" s="54" t="str">
        <f t="shared" si="60"/>
        <v/>
      </c>
    </row>
    <row r="1837" spans="17:18" x14ac:dyDescent="0.3">
      <c r="Q1837" t="str">
        <f t="shared" si="61"/>
        <v/>
      </c>
      <c r="R1837" s="54" t="str">
        <f t="shared" si="60"/>
        <v/>
      </c>
    </row>
    <row r="1838" spans="17:18" x14ac:dyDescent="0.3">
      <c r="Q1838" t="str">
        <f t="shared" si="61"/>
        <v/>
      </c>
      <c r="R1838" s="54" t="str">
        <f t="shared" si="60"/>
        <v/>
      </c>
    </row>
    <row r="1839" spans="17:18" x14ac:dyDescent="0.3">
      <c r="Q1839" t="str">
        <f t="shared" si="61"/>
        <v/>
      </c>
      <c r="R1839" s="54" t="str">
        <f t="shared" si="60"/>
        <v/>
      </c>
    </row>
    <row r="1840" spans="17:18" x14ac:dyDescent="0.3">
      <c r="Q1840" t="str">
        <f t="shared" si="61"/>
        <v/>
      </c>
      <c r="R1840" s="54" t="str">
        <f t="shared" si="60"/>
        <v/>
      </c>
    </row>
    <row r="1841" spans="17:18" x14ac:dyDescent="0.3">
      <c r="Q1841" t="str">
        <f t="shared" si="61"/>
        <v/>
      </c>
      <c r="R1841" s="54" t="str">
        <f t="shared" si="60"/>
        <v/>
      </c>
    </row>
    <row r="1842" spans="17:18" x14ac:dyDescent="0.3">
      <c r="Q1842" t="str">
        <f t="shared" si="61"/>
        <v/>
      </c>
      <c r="R1842" s="54" t="str">
        <f t="shared" si="60"/>
        <v/>
      </c>
    </row>
    <row r="1843" spans="17:18" x14ac:dyDescent="0.3">
      <c r="Q1843" t="str">
        <f t="shared" si="61"/>
        <v/>
      </c>
      <c r="R1843" s="54" t="str">
        <f t="shared" si="60"/>
        <v/>
      </c>
    </row>
    <row r="1844" spans="17:18" x14ac:dyDescent="0.3">
      <c r="Q1844" t="str">
        <f t="shared" si="61"/>
        <v/>
      </c>
      <c r="R1844" s="54" t="str">
        <f t="shared" si="60"/>
        <v/>
      </c>
    </row>
    <row r="1845" spans="17:18" x14ac:dyDescent="0.3">
      <c r="Q1845" t="str">
        <f t="shared" si="61"/>
        <v/>
      </c>
      <c r="R1845" s="54" t="str">
        <f t="shared" si="60"/>
        <v/>
      </c>
    </row>
    <row r="1846" spans="17:18" x14ac:dyDescent="0.3">
      <c r="Q1846" t="str">
        <f t="shared" si="61"/>
        <v/>
      </c>
      <c r="R1846" s="54" t="str">
        <f t="shared" si="60"/>
        <v/>
      </c>
    </row>
    <row r="1847" spans="17:18" x14ac:dyDescent="0.3">
      <c r="Q1847" t="str">
        <f t="shared" si="61"/>
        <v/>
      </c>
      <c r="R1847" s="54" t="str">
        <f t="shared" si="60"/>
        <v/>
      </c>
    </row>
    <row r="1848" spans="17:18" x14ac:dyDescent="0.3">
      <c r="Q1848" t="str">
        <f t="shared" si="61"/>
        <v/>
      </c>
      <c r="R1848" s="54" t="str">
        <f t="shared" si="60"/>
        <v/>
      </c>
    </row>
    <row r="1849" spans="17:18" x14ac:dyDescent="0.3">
      <c r="Q1849" t="str">
        <f t="shared" si="61"/>
        <v/>
      </c>
      <c r="R1849" s="54" t="str">
        <f t="shared" si="60"/>
        <v/>
      </c>
    </row>
    <row r="1850" spans="17:18" x14ac:dyDescent="0.3">
      <c r="Q1850" t="str">
        <f t="shared" si="61"/>
        <v/>
      </c>
      <c r="R1850" s="54" t="str">
        <f t="shared" si="60"/>
        <v/>
      </c>
    </row>
    <row r="1851" spans="17:18" x14ac:dyDescent="0.3">
      <c r="Q1851" t="str">
        <f t="shared" si="61"/>
        <v/>
      </c>
      <c r="R1851" s="54" t="str">
        <f t="shared" si="60"/>
        <v/>
      </c>
    </row>
    <row r="1852" spans="17:18" x14ac:dyDescent="0.3">
      <c r="Q1852" t="str">
        <f t="shared" si="61"/>
        <v/>
      </c>
      <c r="R1852" s="54" t="str">
        <f t="shared" si="60"/>
        <v/>
      </c>
    </row>
    <row r="1853" spans="17:18" x14ac:dyDescent="0.3">
      <c r="Q1853" t="str">
        <f t="shared" si="61"/>
        <v/>
      </c>
      <c r="R1853" s="54" t="str">
        <f t="shared" si="60"/>
        <v/>
      </c>
    </row>
    <row r="1854" spans="17:18" x14ac:dyDescent="0.3">
      <c r="Q1854" t="str">
        <f t="shared" si="61"/>
        <v/>
      </c>
      <c r="R1854" s="54" t="str">
        <f t="shared" si="60"/>
        <v/>
      </c>
    </row>
    <row r="1855" spans="17:18" x14ac:dyDescent="0.3">
      <c r="Q1855" t="str">
        <f t="shared" si="61"/>
        <v/>
      </c>
      <c r="R1855" s="54" t="str">
        <f t="shared" si="60"/>
        <v/>
      </c>
    </row>
    <row r="1856" spans="17:18" x14ac:dyDescent="0.3">
      <c r="Q1856" t="str">
        <f t="shared" si="61"/>
        <v/>
      </c>
      <c r="R1856" s="54" t="str">
        <f t="shared" si="60"/>
        <v/>
      </c>
    </row>
    <row r="1857" spans="17:18" x14ac:dyDescent="0.3">
      <c r="Q1857" t="str">
        <f t="shared" si="61"/>
        <v/>
      </c>
      <c r="R1857" s="54" t="str">
        <f t="shared" si="60"/>
        <v/>
      </c>
    </row>
    <row r="1858" spans="17:18" x14ac:dyDescent="0.3">
      <c r="Q1858" t="str">
        <f t="shared" si="61"/>
        <v/>
      </c>
      <c r="R1858" s="54" t="str">
        <f t="shared" si="60"/>
        <v/>
      </c>
    </row>
    <row r="1859" spans="17:18" x14ac:dyDescent="0.3">
      <c r="Q1859" t="str">
        <f t="shared" si="61"/>
        <v/>
      </c>
      <c r="R1859" s="54" t="str">
        <f t="shared" ref="R1859:R1922" si="62">IF(F1873="","",IFERROR(IF(ISNUMBER(F1873),F1873,DATEVALUE(F1873)),""))</f>
        <v/>
      </c>
    </row>
    <row r="1860" spans="17:18" x14ac:dyDescent="0.3">
      <c r="Q1860" t="str">
        <f t="shared" si="61"/>
        <v/>
      </c>
      <c r="R1860" s="54" t="str">
        <f t="shared" si="62"/>
        <v/>
      </c>
    </row>
    <row r="1861" spans="17:18" x14ac:dyDescent="0.3">
      <c r="Q1861" t="str">
        <f t="shared" si="61"/>
        <v/>
      </c>
      <c r="R1861" s="54" t="str">
        <f t="shared" si="62"/>
        <v/>
      </c>
    </row>
    <row r="1862" spans="17:18" x14ac:dyDescent="0.3">
      <c r="Q1862" t="str">
        <f t="shared" si="61"/>
        <v/>
      </c>
      <c r="R1862" s="54" t="str">
        <f t="shared" si="62"/>
        <v/>
      </c>
    </row>
    <row r="1863" spans="17:18" x14ac:dyDescent="0.3">
      <c r="Q1863" t="str">
        <f t="shared" si="61"/>
        <v/>
      </c>
      <c r="R1863" s="54" t="str">
        <f t="shared" si="62"/>
        <v/>
      </c>
    </row>
    <row r="1864" spans="17:18" x14ac:dyDescent="0.3">
      <c r="Q1864" t="str">
        <f t="shared" si="61"/>
        <v/>
      </c>
      <c r="R1864" s="54" t="str">
        <f t="shared" si="62"/>
        <v/>
      </c>
    </row>
    <row r="1865" spans="17:18" x14ac:dyDescent="0.3">
      <c r="Q1865" t="str">
        <f t="shared" si="61"/>
        <v/>
      </c>
      <c r="R1865" s="54" t="str">
        <f t="shared" si="62"/>
        <v/>
      </c>
    </row>
    <row r="1866" spans="17:18" x14ac:dyDescent="0.3">
      <c r="Q1866" t="str">
        <f t="shared" si="61"/>
        <v/>
      </c>
      <c r="R1866" s="54" t="str">
        <f t="shared" si="62"/>
        <v/>
      </c>
    </row>
    <row r="1867" spans="17:18" x14ac:dyDescent="0.3">
      <c r="Q1867" t="str">
        <f t="shared" si="61"/>
        <v/>
      </c>
      <c r="R1867" s="54" t="str">
        <f t="shared" si="62"/>
        <v/>
      </c>
    </row>
    <row r="1868" spans="17:18" x14ac:dyDescent="0.3">
      <c r="Q1868" t="str">
        <f t="shared" si="61"/>
        <v/>
      </c>
      <c r="R1868" s="54" t="str">
        <f t="shared" si="62"/>
        <v/>
      </c>
    </row>
    <row r="1869" spans="17:18" x14ac:dyDescent="0.3">
      <c r="Q1869" t="str">
        <f t="shared" si="61"/>
        <v/>
      </c>
      <c r="R1869" s="54" t="str">
        <f t="shared" si="62"/>
        <v/>
      </c>
    </row>
    <row r="1870" spans="17:18" x14ac:dyDescent="0.3">
      <c r="Q1870" t="str">
        <f t="shared" si="61"/>
        <v/>
      </c>
      <c r="R1870" s="54" t="str">
        <f t="shared" si="62"/>
        <v/>
      </c>
    </row>
    <row r="1871" spans="17:18" x14ac:dyDescent="0.3">
      <c r="Q1871" t="str">
        <f t="shared" si="61"/>
        <v/>
      </c>
      <c r="R1871" s="54" t="str">
        <f t="shared" si="62"/>
        <v/>
      </c>
    </row>
    <row r="1872" spans="17:18" x14ac:dyDescent="0.3">
      <c r="Q1872" t="str">
        <f t="shared" si="61"/>
        <v/>
      </c>
      <c r="R1872" s="54" t="str">
        <f t="shared" si="62"/>
        <v/>
      </c>
    </row>
    <row r="1873" spans="17:18" x14ac:dyDescent="0.3">
      <c r="Q1873" t="str">
        <f t="shared" si="61"/>
        <v/>
      </c>
      <c r="R1873" s="54" t="str">
        <f t="shared" si="62"/>
        <v/>
      </c>
    </row>
    <row r="1874" spans="17:18" x14ac:dyDescent="0.3">
      <c r="Q1874" t="str">
        <f t="shared" si="61"/>
        <v/>
      </c>
      <c r="R1874" s="54" t="str">
        <f t="shared" si="62"/>
        <v/>
      </c>
    </row>
    <row r="1875" spans="17:18" x14ac:dyDescent="0.3">
      <c r="Q1875" t="str">
        <f t="shared" si="61"/>
        <v/>
      </c>
      <c r="R1875" s="54" t="str">
        <f t="shared" si="62"/>
        <v/>
      </c>
    </row>
    <row r="1876" spans="17:18" x14ac:dyDescent="0.3">
      <c r="Q1876" t="str">
        <f t="shared" si="61"/>
        <v/>
      </c>
      <c r="R1876" s="54" t="str">
        <f t="shared" si="62"/>
        <v/>
      </c>
    </row>
    <row r="1877" spans="17:18" x14ac:dyDescent="0.3">
      <c r="Q1877" t="str">
        <f t="shared" si="61"/>
        <v/>
      </c>
      <c r="R1877" s="54" t="str">
        <f t="shared" si="62"/>
        <v/>
      </c>
    </row>
    <row r="1878" spans="17:18" x14ac:dyDescent="0.3">
      <c r="Q1878" t="str">
        <f t="shared" si="61"/>
        <v/>
      </c>
      <c r="R1878" s="54" t="str">
        <f t="shared" si="62"/>
        <v/>
      </c>
    </row>
    <row r="1879" spans="17:18" x14ac:dyDescent="0.3">
      <c r="Q1879" t="str">
        <f t="shared" ref="Q1879:Q1942" si="63">IF(COUNTA(A1879:P1879)=0,"",IF(ISNUMBER(SEARCH("-AR-",E1893)),"Architectural",IF(ISNUMBER(SEARCH("-ST-",E1893)),"Structural",IF(ISNUMBER(SEARCH("-ME-",E1893)),"Mechanical",IF(ISNUMBER(SEARCH("-EL-",E1893)),"Electrical",IF(ISNUMBER(SEARCH("-GE-",E1893)),"General",IF(ISNUMBER(SEARCH("-AR-",D1893)),"Architectural",IF(ISNUMBER(SEARCH("-ST-",D1893)),"Structural",IF(ISNUMBER(SEARCH("-ME-",D1893)),"Mechanical",IF(ISNUMBER(SEARCH("-EL-",D1893)),"Electrical",IF(ISNUMBER(SEARCH("-GE-",D1893)),"General","Other")))))))))))</f>
        <v/>
      </c>
      <c r="R1879" s="54" t="str">
        <f t="shared" si="62"/>
        <v/>
      </c>
    </row>
    <row r="1880" spans="17:18" x14ac:dyDescent="0.3">
      <c r="Q1880" t="str">
        <f t="shared" si="63"/>
        <v/>
      </c>
      <c r="R1880" s="54" t="str">
        <f t="shared" si="62"/>
        <v/>
      </c>
    </row>
    <row r="1881" spans="17:18" x14ac:dyDescent="0.3">
      <c r="Q1881" t="str">
        <f t="shared" si="63"/>
        <v/>
      </c>
      <c r="R1881" s="54" t="str">
        <f t="shared" si="62"/>
        <v/>
      </c>
    </row>
    <row r="1882" spans="17:18" x14ac:dyDescent="0.3">
      <c r="Q1882" t="str">
        <f t="shared" si="63"/>
        <v/>
      </c>
      <c r="R1882" s="54" t="str">
        <f t="shared" si="62"/>
        <v/>
      </c>
    </row>
    <row r="1883" spans="17:18" x14ac:dyDescent="0.3">
      <c r="Q1883" t="str">
        <f t="shared" si="63"/>
        <v/>
      </c>
      <c r="R1883" s="54" t="str">
        <f t="shared" si="62"/>
        <v/>
      </c>
    </row>
    <row r="1884" spans="17:18" x14ac:dyDescent="0.3">
      <c r="Q1884" t="str">
        <f t="shared" si="63"/>
        <v/>
      </c>
      <c r="R1884" s="54" t="str">
        <f t="shared" si="62"/>
        <v/>
      </c>
    </row>
    <row r="1885" spans="17:18" x14ac:dyDescent="0.3">
      <c r="Q1885" t="str">
        <f t="shared" si="63"/>
        <v/>
      </c>
      <c r="R1885" s="54" t="str">
        <f t="shared" si="62"/>
        <v/>
      </c>
    </row>
    <row r="1886" spans="17:18" x14ac:dyDescent="0.3">
      <c r="Q1886" t="str">
        <f t="shared" si="63"/>
        <v/>
      </c>
      <c r="R1886" s="54" t="str">
        <f t="shared" si="62"/>
        <v/>
      </c>
    </row>
    <row r="1887" spans="17:18" x14ac:dyDescent="0.3">
      <c r="Q1887" t="str">
        <f t="shared" si="63"/>
        <v/>
      </c>
      <c r="R1887" s="54" t="str">
        <f t="shared" si="62"/>
        <v/>
      </c>
    </row>
    <row r="1888" spans="17:18" x14ac:dyDescent="0.3">
      <c r="Q1888" t="str">
        <f t="shared" si="63"/>
        <v/>
      </c>
      <c r="R1888" s="54" t="str">
        <f t="shared" si="62"/>
        <v/>
      </c>
    </row>
    <row r="1889" spans="17:18" x14ac:dyDescent="0.3">
      <c r="Q1889" t="str">
        <f t="shared" si="63"/>
        <v/>
      </c>
      <c r="R1889" s="54" t="str">
        <f t="shared" si="62"/>
        <v/>
      </c>
    </row>
    <row r="1890" spans="17:18" x14ac:dyDescent="0.3">
      <c r="Q1890" t="str">
        <f t="shared" si="63"/>
        <v/>
      </c>
      <c r="R1890" s="54" t="str">
        <f t="shared" si="62"/>
        <v/>
      </c>
    </row>
    <row r="1891" spans="17:18" x14ac:dyDescent="0.3">
      <c r="Q1891" t="str">
        <f t="shared" si="63"/>
        <v/>
      </c>
      <c r="R1891" s="54" t="str">
        <f t="shared" si="62"/>
        <v/>
      </c>
    </row>
    <row r="1892" spans="17:18" x14ac:dyDescent="0.3">
      <c r="Q1892" t="str">
        <f t="shared" si="63"/>
        <v/>
      </c>
      <c r="R1892" s="54" t="str">
        <f t="shared" si="62"/>
        <v/>
      </c>
    </row>
    <row r="1893" spans="17:18" x14ac:dyDescent="0.3">
      <c r="Q1893" t="str">
        <f t="shared" si="63"/>
        <v/>
      </c>
      <c r="R1893" s="54" t="str">
        <f t="shared" si="62"/>
        <v/>
      </c>
    </row>
    <row r="1894" spans="17:18" x14ac:dyDescent="0.3">
      <c r="Q1894" t="str">
        <f t="shared" si="63"/>
        <v/>
      </c>
      <c r="R1894" s="54" t="str">
        <f t="shared" si="62"/>
        <v/>
      </c>
    </row>
    <row r="1895" spans="17:18" x14ac:dyDescent="0.3">
      <c r="Q1895" t="str">
        <f t="shared" si="63"/>
        <v/>
      </c>
      <c r="R1895" s="54" t="str">
        <f t="shared" si="62"/>
        <v/>
      </c>
    </row>
    <row r="1896" spans="17:18" x14ac:dyDescent="0.3">
      <c r="Q1896" t="str">
        <f t="shared" si="63"/>
        <v/>
      </c>
      <c r="R1896" s="54" t="str">
        <f t="shared" si="62"/>
        <v/>
      </c>
    </row>
    <row r="1897" spans="17:18" x14ac:dyDescent="0.3">
      <c r="Q1897" t="str">
        <f t="shared" si="63"/>
        <v/>
      </c>
      <c r="R1897" s="54" t="str">
        <f t="shared" si="62"/>
        <v/>
      </c>
    </row>
    <row r="1898" spans="17:18" x14ac:dyDescent="0.3">
      <c r="Q1898" t="str">
        <f t="shared" si="63"/>
        <v/>
      </c>
      <c r="R1898" s="54" t="str">
        <f t="shared" si="62"/>
        <v/>
      </c>
    </row>
    <row r="1899" spans="17:18" x14ac:dyDescent="0.3">
      <c r="Q1899" t="str">
        <f t="shared" si="63"/>
        <v/>
      </c>
      <c r="R1899" s="54" t="str">
        <f t="shared" si="62"/>
        <v/>
      </c>
    </row>
    <row r="1900" spans="17:18" x14ac:dyDescent="0.3">
      <c r="Q1900" t="str">
        <f t="shared" si="63"/>
        <v/>
      </c>
      <c r="R1900" s="54" t="str">
        <f t="shared" si="62"/>
        <v/>
      </c>
    </row>
    <row r="1901" spans="17:18" x14ac:dyDescent="0.3">
      <c r="Q1901" t="str">
        <f t="shared" si="63"/>
        <v/>
      </c>
      <c r="R1901" s="54" t="str">
        <f t="shared" si="62"/>
        <v/>
      </c>
    </row>
    <row r="1902" spans="17:18" x14ac:dyDescent="0.3">
      <c r="Q1902" t="str">
        <f t="shared" si="63"/>
        <v/>
      </c>
      <c r="R1902" s="54" t="str">
        <f t="shared" si="62"/>
        <v/>
      </c>
    </row>
    <row r="1903" spans="17:18" x14ac:dyDescent="0.3">
      <c r="Q1903" t="str">
        <f t="shared" si="63"/>
        <v/>
      </c>
      <c r="R1903" s="54" t="str">
        <f t="shared" si="62"/>
        <v/>
      </c>
    </row>
    <row r="1904" spans="17:18" x14ac:dyDescent="0.3">
      <c r="Q1904" t="str">
        <f t="shared" si="63"/>
        <v/>
      </c>
      <c r="R1904" s="54" t="str">
        <f t="shared" si="62"/>
        <v/>
      </c>
    </row>
    <row r="1905" spans="17:18" x14ac:dyDescent="0.3">
      <c r="Q1905" t="str">
        <f t="shared" si="63"/>
        <v/>
      </c>
      <c r="R1905" s="54" t="str">
        <f t="shared" si="62"/>
        <v/>
      </c>
    </row>
    <row r="1906" spans="17:18" x14ac:dyDescent="0.3">
      <c r="Q1906" t="str">
        <f t="shared" si="63"/>
        <v/>
      </c>
      <c r="R1906" s="54" t="str">
        <f t="shared" si="62"/>
        <v/>
      </c>
    </row>
    <row r="1907" spans="17:18" x14ac:dyDescent="0.3">
      <c r="Q1907" t="str">
        <f t="shared" si="63"/>
        <v/>
      </c>
      <c r="R1907" s="54" t="str">
        <f t="shared" si="62"/>
        <v/>
      </c>
    </row>
    <row r="1908" spans="17:18" x14ac:dyDescent="0.3">
      <c r="Q1908" t="str">
        <f t="shared" si="63"/>
        <v/>
      </c>
      <c r="R1908" s="54" t="str">
        <f t="shared" si="62"/>
        <v/>
      </c>
    </row>
    <row r="1909" spans="17:18" x14ac:dyDescent="0.3">
      <c r="Q1909" t="str">
        <f t="shared" si="63"/>
        <v/>
      </c>
      <c r="R1909" s="54" t="str">
        <f t="shared" si="62"/>
        <v/>
      </c>
    </row>
    <row r="1910" spans="17:18" x14ac:dyDescent="0.3">
      <c r="Q1910" t="str">
        <f t="shared" si="63"/>
        <v/>
      </c>
      <c r="R1910" s="54" t="str">
        <f t="shared" si="62"/>
        <v/>
      </c>
    </row>
    <row r="1911" spans="17:18" x14ac:dyDescent="0.3">
      <c r="Q1911" t="str">
        <f t="shared" si="63"/>
        <v/>
      </c>
      <c r="R1911" s="54" t="str">
        <f t="shared" si="62"/>
        <v/>
      </c>
    </row>
    <row r="1912" spans="17:18" x14ac:dyDescent="0.3">
      <c r="Q1912" t="str">
        <f t="shared" si="63"/>
        <v/>
      </c>
      <c r="R1912" s="54" t="str">
        <f t="shared" si="62"/>
        <v/>
      </c>
    </row>
    <row r="1913" spans="17:18" x14ac:dyDescent="0.3">
      <c r="Q1913" t="str">
        <f t="shared" si="63"/>
        <v/>
      </c>
      <c r="R1913" s="54" t="str">
        <f t="shared" si="62"/>
        <v/>
      </c>
    </row>
    <row r="1914" spans="17:18" x14ac:dyDescent="0.3">
      <c r="Q1914" t="str">
        <f t="shared" si="63"/>
        <v/>
      </c>
      <c r="R1914" s="54" t="str">
        <f t="shared" si="62"/>
        <v/>
      </c>
    </row>
    <row r="1915" spans="17:18" x14ac:dyDescent="0.3">
      <c r="Q1915" t="str">
        <f t="shared" si="63"/>
        <v/>
      </c>
      <c r="R1915" s="54" t="str">
        <f t="shared" si="62"/>
        <v/>
      </c>
    </row>
    <row r="1916" spans="17:18" x14ac:dyDescent="0.3">
      <c r="Q1916" t="str">
        <f t="shared" si="63"/>
        <v/>
      </c>
      <c r="R1916" s="54" t="str">
        <f t="shared" si="62"/>
        <v/>
      </c>
    </row>
    <row r="1917" spans="17:18" x14ac:dyDescent="0.3">
      <c r="Q1917" t="str">
        <f t="shared" si="63"/>
        <v/>
      </c>
      <c r="R1917" s="54" t="str">
        <f t="shared" si="62"/>
        <v/>
      </c>
    </row>
    <row r="1918" spans="17:18" x14ac:dyDescent="0.3">
      <c r="Q1918" t="str">
        <f t="shared" si="63"/>
        <v/>
      </c>
      <c r="R1918" s="54" t="str">
        <f t="shared" si="62"/>
        <v/>
      </c>
    </row>
    <row r="1919" spans="17:18" x14ac:dyDescent="0.3">
      <c r="Q1919" t="str">
        <f t="shared" si="63"/>
        <v/>
      </c>
      <c r="R1919" s="54" t="str">
        <f t="shared" si="62"/>
        <v/>
      </c>
    </row>
    <row r="1920" spans="17:18" x14ac:dyDescent="0.3">
      <c r="Q1920" t="str">
        <f t="shared" si="63"/>
        <v/>
      </c>
      <c r="R1920" s="54" t="str">
        <f t="shared" si="62"/>
        <v/>
      </c>
    </row>
    <row r="1921" spans="17:18" x14ac:dyDescent="0.3">
      <c r="Q1921" t="str">
        <f t="shared" si="63"/>
        <v/>
      </c>
      <c r="R1921" s="54" t="str">
        <f t="shared" si="62"/>
        <v/>
      </c>
    </row>
    <row r="1922" spans="17:18" x14ac:dyDescent="0.3">
      <c r="Q1922" t="str">
        <f t="shared" si="63"/>
        <v/>
      </c>
      <c r="R1922" s="54" t="str">
        <f t="shared" si="62"/>
        <v/>
      </c>
    </row>
    <row r="1923" spans="17:18" x14ac:dyDescent="0.3">
      <c r="Q1923" t="str">
        <f t="shared" si="63"/>
        <v/>
      </c>
      <c r="R1923" s="54" t="str">
        <f t="shared" ref="R1923:R1986" si="64">IF(F1937="","",IFERROR(IF(ISNUMBER(F1937),F1937,DATEVALUE(F1937)),""))</f>
        <v/>
      </c>
    </row>
    <row r="1924" spans="17:18" x14ac:dyDescent="0.3">
      <c r="Q1924" t="str">
        <f t="shared" si="63"/>
        <v/>
      </c>
      <c r="R1924" s="54" t="str">
        <f t="shared" si="64"/>
        <v/>
      </c>
    </row>
    <row r="1925" spans="17:18" x14ac:dyDescent="0.3">
      <c r="Q1925" t="str">
        <f t="shared" si="63"/>
        <v/>
      </c>
      <c r="R1925" s="54" t="str">
        <f t="shared" si="64"/>
        <v/>
      </c>
    </row>
    <row r="1926" spans="17:18" x14ac:dyDescent="0.3">
      <c r="Q1926" t="str">
        <f t="shared" si="63"/>
        <v/>
      </c>
      <c r="R1926" s="54" t="str">
        <f t="shared" si="64"/>
        <v/>
      </c>
    </row>
    <row r="1927" spans="17:18" x14ac:dyDescent="0.3">
      <c r="Q1927" t="str">
        <f t="shared" si="63"/>
        <v/>
      </c>
      <c r="R1927" s="54" t="str">
        <f t="shared" si="64"/>
        <v/>
      </c>
    </row>
    <row r="1928" spans="17:18" x14ac:dyDescent="0.3">
      <c r="Q1928" t="str">
        <f t="shared" si="63"/>
        <v/>
      </c>
      <c r="R1928" s="54" t="str">
        <f t="shared" si="64"/>
        <v/>
      </c>
    </row>
    <row r="1929" spans="17:18" x14ac:dyDescent="0.3">
      <c r="Q1929" t="str">
        <f t="shared" si="63"/>
        <v/>
      </c>
      <c r="R1929" s="54" t="str">
        <f t="shared" si="64"/>
        <v/>
      </c>
    </row>
    <row r="1930" spans="17:18" x14ac:dyDescent="0.3">
      <c r="Q1930" t="str">
        <f t="shared" si="63"/>
        <v/>
      </c>
      <c r="R1930" s="54" t="str">
        <f t="shared" si="64"/>
        <v/>
      </c>
    </row>
    <row r="1931" spans="17:18" x14ac:dyDescent="0.3">
      <c r="Q1931" t="str">
        <f t="shared" si="63"/>
        <v/>
      </c>
      <c r="R1931" s="54" t="str">
        <f t="shared" si="64"/>
        <v/>
      </c>
    </row>
    <row r="1932" spans="17:18" x14ac:dyDescent="0.3">
      <c r="Q1932" t="str">
        <f t="shared" si="63"/>
        <v/>
      </c>
      <c r="R1932" s="54" t="str">
        <f t="shared" si="64"/>
        <v/>
      </c>
    </row>
    <row r="1933" spans="17:18" x14ac:dyDescent="0.3">
      <c r="Q1933" t="str">
        <f t="shared" si="63"/>
        <v/>
      </c>
      <c r="R1933" s="54" t="str">
        <f t="shared" si="64"/>
        <v/>
      </c>
    </row>
    <row r="1934" spans="17:18" x14ac:dyDescent="0.3">
      <c r="Q1934" t="str">
        <f t="shared" si="63"/>
        <v/>
      </c>
      <c r="R1934" s="54" t="str">
        <f t="shared" si="64"/>
        <v/>
      </c>
    </row>
    <row r="1935" spans="17:18" x14ac:dyDescent="0.3">
      <c r="Q1935" t="str">
        <f t="shared" si="63"/>
        <v/>
      </c>
      <c r="R1935" s="54" t="str">
        <f t="shared" si="64"/>
        <v/>
      </c>
    </row>
    <row r="1936" spans="17:18" x14ac:dyDescent="0.3">
      <c r="Q1936" t="str">
        <f t="shared" si="63"/>
        <v/>
      </c>
      <c r="R1936" s="54" t="str">
        <f t="shared" si="64"/>
        <v/>
      </c>
    </row>
    <row r="1937" spans="17:18" x14ac:dyDescent="0.3">
      <c r="Q1937" t="str">
        <f t="shared" si="63"/>
        <v/>
      </c>
      <c r="R1937" s="54" t="str">
        <f t="shared" si="64"/>
        <v/>
      </c>
    </row>
    <row r="1938" spans="17:18" x14ac:dyDescent="0.3">
      <c r="Q1938" t="str">
        <f t="shared" si="63"/>
        <v/>
      </c>
      <c r="R1938" s="54" t="str">
        <f t="shared" si="64"/>
        <v/>
      </c>
    </row>
    <row r="1939" spans="17:18" x14ac:dyDescent="0.3">
      <c r="Q1939" t="str">
        <f t="shared" si="63"/>
        <v/>
      </c>
      <c r="R1939" s="54" t="str">
        <f t="shared" si="64"/>
        <v/>
      </c>
    </row>
    <row r="1940" spans="17:18" x14ac:dyDescent="0.3">
      <c r="Q1940" t="str">
        <f t="shared" si="63"/>
        <v/>
      </c>
      <c r="R1940" s="54" t="str">
        <f t="shared" si="64"/>
        <v/>
      </c>
    </row>
    <row r="1941" spans="17:18" x14ac:dyDescent="0.3">
      <c r="Q1941" t="str">
        <f t="shared" si="63"/>
        <v/>
      </c>
      <c r="R1941" s="54" t="str">
        <f t="shared" si="64"/>
        <v/>
      </c>
    </row>
    <row r="1942" spans="17:18" x14ac:dyDescent="0.3">
      <c r="Q1942" t="str">
        <f t="shared" si="63"/>
        <v/>
      </c>
      <c r="R1942" s="54" t="str">
        <f t="shared" si="64"/>
        <v/>
      </c>
    </row>
    <row r="1943" spans="17:18" x14ac:dyDescent="0.3">
      <c r="Q1943" t="str">
        <f t="shared" ref="Q1943:Q2006" si="65">IF(COUNTA(A1943:P1943)=0,"",IF(ISNUMBER(SEARCH("-AR-",E1957)),"Architectural",IF(ISNUMBER(SEARCH("-ST-",E1957)),"Structural",IF(ISNUMBER(SEARCH("-ME-",E1957)),"Mechanical",IF(ISNUMBER(SEARCH("-EL-",E1957)),"Electrical",IF(ISNUMBER(SEARCH("-GE-",E1957)),"General",IF(ISNUMBER(SEARCH("-AR-",D1957)),"Architectural",IF(ISNUMBER(SEARCH("-ST-",D1957)),"Structural",IF(ISNUMBER(SEARCH("-ME-",D1957)),"Mechanical",IF(ISNUMBER(SEARCH("-EL-",D1957)),"Electrical",IF(ISNUMBER(SEARCH("-GE-",D1957)),"General","Other")))))))))))</f>
        <v/>
      </c>
      <c r="R1943" s="54" t="str">
        <f t="shared" si="64"/>
        <v/>
      </c>
    </row>
    <row r="1944" spans="17:18" x14ac:dyDescent="0.3">
      <c r="Q1944" t="str">
        <f t="shared" si="65"/>
        <v/>
      </c>
      <c r="R1944" s="54" t="str">
        <f t="shared" si="64"/>
        <v/>
      </c>
    </row>
    <row r="1945" spans="17:18" x14ac:dyDescent="0.3">
      <c r="Q1945" t="str">
        <f t="shared" si="65"/>
        <v/>
      </c>
      <c r="R1945" s="54" t="str">
        <f t="shared" si="64"/>
        <v/>
      </c>
    </row>
    <row r="1946" spans="17:18" x14ac:dyDescent="0.3">
      <c r="Q1946" t="str">
        <f t="shared" si="65"/>
        <v/>
      </c>
      <c r="R1946" s="54" t="str">
        <f t="shared" si="64"/>
        <v/>
      </c>
    </row>
    <row r="1947" spans="17:18" x14ac:dyDescent="0.3">
      <c r="Q1947" t="str">
        <f t="shared" si="65"/>
        <v/>
      </c>
      <c r="R1947" s="54" t="str">
        <f t="shared" si="64"/>
        <v/>
      </c>
    </row>
    <row r="1948" spans="17:18" x14ac:dyDescent="0.3">
      <c r="Q1948" t="str">
        <f t="shared" si="65"/>
        <v/>
      </c>
      <c r="R1948" s="54" t="str">
        <f t="shared" si="64"/>
        <v/>
      </c>
    </row>
    <row r="1949" spans="17:18" x14ac:dyDescent="0.3">
      <c r="Q1949" t="str">
        <f t="shared" si="65"/>
        <v/>
      </c>
      <c r="R1949" s="54" t="str">
        <f t="shared" si="64"/>
        <v/>
      </c>
    </row>
    <row r="1950" spans="17:18" x14ac:dyDescent="0.3">
      <c r="Q1950" t="str">
        <f t="shared" si="65"/>
        <v/>
      </c>
      <c r="R1950" s="54" t="str">
        <f t="shared" si="64"/>
        <v/>
      </c>
    </row>
    <row r="1951" spans="17:18" x14ac:dyDescent="0.3">
      <c r="Q1951" t="str">
        <f t="shared" si="65"/>
        <v/>
      </c>
      <c r="R1951" s="54" t="str">
        <f t="shared" si="64"/>
        <v/>
      </c>
    </row>
    <row r="1952" spans="17:18" x14ac:dyDescent="0.3">
      <c r="Q1952" t="str">
        <f t="shared" si="65"/>
        <v/>
      </c>
      <c r="R1952" s="54" t="str">
        <f t="shared" si="64"/>
        <v/>
      </c>
    </row>
    <row r="1953" spans="17:18" x14ac:dyDescent="0.3">
      <c r="Q1953" t="str">
        <f t="shared" si="65"/>
        <v/>
      </c>
      <c r="R1953" s="54" t="str">
        <f t="shared" si="64"/>
        <v/>
      </c>
    </row>
    <row r="1954" spans="17:18" x14ac:dyDescent="0.3">
      <c r="Q1954" t="str">
        <f t="shared" si="65"/>
        <v/>
      </c>
      <c r="R1954" s="54" t="str">
        <f t="shared" si="64"/>
        <v/>
      </c>
    </row>
    <row r="1955" spans="17:18" x14ac:dyDescent="0.3">
      <c r="Q1955" t="str">
        <f t="shared" si="65"/>
        <v/>
      </c>
      <c r="R1955" s="54" t="str">
        <f t="shared" si="64"/>
        <v/>
      </c>
    </row>
    <row r="1956" spans="17:18" x14ac:dyDescent="0.3">
      <c r="Q1956" t="str">
        <f t="shared" si="65"/>
        <v/>
      </c>
      <c r="R1956" s="54" t="str">
        <f t="shared" si="64"/>
        <v/>
      </c>
    </row>
    <row r="1957" spans="17:18" x14ac:dyDescent="0.3">
      <c r="Q1957" t="str">
        <f t="shared" si="65"/>
        <v/>
      </c>
      <c r="R1957" s="54" t="str">
        <f t="shared" si="64"/>
        <v/>
      </c>
    </row>
    <row r="1958" spans="17:18" x14ac:dyDescent="0.3">
      <c r="Q1958" t="str">
        <f t="shared" si="65"/>
        <v/>
      </c>
      <c r="R1958" s="54" t="str">
        <f t="shared" si="64"/>
        <v/>
      </c>
    </row>
    <row r="1959" spans="17:18" x14ac:dyDescent="0.3">
      <c r="Q1959" t="str">
        <f t="shared" si="65"/>
        <v/>
      </c>
      <c r="R1959" s="54" t="str">
        <f t="shared" si="64"/>
        <v/>
      </c>
    </row>
    <row r="1960" spans="17:18" x14ac:dyDescent="0.3">
      <c r="Q1960" t="str">
        <f t="shared" si="65"/>
        <v/>
      </c>
      <c r="R1960" s="54" t="str">
        <f t="shared" si="64"/>
        <v/>
      </c>
    </row>
    <row r="1961" spans="17:18" x14ac:dyDescent="0.3">
      <c r="Q1961" t="str">
        <f t="shared" si="65"/>
        <v/>
      </c>
      <c r="R1961" s="54" t="str">
        <f t="shared" si="64"/>
        <v/>
      </c>
    </row>
    <row r="1962" spans="17:18" x14ac:dyDescent="0.3">
      <c r="Q1962" t="str">
        <f t="shared" si="65"/>
        <v/>
      </c>
      <c r="R1962" s="54" t="str">
        <f t="shared" si="64"/>
        <v/>
      </c>
    </row>
    <row r="1963" spans="17:18" x14ac:dyDescent="0.3">
      <c r="Q1963" t="str">
        <f t="shared" si="65"/>
        <v/>
      </c>
      <c r="R1963" s="54" t="str">
        <f t="shared" si="64"/>
        <v/>
      </c>
    </row>
    <row r="1964" spans="17:18" x14ac:dyDescent="0.3">
      <c r="Q1964" t="str">
        <f t="shared" si="65"/>
        <v/>
      </c>
      <c r="R1964" s="54" t="str">
        <f t="shared" si="64"/>
        <v/>
      </c>
    </row>
    <row r="1965" spans="17:18" x14ac:dyDescent="0.3">
      <c r="Q1965" t="str">
        <f t="shared" si="65"/>
        <v/>
      </c>
      <c r="R1965" s="54" t="str">
        <f t="shared" si="64"/>
        <v/>
      </c>
    </row>
    <row r="1966" spans="17:18" x14ac:dyDescent="0.3">
      <c r="Q1966" t="str">
        <f t="shared" si="65"/>
        <v/>
      </c>
      <c r="R1966" s="54" t="str">
        <f t="shared" si="64"/>
        <v/>
      </c>
    </row>
    <row r="1967" spans="17:18" x14ac:dyDescent="0.3">
      <c r="Q1967" t="str">
        <f t="shared" si="65"/>
        <v/>
      </c>
      <c r="R1967" s="54" t="str">
        <f t="shared" si="64"/>
        <v/>
      </c>
    </row>
    <row r="1968" spans="17:18" x14ac:dyDescent="0.3">
      <c r="Q1968" t="str">
        <f t="shared" si="65"/>
        <v/>
      </c>
      <c r="R1968" s="54" t="str">
        <f t="shared" si="64"/>
        <v/>
      </c>
    </row>
    <row r="1969" spans="17:18" x14ac:dyDescent="0.3">
      <c r="Q1969" t="str">
        <f t="shared" si="65"/>
        <v/>
      </c>
      <c r="R1969" s="54" t="str">
        <f t="shared" si="64"/>
        <v/>
      </c>
    </row>
    <row r="1970" spans="17:18" x14ac:dyDescent="0.3">
      <c r="Q1970" t="str">
        <f t="shared" si="65"/>
        <v/>
      </c>
      <c r="R1970" s="54" t="str">
        <f t="shared" si="64"/>
        <v/>
      </c>
    </row>
    <row r="1971" spans="17:18" x14ac:dyDescent="0.3">
      <c r="Q1971" t="str">
        <f t="shared" si="65"/>
        <v/>
      </c>
      <c r="R1971" s="54" t="str">
        <f t="shared" si="64"/>
        <v/>
      </c>
    </row>
    <row r="1972" spans="17:18" x14ac:dyDescent="0.3">
      <c r="Q1972" t="str">
        <f t="shared" si="65"/>
        <v/>
      </c>
      <c r="R1972" s="54" t="str">
        <f t="shared" si="64"/>
        <v/>
      </c>
    </row>
    <row r="1973" spans="17:18" x14ac:dyDescent="0.3">
      <c r="Q1973" t="str">
        <f t="shared" si="65"/>
        <v/>
      </c>
      <c r="R1973" s="54" t="str">
        <f t="shared" si="64"/>
        <v/>
      </c>
    </row>
    <row r="1974" spans="17:18" x14ac:dyDescent="0.3">
      <c r="Q1974" t="str">
        <f t="shared" si="65"/>
        <v/>
      </c>
      <c r="R1974" s="54" t="str">
        <f t="shared" si="64"/>
        <v/>
      </c>
    </row>
    <row r="1975" spans="17:18" x14ac:dyDescent="0.3">
      <c r="Q1975" t="str">
        <f t="shared" si="65"/>
        <v/>
      </c>
      <c r="R1975" s="54" t="str">
        <f t="shared" si="64"/>
        <v/>
      </c>
    </row>
    <row r="1976" spans="17:18" x14ac:dyDescent="0.3">
      <c r="Q1976" t="str">
        <f t="shared" si="65"/>
        <v/>
      </c>
      <c r="R1976" s="54" t="str">
        <f t="shared" si="64"/>
        <v/>
      </c>
    </row>
    <row r="1977" spans="17:18" x14ac:dyDescent="0.3">
      <c r="Q1977" t="str">
        <f t="shared" si="65"/>
        <v/>
      </c>
      <c r="R1977" s="54" t="str">
        <f t="shared" si="64"/>
        <v/>
      </c>
    </row>
    <row r="1978" spans="17:18" x14ac:dyDescent="0.3">
      <c r="Q1978" t="str">
        <f t="shared" si="65"/>
        <v/>
      </c>
      <c r="R1978" s="54" t="str">
        <f t="shared" si="64"/>
        <v/>
      </c>
    </row>
    <row r="1979" spans="17:18" x14ac:dyDescent="0.3">
      <c r="Q1979" t="str">
        <f t="shared" si="65"/>
        <v/>
      </c>
      <c r="R1979" s="54" t="str">
        <f t="shared" si="64"/>
        <v/>
      </c>
    </row>
    <row r="1980" spans="17:18" x14ac:dyDescent="0.3">
      <c r="Q1980" t="str">
        <f t="shared" si="65"/>
        <v/>
      </c>
      <c r="R1980" s="54" t="str">
        <f t="shared" si="64"/>
        <v/>
      </c>
    </row>
    <row r="1981" spans="17:18" x14ac:dyDescent="0.3">
      <c r="Q1981" t="str">
        <f t="shared" si="65"/>
        <v/>
      </c>
      <c r="R1981" s="54" t="str">
        <f t="shared" si="64"/>
        <v/>
      </c>
    </row>
    <row r="1982" spans="17:18" x14ac:dyDescent="0.3">
      <c r="Q1982" t="str">
        <f t="shared" si="65"/>
        <v/>
      </c>
      <c r="R1982" s="54" t="str">
        <f t="shared" si="64"/>
        <v/>
      </c>
    </row>
    <row r="1983" spans="17:18" x14ac:dyDescent="0.3">
      <c r="Q1983" t="str">
        <f t="shared" si="65"/>
        <v/>
      </c>
      <c r="R1983" s="54" t="str">
        <f t="shared" si="64"/>
        <v/>
      </c>
    </row>
    <row r="1984" spans="17:18" x14ac:dyDescent="0.3">
      <c r="Q1984" t="str">
        <f t="shared" si="65"/>
        <v/>
      </c>
      <c r="R1984" s="54" t="str">
        <f t="shared" si="64"/>
        <v/>
      </c>
    </row>
    <row r="1985" spans="17:18" x14ac:dyDescent="0.3">
      <c r="Q1985" t="str">
        <f t="shared" si="65"/>
        <v/>
      </c>
      <c r="R1985" s="54" t="str">
        <f t="shared" si="64"/>
        <v/>
      </c>
    </row>
    <row r="1986" spans="17:18" x14ac:dyDescent="0.3">
      <c r="Q1986" t="str">
        <f t="shared" si="65"/>
        <v/>
      </c>
      <c r="R1986" s="54" t="str">
        <f t="shared" si="64"/>
        <v/>
      </c>
    </row>
    <row r="1987" spans="17:18" x14ac:dyDescent="0.3">
      <c r="Q1987" t="str">
        <f t="shared" si="65"/>
        <v/>
      </c>
      <c r="R1987" s="54" t="str">
        <f t="shared" ref="R1987:R2050" si="66">IF(F2001="","",IFERROR(IF(ISNUMBER(F2001),F2001,DATEVALUE(F2001)),""))</f>
        <v/>
      </c>
    </row>
    <row r="1988" spans="17:18" x14ac:dyDescent="0.3">
      <c r="Q1988" t="str">
        <f t="shared" si="65"/>
        <v/>
      </c>
      <c r="R1988" s="54" t="str">
        <f t="shared" si="66"/>
        <v/>
      </c>
    </row>
    <row r="1989" spans="17:18" x14ac:dyDescent="0.3">
      <c r="Q1989" t="str">
        <f t="shared" si="65"/>
        <v/>
      </c>
      <c r="R1989" s="54" t="str">
        <f t="shared" si="66"/>
        <v/>
      </c>
    </row>
    <row r="1990" spans="17:18" x14ac:dyDescent="0.3">
      <c r="Q1990" t="str">
        <f t="shared" si="65"/>
        <v/>
      </c>
      <c r="R1990" s="54" t="str">
        <f t="shared" si="66"/>
        <v/>
      </c>
    </row>
    <row r="1991" spans="17:18" x14ac:dyDescent="0.3">
      <c r="Q1991" t="str">
        <f t="shared" si="65"/>
        <v/>
      </c>
      <c r="R1991" s="54" t="str">
        <f t="shared" si="66"/>
        <v/>
      </c>
    </row>
    <row r="1992" spans="17:18" x14ac:dyDescent="0.3">
      <c r="Q1992" t="str">
        <f t="shared" si="65"/>
        <v/>
      </c>
      <c r="R1992" s="54" t="str">
        <f t="shared" si="66"/>
        <v/>
      </c>
    </row>
    <row r="1993" spans="17:18" x14ac:dyDescent="0.3">
      <c r="Q1993" t="str">
        <f t="shared" si="65"/>
        <v/>
      </c>
      <c r="R1993" s="54" t="str">
        <f t="shared" si="66"/>
        <v/>
      </c>
    </row>
    <row r="1994" spans="17:18" x14ac:dyDescent="0.3">
      <c r="Q1994" t="str">
        <f t="shared" si="65"/>
        <v/>
      </c>
      <c r="R1994" s="54" t="str">
        <f t="shared" si="66"/>
        <v/>
      </c>
    </row>
    <row r="1995" spans="17:18" x14ac:dyDescent="0.3">
      <c r="Q1995" t="str">
        <f t="shared" si="65"/>
        <v/>
      </c>
      <c r="R1995" s="54" t="str">
        <f t="shared" si="66"/>
        <v/>
      </c>
    </row>
    <row r="1996" spans="17:18" x14ac:dyDescent="0.3">
      <c r="Q1996" t="str">
        <f t="shared" si="65"/>
        <v/>
      </c>
      <c r="R1996" s="54" t="str">
        <f t="shared" si="66"/>
        <v/>
      </c>
    </row>
    <row r="1997" spans="17:18" x14ac:dyDescent="0.3">
      <c r="Q1997" t="str">
        <f t="shared" si="65"/>
        <v/>
      </c>
      <c r="R1997" s="54" t="str">
        <f t="shared" si="66"/>
        <v/>
      </c>
    </row>
    <row r="1998" spans="17:18" x14ac:dyDescent="0.3">
      <c r="Q1998" t="str">
        <f t="shared" si="65"/>
        <v/>
      </c>
      <c r="R1998" s="54" t="str">
        <f t="shared" si="66"/>
        <v/>
      </c>
    </row>
    <row r="1999" spans="17:18" x14ac:dyDescent="0.3">
      <c r="Q1999" t="str">
        <f t="shared" si="65"/>
        <v/>
      </c>
      <c r="R1999" s="54" t="str">
        <f t="shared" si="66"/>
        <v/>
      </c>
    </row>
    <row r="2000" spans="17:18" x14ac:dyDescent="0.3">
      <c r="Q2000" t="str">
        <f t="shared" si="65"/>
        <v/>
      </c>
      <c r="R2000" s="54" t="str">
        <f t="shared" si="66"/>
        <v/>
      </c>
    </row>
    <row r="2001" spans="17:18" x14ac:dyDescent="0.3">
      <c r="Q2001" t="str">
        <f t="shared" si="65"/>
        <v/>
      </c>
      <c r="R2001" s="54" t="str">
        <f t="shared" si="66"/>
        <v/>
      </c>
    </row>
    <row r="2002" spans="17:18" x14ac:dyDescent="0.3">
      <c r="Q2002" t="str">
        <f t="shared" si="65"/>
        <v/>
      </c>
      <c r="R2002" s="54" t="str">
        <f t="shared" si="66"/>
        <v/>
      </c>
    </row>
    <row r="2003" spans="17:18" x14ac:dyDescent="0.3">
      <c r="Q2003" t="str">
        <f t="shared" si="65"/>
        <v/>
      </c>
      <c r="R2003" s="54" t="str">
        <f t="shared" si="66"/>
        <v/>
      </c>
    </row>
    <row r="2004" spans="17:18" x14ac:dyDescent="0.3">
      <c r="Q2004" t="str">
        <f t="shared" si="65"/>
        <v/>
      </c>
      <c r="R2004" s="54" t="str">
        <f t="shared" si="66"/>
        <v/>
      </c>
    </row>
    <row r="2005" spans="17:18" x14ac:dyDescent="0.3">
      <c r="Q2005" t="str">
        <f t="shared" si="65"/>
        <v/>
      </c>
      <c r="R2005" s="54" t="str">
        <f t="shared" si="66"/>
        <v/>
      </c>
    </row>
    <row r="2006" spans="17:18" x14ac:dyDescent="0.3">
      <c r="Q2006" t="str">
        <f t="shared" si="65"/>
        <v/>
      </c>
      <c r="R2006" s="54" t="str">
        <f t="shared" si="66"/>
        <v/>
      </c>
    </row>
    <row r="2007" spans="17:18" x14ac:dyDescent="0.3">
      <c r="Q2007" t="str">
        <f t="shared" ref="Q2007:Q2070" si="67">IF(COUNTA(A2007:P2007)=0,"",IF(ISNUMBER(SEARCH("-AR-",E2021)),"Architectural",IF(ISNUMBER(SEARCH("-ST-",E2021)),"Structural",IF(ISNUMBER(SEARCH("-ME-",E2021)),"Mechanical",IF(ISNUMBER(SEARCH("-EL-",E2021)),"Electrical",IF(ISNUMBER(SEARCH("-GE-",E2021)),"General",IF(ISNUMBER(SEARCH("-AR-",D2021)),"Architectural",IF(ISNUMBER(SEARCH("-ST-",D2021)),"Structural",IF(ISNUMBER(SEARCH("-ME-",D2021)),"Mechanical",IF(ISNUMBER(SEARCH("-EL-",D2021)),"Electrical",IF(ISNUMBER(SEARCH("-GE-",D2021)),"General","Other")))))))))))</f>
        <v/>
      </c>
      <c r="R2007" s="54" t="str">
        <f t="shared" si="66"/>
        <v/>
      </c>
    </row>
    <row r="2008" spans="17:18" x14ac:dyDescent="0.3">
      <c r="Q2008" t="str">
        <f t="shared" si="67"/>
        <v/>
      </c>
      <c r="R2008" s="54" t="str">
        <f t="shared" si="66"/>
        <v/>
      </c>
    </row>
    <row r="2009" spans="17:18" x14ac:dyDescent="0.3">
      <c r="Q2009" t="str">
        <f t="shared" si="67"/>
        <v/>
      </c>
      <c r="R2009" s="54" t="str">
        <f t="shared" si="66"/>
        <v/>
      </c>
    </row>
    <row r="2010" spans="17:18" x14ac:dyDescent="0.3">
      <c r="Q2010" t="str">
        <f t="shared" si="67"/>
        <v/>
      </c>
      <c r="R2010" s="54" t="str">
        <f t="shared" si="66"/>
        <v/>
      </c>
    </row>
    <row r="2011" spans="17:18" x14ac:dyDescent="0.3">
      <c r="Q2011" t="str">
        <f t="shared" si="67"/>
        <v/>
      </c>
      <c r="R2011" s="54" t="str">
        <f t="shared" si="66"/>
        <v/>
      </c>
    </row>
    <row r="2012" spans="17:18" x14ac:dyDescent="0.3">
      <c r="Q2012" t="str">
        <f t="shared" si="67"/>
        <v/>
      </c>
      <c r="R2012" s="54" t="str">
        <f t="shared" si="66"/>
        <v/>
      </c>
    </row>
    <row r="2013" spans="17:18" x14ac:dyDescent="0.3">
      <c r="Q2013" t="str">
        <f t="shared" si="67"/>
        <v/>
      </c>
      <c r="R2013" s="54" t="str">
        <f t="shared" si="66"/>
        <v/>
      </c>
    </row>
    <row r="2014" spans="17:18" x14ac:dyDescent="0.3">
      <c r="Q2014" t="str">
        <f t="shared" si="67"/>
        <v/>
      </c>
      <c r="R2014" s="54" t="str">
        <f t="shared" si="66"/>
        <v/>
      </c>
    </row>
    <row r="2015" spans="17:18" x14ac:dyDescent="0.3">
      <c r="Q2015" t="str">
        <f t="shared" si="67"/>
        <v/>
      </c>
      <c r="R2015" s="54" t="str">
        <f t="shared" si="66"/>
        <v/>
      </c>
    </row>
    <row r="2016" spans="17:18" x14ac:dyDescent="0.3">
      <c r="Q2016" t="str">
        <f t="shared" si="67"/>
        <v/>
      </c>
      <c r="R2016" s="54" t="str">
        <f t="shared" si="66"/>
        <v/>
      </c>
    </row>
    <row r="2017" spans="17:18" x14ac:dyDescent="0.3">
      <c r="Q2017" t="str">
        <f t="shared" si="67"/>
        <v/>
      </c>
      <c r="R2017" s="54" t="str">
        <f t="shared" si="66"/>
        <v/>
      </c>
    </row>
    <row r="2018" spans="17:18" x14ac:dyDescent="0.3">
      <c r="Q2018" t="str">
        <f t="shared" si="67"/>
        <v/>
      </c>
      <c r="R2018" s="54" t="str">
        <f t="shared" si="66"/>
        <v/>
      </c>
    </row>
    <row r="2019" spans="17:18" x14ac:dyDescent="0.3">
      <c r="Q2019" t="str">
        <f t="shared" si="67"/>
        <v/>
      </c>
      <c r="R2019" s="54" t="str">
        <f t="shared" si="66"/>
        <v/>
      </c>
    </row>
    <row r="2020" spans="17:18" x14ac:dyDescent="0.3">
      <c r="Q2020" t="str">
        <f t="shared" si="67"/>
        <v/>
      </c>
      <c r="R2020" s="54" t="str">
        <f t="shared" si="66"/>
        <v/>
      </c>
    </row>
    <row r="2021" spans="17:18" x14ac:dyDescent="0.3">
      <c r="Q2021" t="str">
        <f t="shared" si="67"/>
        <v/>
      </c>
      <c r="R2021" s="54" t="str">
        <f t="shared" si="66"/>
        <v/>
      </c>
    </row>
    <row r="2022" spans="17:18" x14ac:dyDescent="0.3">
      <c r="Q2022" t="str">
        <f t="shared" si="67"/>
        <v/>
      </c>
      <c r="R2022" s="54" t="str">
        <f t="shared" si="66"/>
        <v/>
      </c>
    </row>
    <row r="2023" spans="17:18" x14ac:dyDescent="0.3">
      <c r="Q2023" t="str">
        <f t="shared" si="67"/>
        <v/>
      </c>
      <c r="R2023" s="54" t="str">
        <f t="shared" si="66"/>
        <v/>
      </c>
    </row>
    <row r="2024" spans="17:18" x14ac:dyDescent="0.3">
      <c r="Q2024" t="str">
        <f t="shared" si="67"/>
        <v/>
      </c>
      <c r="R2024" s="54" t="str">
        <f t="shared" si="66"/>
        <v/>
      </c>
    </row>
    <row r="2025" spans="17:18" x14ac:dyDescent="0.3">
      <c r="Q2025" t="str">
        <f t="shared" si="67"/>
        <v/>
      </c>
      <c r="R2025" s="54" t="str">
        <f t="shared" si="66"/>
        <v/>
      </c>
    </row>
    <row r="2026" spans="17:18" x14ac:dyDescent="0.3">
      <c r="Q2026" t="str">
        <f t="shared" si="67"/>
        <v/>
      </c>
      <c r="R2026" s="54" t="str">
        <f t="shared" si="66"/>
        <v/>
      </c>
    </row>
    <row r="2027" spans="17:18" x14ac:dyDescent="0.3">
      <c r="Q2027" t="str">
        <f t="shared" si="67"/>
        <v/>
      </c>
      <c r="R2027" s="54" t="str">
        <f t="shared" si="66"/>
        <v/>
      </c>
    </row>
    <row r="2028" spans="17:18" x14ac:dyDescent="0.3">
      <c r="Q2028" t="str">
        <f t="shared" si="67"/>
        <v/>
      </c>
      <c r="R2028" s="54" t="str">
        <f t="shared" si="66"/>
        <v/>
      </c>
    </row>
    <row r="2029" spans="17:18" x14ac:dyDescent="0.3">
      <c r="Q2029" t="str">
        <f t="shared" si="67"/>
        <v/>
      </c>
      <c r="R2029" s="54" t="str">
        <f t="shared" si="66"/>
        <v/>
      </c>
    </row>
    <row r="2030" spans="17:18" x14ac:dyDescent="0.3">
      <c r="Q2030" t="str">
        <f t="shared" si="67"/>
        <v/>
      </c>
      <c r="R2030" s="54" t="str">
        <f t="shared" si="66"/>
        <v/>
      </c>
    </row>
    <row r="2031" spans="17:18" x14ac:dyDescent="0.3">
      <c r="Q2031" t="str">
        <f t="shared" si="67"/>
        <v/>
      </c>
      <c r="R2031" s="54" t="str">
        <f t="shared" si="66"/>
        <v/>
      </c>
    </row>
    <row r="2032" spans="17:18" x14ac:dyDescent="0.3">
      <c r="Q2032" t="str">
        <f t="shared" si="67"/>
        <v/>
      </c>
      <c r="R2032" s="54" t="str">
        <f t="shared" si="66"/>
        <v/>
      </c>
    </row>
    <row r="2033" spans="17:18" x14ac:dyDescent="0.3">
      <c r="Q2033" t="str">
        <f t="shared" si="67"/>
        <v/>
      </c>
      <c r="R2033" s="54" t="str">
        <f t="shared" si="66"/>
        <v/>
      </c>
    </row>
    <row r="2034" spans="17:18" x14ac:dyDescent="0.3">
      <c r="Q2034" t="str">
        <f t="shared" si="67"/>
        <v/>
      </c>
      <c r="R2034" s="54" t="str">
        <f t="shared" si="66"/>
        <v/>
      </c>
    </row>
    <row r="2035" spans="17:18" x14ac:dyDescent="0.3">
      <c r="Q2035" t="str">
        <f t="shared" si="67"/>
        <v/>
      </c>
      <c r="R2035" s="54" t="str">
        <f t="shared" si="66"/>
        <v/>
      </c>
    </row>
    <row r="2036" spans="17:18" x14ac:dyDescent="0.3">
      <c r="Q2036" t="str">
        <f t="shared" si="67"/>
        <v/>
      </c>
      <c r="R2036" s="54" t="str">
        <f t="shared" si="66"/>
        <v/>
      </c>
    </row>
    <row r="2037" spans="17:18" x14ac:dyDescent="0.3">
      <c r="Q2037" t="str">
        <f t="shared" si="67"/>
        <v/>
      </c>
      <c r="R2037" s="54" t="str">
        <f t="shared" si="66"/>
        <v/>
      </c>
    </row>
    <row r="2038" spans="17:18" x14ac:dyDescent="0.3">
      <c r="Q2038" t="str">
        <f t="shared" si="67"/>
        <v/>
      </c>
      <c r="R2038" s="54" t="str">
        <f t="shared" si="66"/>
        <v/>
      </c>
    </row>
    <row r="2039" spans="17:18" x14ac:dyDescent="0.3">
      <c r="Q2039" t="str">
        <f t="shared" si="67"/>
        <v/>
      </c>
      <c r="R2039" s="54" t="str">
        <f t="shared" si="66"/>
        <v/>
      </c>
    </row>
    <row r="2040" spans="17:18" x14ac:dyDescent="0.3">
      <c r="Q2040" t="str">
        <f t="shared" si="67"/>
        <v/>
      </c>
      <c r="R2040" s="54" t="str">
        <f t="shared" si="66"/>
        <v/>
      </c>
    </row>
    <row r="2041" spans="17:18" x14ac:dyDescent="0.3">
      <c r="Q2041" t="str">
        <f t="shared" si="67"/>
        <v/>
      </c>
      <c r="R2041" s="54" t="str">
        <f t="shared" si="66"/>
        <v/>
      </c>
    </row>
    <row r="2042" spans="17:18" x14ac:dyDescent="0.3">
      <c r="Q2042" t="str">
        <f t="shared" si="67"/>
        <v/>
      </c>
      <c r="R2042" s="54" t="str">
        <f t="shared" si="66"/>
        <v/>
      </c>
    </row>
    <row r="2043" spans="17:18" x14ac:dyDescent="0.3">
      <c r="Q2043" t="str">
        <f t="shared" si="67"/>
        <v/>
      </c>
      <c r="R2043" s="54" t="str">
        <f t="shared" si="66"/>
        <v/>
      </c>
    </row>
    <row r="2044" spans="17:18" x14ac:dyDescent="0.3">
      <c r="Q2044" t="str">
        <f t="shared" si="67"/>
        <v/>
      </c>
      <c r="R2044" s="54" t="str">
        <f t="shared" si="66"/>
        <v/>
      </c>
    </row>
    <row r="2045" spans="17:18" x14ac:dyDescent="0.3">
      <c r="Q2045" t="str">
        <f t="shared" si="67"/>
        <v/>
      </c>
      <c r="R2045" s="54" t="str">
        <f t="shared" si="66"/>
        <v/>
      </c>
    </row>
    <row r="2046" spans="17:18" x14ac:dyDescent="0.3">
      <c r="Q2046" t="str">
        <f t="shared" si="67"/>
        <v/>
      </c>
      <c r="R2046" s="54" t="str">
        <f t="shared" si="66"/>
        <v/>
      </c>
    </row>
    <row r="2047" spans="17:18" x14ac:dyDescent="0.3">
      <c r="Q2047" t="str">
        <f t="shared" si="67"/>
        <v/>
      </c>
      <c r="R2047" s="54" t="str">
        <f t="shared" si="66"/>
        <v/>
      </c>
    </row>
    <row r="2048" spans="17:18" x14ac:dyDescent="0.3">
      <c r="Q2048" t="str">
        <f t="shared" si="67"/>
        <v/>
      </c>
      <c r="R2048" s="54" t="str">
        <f t="shared" si="66"/>
        <v/>
      </c>
    </row>
    <row r="2049" spans="17:18" x14ac:dyDescent="0.3">
      <c r="Q2049" t="str">
        <f t="shared" si="67"/>
        <v/>
      </c>
      <c r="R2049" s="54" t="str">
        <f t="shared" si="66"/>
        <v/>
      </c>
    </row>
    <row r="2050" spans="17:18" x14ac:dyDescent="0.3">
      <c r="Q2050" t="str">
        <f t="shared" si="67"/>
        <v/>
      </c>
      <c r="R2050" s="54" t="str">
        <f t="shared" si="66"/>
        <v/>
      </c>
    </row>
    <row r="2051" spans="17:18" x14ac:dyDescent="0.3">
      <c r="Q2051" t="str">
        <f t="shared" si="67"/>
        <v/>
      </c>
      <c r="R2051" s="54" t="str">
        <f t="shared" ref="R2051:R2114" si="68">IF(F2065="","",IFERROR(IF(ISNUMBER(F2065),F2065,DATEVALUE(F2065)),""))</f>
        <v/>
      </c>
    </row>
    <row r="2052" spans="17:18" x14ac:dyDescent="0.3">
      <c r="Q2052" t="str">
        <f t="shared" si="67"/>
        <v/>
      </c>
      <c r="R2052" s="54" t="str">
        <f t="shared" si="68"/>
        <v/>
      </c>
    </row>
    <row r="2053" spans="17:18" x14ac:dyDescent="0.3">
      <c r="Q2053" t="str">
        <f t="shared" si="67"/>
        <v/>
      </c>
      <c r="R2053" s="54" t="str">
        <f t="shared" si="68"/>
        <v/>
      </c>
    </row>
    <row r="2054" spans="17:18" x14ac:dyDescent="0.3">
      <c r="Q2054" t="str">
        <f t="shared" si="67"/>
        <v/>
      </c>
      <c r="R2054" s="54" t="str">
        <f t="shared" si="68"/>
        <v/>
      </c>
    </row>
    <row r="2055" spans="17:18" x14ac:dyDescent="0.3">
      <c r="Q2055" t="str">
        <f t="shared" si="67"/>
        <v/>
      </c>
      <c r="R2055" s="54" t="str">
        <f t="shared" si="68"/>
        <v/>
      </c>
    </row>
    <row r="2056" spans="17:18" x14ac:dyDescent="0.3">
      <c r="Q2056" t="str">
        <f t="shared" si="67"/>
        <v/>
      </c>
      <c r="R2056" s="54" t="str">
        <f t="shared" si="68"/>
        <v/>
      </c>
    </row>
    <row r="2057" spans="17:18" x14ac:dyDescent="0.3">
      <c r="Q2057" t="str">
        <f t="shared" si="67"/>
        <v/>
      </c>
      <c r="R2057" s="54" t="str">
        <f t="shared" si="68"/>
        <v/>
      </c>
    </row>
    <row r="2058" spans="17:18" x14ac:dyDescent="0.3">
      <c r="Q2058" t="str">
        <f t="shared" si="67"/>
        <v/>
      </c>
      <c r="R2058" s="54" t="str">
        <f t="shared" si="68"/>
        <v/>
      </c>
    </row>
    <row r="2059" spans="17:18" x14ac:dyDescent="0.3">
      <c r="Q2059" t="str">
        <f t="shared" si="67"/>
        <v/>
      </c>
      <c r="R2059" s="54" t="str">
        <f t="shared" si="68"/>
        <v/>
      </c>
    </row>
    <row r="2060" spans="17:18" x14ac:dyDescent="0.3">
      <c r="Q2060" t="str">
        <f t="shared" si="67"/>
        <v/>
      </c>
      <c r="R2060" s="54" t="str">
        <f t="shared" si="68"/>
        <v/>
      </c>
    </row>
    <row r="2061" spans="17:18" x14ac:dyDescent="0.3">
      <c r="Q2061" t="str">
        <f t="shared" si="67"/>
        <v/>
      </c>
      <c r="R2061" s="54" t="str">
        <f t="shared" si="68"/>
        <v/>
      </c>
    </row>
    <row r="2062" spans="17:18" x14ac:dyDescent="0.3">
      <c r="Q2062" t="str">
        <f t="shared" si="67"/>
        <v/>
      </c>
      <c r="R2062" s="54" t="str">
        <f t="shared" si="68"/>
        <v/>
      </c>
    </row>
    <row r="2063" spans="17:18" x14ac:dyDescent="0.3">
      <c r="Q2063" t="str">
        <f t="shared" si="67"/>
        <v/>
      </c>
      <c r="R2063" s="54" t="str">
        <f t="shared" si="68"/>
        <v/>
      </c>
    </row>
    <row r="2064" spans="17:18" x14ac:dyDescent="0.3">
      <c r="Q2064" t="str">
        <f t="shared" si="67"/>
        <v/>
      </c>
      <c r="R2064" s="54" t="str">
        <f t="shared" si="68"/>
        <v/>
      </c>
    </row>
    <row r="2065" spans="17:18" x14ac:dyDescent="0.3">
      <c r="Q2065" t="str">
        <f t="shared" si="67"/>
        <v/>
      </c>
      <c r="R2065" s="54" t="str">
        <f t="shared" si="68"/>
        <v/>
      </c>
    </row>
    <row r="2066" spans="17:18" x14ac:dyDescent="0.3">
      <c r="Q2066" t="str">
        <f t="shared" si="67"/>
        <v/>
      </c>
      <c r="R2066" s="54" t="str">
        <f t="shared" si="68"/>
        <v/>
      </c>
    </row>
    <row r="2067" spans="17:18" x14ac:dyDescent="0.3">
      <c r="Q2067" t="str">
        <f t="shared" si="67"/>
        <v/>
      </c>
      <c r="R2067" s="54" t="str">
        <f t="shared" si="68"/>
        <v/>
      </c>
    </row>
    <row r="2068" spans="17:18" x14ac:dyDescent="0.3">
      <c r="Q2068" t="str">
        <f t="shared" si="67"/>
        <v/>
      </c>
      <c r="R2068" s="54" t="str">
        <f t="shared" si="68"/>
        <v/>
      </c>
    </row>
    <row r="2069" spans="17:18" x14ac:dyDescent="0.3">
      <c r="Q2069" t="str">
        <f t="shared" si="67"/>
        <v/>
      </c>
      <c r="R2069" s="54" t="str">
        <f t="shared" si="68"/>
        <v/>
      </c>
    </row>
    <row r="2070" spans="17:18" x14ac:dyDescent="0.3">
      <c r="Q2070" t="str">
        <f t="shared" si="67"/>
        <v/>
      </c>
      <c r="R2070" s="54" t="str">
        <f t="shared" si="68"/>
        <v/>
      </c>
    </row>
    <row r="2071" spans="17:18" x14ac:dyDescent="0.3">
      <c r="Q2071" t="str">
        <f t="shared" ref="Q2071:Q2134" si="69">IF(COUNTA(A2071:P2071)=0,"",IF(ISNUMBER(SEARCH("-AR-",E2085)),"Architectural",IF(ISNUMBER(SEARCH("-ST-",E2085)),"Structural",IF(ISNUMBER(SEARCH("-ME-",E2085)),"Mechanical",IF(ISNUMBER(SEARCH("-EL-",E2085)),"Electrical",IF(ISNUMBER(SEARCH("-GE-",E2085)),"General",IF(ISNUMBER(SEARCH("-AR-",D2085)),"Architectural",IF(ISNUMBER(SEARCH("-ST-",D2085)),"Structural",IF(ISNUMBER(SEARCH("-ME-",D2085)),"Mechanical",IF(ISNUMBER(SEARCH("-EL-",D2085)),"Electrical",IF(ISNUMBER(SEARCH("-GE-",D2085)),"General","Other")))))))))))</f>
        <v/>
      </c>
      <c r="R2071" s="54" t="str">
        <f t="shared" si="68"/>
        <v/>
      </c>
    </row>
    <row r="2072" spans="17:18" x14ac:dyDescent="0.3">
      <c r="Q2072" t="str">
        <f t="shared" si="69"/>
        <v/>
      </c>
      <c r="R2072" s="54" t="str">
        <f t="shared" si="68"/>
        <v/>
      </c>
    </row>
    <row r="2073" spans="17:18" x14ac:dyDescent="0.3">
      <c r="Q2073" t="str">
        <f t="shared" si="69"/>
        <v/>
      </c>
      <c r="R2073" s="54" t="str">
        <f t="shared" si="68"/>
        <v/>
      </c>
    </row>
    <row r="2074" spans="17:18" x14ac:dyDescent="0.3">
      <c r="Q2074" t="str">
        <f t="shared" si="69"/>
        <v/>
      </c>
      <c r="R2074" s="54" t="str">
        <f t="shared" si="68"/>
        <v/>
      </c>
    </row>
    <row r="2075" spans="17:18" x14ac:dyDescent="0.3">
      <c r="Q2075" t="str">
        <f t="shared" si="69"/>
        <v/>
      </c>
      <c r="R2075" s="54" t="str">
        <f t="shared" si="68"/>
        <v/>
      </c>
    </row>
    <row r="2076" spans="17:18" x14ac:dyDescent="0.3">
      <c r="Q2076" t="str">
        <f t="shared" si="69"/>
        <v/>
      </c>
      <c r="R2076" s="54" t="str">
        <f t="shared" si="68"/>
        <v/>
      </c>
    </row>
    <row r="2077" spans="17:18" x14ac:dyDescent="0.3">
      <c r="Q2077" t="str">
        <f t="shared" si="69"/>
        <v/>
      </c>
      <c r="R2077" s="54" t="str">
        <f t="shared" si="68"/>
        <v/>
      </c>
    </row>
    <row r="2078" spans="17:18" x14ac:dyDescent="0.3">
      <c r="Q2078" t="str">
        <f t="shared" si="69"/>
        <v/>
      </c>
      <c r="R2078" s="54" t="str">
        <f t="shared" si="68"/>
        <v/>
      </c>
    </row>
    <row r="2079" spans="17:18" x14ac:dyDescent="0.3">
      <c r="Q2079" t="str">
        <f t="shared" si="69"/>
        <v/>
      </c>
      <c r="R2079" s="54" t="str">
        <f t="shared" si="68"/>
        <v/>
      </c>
    </row>
    <row r="2080" spans="17:18" x14ac:dyDescent="0.3">
      <c r="Q2080" t="str">
        <f t="shared" si="69"/>
        <v/>
      </c>
      <c r="R2080" s="54" t="str">
        <f t="shared" si="68"/>
        <v/>
      </c>
    </row>
    <row r="2081" spans="17:18" x14ac:dyDescent="0.3">
      <c r="Q2081" t="str">
        <f t="shared" si="69"/>
        <v/>
      </c>
      <c r="R2081" s="54" t="str">
        <f t="shared" si="68"/>
        <v/>
      </c>
    </row>
    <row r="2082" spans="17:18" x14ac:dyDescent="0.3">
      <c r="Q2082" t="str">
        <f t="shared" si="69"/>
        <v/>
      </c>
      <c r="R2082" s="54" t="str">
        <f t="shared" si="68"/>
        <v/>
      </c>
    </row>
    <row r="2083" spans="17:18" x14ac:dyDescent="0.3">
      <c r="Q2083" t="str">
        <f t="shared" si="69"/>
        <v/>
      </c>
      <c r="R2083" s="54" t="str">
        <f t="shared" si="68"/>
        <v/>
      </c>
    </row>
    <row r="2084" spans="17:18" x14ac:dyDescent="0.3">
      <c r="Q2084" t="str">
        <f t="shared" si="69"/>
        <v/>
      </c>
      <c r="R2084" s="54" t="str">
        <f t="shared" si="68"/>
        <v/>
      </c>
    </row>
    <row r="2085" spans="17:18" x14ac:dyDescent="0.3">
      <c r="Q2085" t="str">
        <f t="shared" si="69"/>
        <v/>
      </c>
      <c r="R2085" s="54" t="str">
        <f t="shared" si="68"/>
        <v/>
      </c>
    </row>
    <row r="2086" spans="17:18" x14ac:dyDescent="0.3">
      <c r="Q2086" t="str">
        <f t="shared" si="69"/>
        <v/>
      </c>
      <c r="R2086" s="54" t="str">
        <f t="shared" si="68"/>
        <v/>
      </c>
    </row>
    <row r="2087" spans="17:18" x14ac:dyDescent="0.3">
      <c r="Q2087" t="str">
        <f t="shared" si="69"/>
        <v/>
      </c>
      <c r="R2087" s="54" t="str">
        <f t="shared" si="68"/>
        <v/>
      </c>
    </row>
    <row r="2088" spans="17:18" x14ac:dyDescent="0.3">
      <c r="Q2088" t="str">
        <f t="shared" si="69"/>
        <v/>
      </c>
      <c r="R2088" s="54" t="str">
        <f t="shared" si="68"/>
        <v/>
      </c>
    </row>
    <row r="2089" spans="17:18" x14ac:dyDescent="0.3">
      <c r="Q2089" t="str">
        <f t="shared" si="69"/>
        <v/>
      </c>
      <c r="R2089" s="54" t="str">
        <f t="shared" si="68"/>
        <v/>
      </c>
    </row>
    <row r="2090" spans="17:18" x14ac:dyDescent="0.3">
      <c r="Q2090" t="str">
        <f t="shared" si="69"/>
        <v/>
      </c>
      <c r="R2090" s="54" t="str">
        <f t="shared" si="68"/>
        <v/>
      </c>
    </row>
    <row r="2091" spans="17:18" x14ac:dyDescent="0.3">
      <c r="Q2091" t="str">
        <f t="shared" si="69"/>
        <v/>
      </c>
      <c r="R2091" s="54" t="str">
        <f t="shared" si="68"/>
        <v/>
      </c>
    </row>
    <row r="2092" spans="17:18" x14ac:dyDescent="0.3">
      <c r="Q2092" t="str">
        <f t="shared" si="69"/>
        <v/>
      </c>
      <c r="R2092" s="54" t="str">
        <f t="shared" si="68"/>
        <v/>
      </c>
    </row>
    <row r="2093" spans="17:18" x14ac:dyDescent="0.3">
      <c r="Q2093" t="str">
        <f t="shared" si="69"/>
        <v/>
      </c>
      <c r="R2093" s="54" t="str">
        <f t="shared" si="68"/>
        <v/>
      </c>
    </row>
    <row r="2094" spans="17:18" x14ac:dyDescent="0.3">
      <c r="Q2094" t="str">
        <f t="shared" si="69"/>
        <v/>
      </c>
      <c r="R2094" s="54" t="str">
        <f t="shared" si="68"/>
        <v/>
      </c>
    </row>
    <row r="2095" spans="17:18" x14ac:dyDescent="0.3">
      <c r="Q2095" t="str">
        <f t="shared" si="69"/>
        <v/>
      </c>
      <c r="R2095" s="54" t="str">
        <f t="shared" si="68"/>
        <v/>
      </c>
    </row>
    <row r="2096" spans="17:18" x14ac:dyDescent="0.3">
      <c r="Q2096" t="str">
        <f t="shared" si="69"/>
        <v/>
      </c>
      <c r="R2096" s="54" t="str">
        <f t="shared" si="68"/>
        <v/>
      </c>
    </row>
    <row r="2097" spans="17:18" x14ac:dyDescent="0.3">
      <c r="Q2097" t="str">
        <f t="shared" si="69"/>
        <v/>
      </c>
      <c r="R2097" s="54" t="str">
        <f t="shared" si="68"/>
        <v/>
      </c>
    </row>
    <row r="2098" spans="17:18" x14ac:dyDescent="0.3">
      <c r="Q2098" t="str">
        <f t="shared" si="69"/>
        <v/>
      </c>
      <c r="R2098" s="54" t="str">
        <f t="shared" si="68"/>
        <v/>
      </c>
    </row>
    <row r="2099" spans="17:18" x14ac:dyDescent="0.3">
      <c r="Q2099" t="str">
        <f t="shared" si="69"/>
        <v/>
      </c>
      <c r="R2099" s="54" t="str">
        <f t="shared" si="68"/>
        <v/>
      </c>
    </row>
    <row r="2100" spans="17:18" x14ac:dyDescent="0.3">
      <c r="Q2100" t="str">
        <f t="shared" si="69"/>
        <v/>
      </c>
      <c r="R2100" s="54" t="str">
        <f t="shared" si="68"/>
        <v/>
      </c>
    </row>
    <row r="2101" spans="17:18" x14ac:dyDescent="0.3">
      <c r="Q2101" t="str">
        <f t="shared" si="69"/>
        <v/>
      </c>
      <c r="R2101" s="54" t="str">
        <f t="shared" si="68"/>
        <v/>
      </c>
    </row>
    <row r="2102" spans="17:18" x14ac:dyDescent="0.3">
      <c r="Q2102" t="str">
        <f t="shared" si="69"/>
        <v/>
      </c>
      <c r="R2102" s="54" t="str">
        <f t="shared" si="68"/>
        <v/>
      </c>
    </row>
    <row r="2103" spans="17:18" x14ac:dyDescent="0.3">
      <c r="Q2103" t="str">
        <f t="shared" si="69"/>
        <v/>
      </c>
      <c r="R2103" s="54" t="str">
        <f t="shared" si="68"/>
        <v/>
      </c>
    </row>
    <row r="2104" spans="17:18" x14ac:dyDescent="0.3">
      <c r="Q2104" t="str">
        <f t="shared" si="69"/>
        <v/>
      </c>
      <c r="R2104" s="54" t="str">
        <f t="shared" si="68"/>
        <v/>
      </c>
    </row>
    <row r="2105" spans="17:18" x14ac:dyDescent="0.3">
      <c r="Q2105" t="str">
        <f t="shared" si="69"/>
        <v/>
      </c>
      <c r="R2105" s="54" t="str">
        <f t="shared" si="68"/>
        <v/>
      </c>
    </row>
    <row r="2106" spans="17:18" x14ac:dyDescent="0.3">
      <c r="Q2106" t="str">
        <f t="shared" si="69"/>
        <v/>
      </c>
      <c r="R2106" s="54" t="str">
        <f t="shared" si="68"/>
        <v/>
      </c>
    </row>
    <row r="2107" spans="17:18" x14ac:dyDescent="0.3">
      <c r="Q2107" t="str">
        <f t="shared" si="69"/>
        <v/>
      </c>
      <c r="R2107" s="54" t="str">
        <f t="shared" si="68"/>
        <v/>
      </c>
    </row>
    <row r="2108" spans="17:18" x14ac:dyDescent="0.3">
      <c r="Q2108" t="str">
        <f t="shared" si="69"/>
        <v/>
      </c>
      <c r="R2108" s="54" t="str">
        <f t="shared" si="68"/>
        <v/>
      </c>
    </row>
    <row r="2109" spans="17:18" x14ac:dyDescent="0.3">
      <c r="Q2109" t="str">
        <f t="shared" si="69"/>
        <v/>
      </c>
      <c r="R2109" s="54" t="str">
        <f t="shared" si="68"/>
        <v/>
      </c>
    </row>
    <row r="2110" spans="17:18" x14ac:dyDescent="0.3">
      <c r="Q2110" t="str">
        <f t="shared" si="69"/>
        <v/>
      </c>
      <c r="R2110" s="54" t="str">
        <f t="shared" si="68"/>
        <v/>
      </c>
    </row>
    <row r="2111" spans="17:18" x14ac:dyDescent="0.3">
      <c r="Q2111" t="str">
        <f t="shared" si="69"/>
        <v/>
      </c>
      <c r="R2111" s="54" t="str">
        <f t="shared" si="68"/>
        <v/>
      </c>
    </row>
    <row r="2112" spans="17:18" x14ac:dyDescent="0.3">
      <c r="Q2112" t="str">
        <f t="shared" si="69"/>
        <v/>
      </c>
      <c r="R2112" s="54" t="str">
        <f t="shared" si="68"/>
        <v/>
      </c>
    </row>
    <row r="2113" spans="17:18" x14ac:dyDescent="0.3">
      <c r="Q2113" t="str">
        <f t="shared" si="69"/>
        <v/>
      </c>
      <c r="R2113" s="54" t="str">
        <f t="shared" si="68"/>
        <v/>
      </c>
    </row>
    <row r="2114" spans="17:18" x14ac:dyDescent="0.3">
      <c r="Q2114" t="str">
        <f t="shared" si="69"/>
        <v/>
      </c>
      <c r="R2114" s="54" t="str">
        <f t="shared" si="68"/>
        <v/>
      </c>
    </row>
    <row r="2115" spans="17:18" x14ac:dyDescent="0.3">
      <c r="Q2115" t="str">
        <f t="shared" si="69"/>
        <v/>
      </c>
      <c r="R2115" s="54" t="str">
        <f t="shared" ref="R2115:R2178" si="70">IF(F2129="","",IFERROR(IF(ISNUMBER(F2129),F2129,DATEVALUE(F2129)),""))</f>
        <v/>
      </c>
    </row>
    <row r="2116" spans="17:18" x14ac:dyDescent="0.3">
      <c r="Q2116" t="str">
        <f t="shared" si="69"/>
        <v/>
      </c>
      <c r="R2116" s="54" t="str">
        <f t="shared" si="70"/>
        <v/>
      </c>
    </row>
    <row r="2117" spans="17:18" x14ac:dyDescent="0.3">
      <c r="Q2117" t="str">
        <f t="shared" si="69"/>
        <v/>
      </c>
      <c r="R2117" s="54" t="str">
        <f t="shared" si="70"/>
        <v/>
      </c>
    </row>
    <row r="2118" spans="17:18" x14ac:dyDescent="0.3">
      <c r="Q2118" t="str">
        <f t="shared" si="69"/>
        <v/>
      </c>
      <c r="R2118" s="54" t="str">
        <f t="shared" si="70"/>
        <v/>
      </c>
    </row>
    <row r="2119" spans="17:18" x14ac:dyDescent="0.3">
      <c r="Q2119" t="str">
        <f t="shared" si="69"/>
        <v/>
      </c>
      <c r="R2119" s="54" t="str">
        <f t="shared" si="70"/>
        <v/>
      </c>
    </row>
    <row r="2120" spans="17:18" x14ac:dyDescent="0.3">
      <c r="Q2120" t="str">
        <f t="shared" si="69"/>
        <v/>
      </c>
      <c r="R2120" s="54" t="str">
        <f t="shared" si="70"/>
        <v/>
      </c>
    </row>
    <row r="2121" spans="17:18" x14ac:dyDescent="0.3">
      <c r="Q2121" t="str">
        <f t="shared" si="69"/>
        <v/>
      </c>
      <c r="R2121" s="54" t="str">
        <f t="shared" si="70"/>
        <v/>
      </c>
    </row>
    <row r="2122" spans="17:18" x14ac:dyDescent="0.3">
      <c r="Q2122" t="str">
        <f t="shared" si="69"/>
        <v/>
      </c>
      <c r="R2122" s="54" t="str">
        <f t="shared" si="70"/>
        <v/>
      </c>
    </row>
    <row r="2123" spans="17:18" x14ac:dyDescent="0.3">
      <c r="Q2123" t="str">
        <f t="shared" si="69"/>
        <v/>
      </c>
      <c r="R2123" s="54" t="str">
        <f t="shared" si="70"/>
        <v/>
      </c>
    </row>
    <row r="2124" spans="17:18" x14ac:dyDescent="0.3">
      <c r="Q2124" t="str">
        <f t="shared" si="69"/>
        <v/>
      </c>
      <c r="R2124" s="54" t="str">
        <f t="shared" si="70"/>
        <v/>
      </c>
    </row>
    <row r="2125" spans="17:18" x14ac:dyDescent="0.3">
      <c r="Q2125" t="str">
        <f t="shared" si="69"/>
        <v/>
      </c>
      <c r="R2125" s="54" t="str">
        <f t="shared" si="70"/>
        <v/>
      </c>
    </row>
    <row r="2126" spans="17:18" x14ac:dyDescent="0.3">
      <c r="Q2126" t="str">
        <f t="shared" si="69"/>
        <v/>
      </c>
      <c r="R2126" s="54" t="str">
        <f t="shared" si="70"/>
        <v/>
      </c>
    </row>
    <row r="2127" spans="17:18" x14ac:dyDescent="0.3">
      <c r="Q2127" t="str">
        <f t="shared" si="69"/>
        <v/>
      </c>
      <c r="R2127" s="54" t="str">
        <f t="shared" si="70"/>
        <v/>
      </c>
    </row>
    <row r="2128" spans="17:18" x14ac:dyDescent="0.3">
      <c r="Q2128" t="str">
        <f t="shared" si="69"/>
        <v/>
      </c>
      <c r="R2128" s="54" t="str">
        <f t="shared" si="70"/>
        <v/>
      </c>
    </row>
    <row r="2129" spans="17:18" x14ac:dyDescent="0.3">
      <c r="Q2129" t="str">
        <f t="shared" si="69"/>
        <v/>
      </c>
      <c r="R2129" s="54" t="str">
        <f t="shared" si="70"/>
        <v/>
      </c>
    </row>
    <row r="2130" spans="17:18" x14ac:dyDescent="0.3">
      <c r="Q2130" t="str">
        <f t="shared" si="69"/>
        <v/>
      </c>
      <c r="R2130" s="54" t="str">
        <f t="shared" si="70"/>
        <v/>
      </c>
    </row>
    <row r="2131" spans="17:18" x14ac:dyDescent="0.3">
      <c r="Q2131" t="str">
        <f t="shared" si="69"/>
        <v/>
      </c>
      <c r="R2131" s="54" t="str">
        <f t="shared" si="70"/>
        <v/>
      </c>
    </row>
    <row r="2132" spans="17:18" x14ac:dyDescent="0.3">
      <c r="Q2132" t="str">
        <f t="shared" si="69"/>
        <v/>
      </c>
      <c r="R2132" s="54" t="str">
        <f t="shared" si="70"/>
        <v/>
      </c>
    </row>
    <row r="2133" spans="17:18" x14ac:dyDescent="0.3">
      <c r="Q2133" t="str">
        <f t="shared" si="69"/>
        <v/>
      </c>
      <c r="R2133" s="54" t="str">
        <f t="shared" si="70"/>
        <v/>
      </c>
    </row>
    <row r="2134" spans="17:18" x14ac:dyDescent="0.3">
      <c r="Q2134" t="str">
        <f t="shared" si="69"/>
        <v/>
      </c>
      <c r="R2134" s="54" t="str">
        <f t="shared" si="70"/>
        <v/>
      </c>
    </row>
    <row r="2135" spans="17:18" x14ac:dyDescent="0.3">
      <c r="Q2135" t="str">
        <f t="shared" ref="Q2135:Q2198" si="71">IF(COUNTA(A2135:P2135)=0,"",IF(ISNUMBER(SEARCH("-AR-",E2149)),"Architectural",IF(ISNUMBER(SEARCH("-ST-",E2149)),"Structural",IF(ISNUMBER(SEARCH("-ME-",E2149)),"Mechanical",IF(ISNUMBER(SEARCH("-EL-",E2149)),"Electrical",IF(ISNUMBER(SEARCH("-GE-",E2149)),"General",IF(ISNUMBER(SEARCH("-AR-",D2149)),"Architectural",IF(ISNUMBER(SEARCH("-ST-",D2149)),"Structural",IF(ISNUMBER(SEARCH("-ME-",D2149)),"Mechanical",IF(ISNUMBER(SEARCH("-EL-",D2149)),"Electrical",IF(ISNUMBER(SEARCH("-GE-",D2149)),"General","Other")))))))))))</f>
        <v/>
      </c>
      <c r="R2135" s="54" t="str">
        <f t="shared" si="70"/>
        <v/>
      </c>
    </row>
    <row r="2136" spans="17:18" x14ac:dyDescent="0.3">
      <c r="Q2136" t="str">
        <f t="shared" si="71"/>
        <v/>
      </c>
      <c r="R2136" s="54" t="str">
        <f t="shared" si="70"/>
        <v/>
      </c>
    </row>
    <row r="2137" spans="17:18" x14ac:dyDescent="0.3">
      <c r="Q2137" t="str">
        <f t="shared" si="71"/>
        <v/>
      </c>
      <c r="R2137" s="54" t="str">
        <f t="shared" si="70"/>
        <v/>
      </c>
    </row>
    <row r="2138" spans="17:18" x14ac:dyDescent="0.3">
      <c r="Q2138" t="str">
        <f t="shared" si="71"/>
        <v/>
      </c>
      <c r="R2138" s="54" t="str">
        <f t="shared" si="70"/>
        <v/>
      </c>
    </row>
    <row r="2139" spans="17:18" x14ac:dyDescent="0.3">
      <c r="Q2139" t="str">
        <f t="shared" si="71"/>
        <v/>
      </c>
      <c r="R2139" s="54" t="str">
        <f t="shared" si="70"/>
        <v/>
      </c>
    </row>
    <row r="2140" spans="17:18" x14ac:dyDescent="0.3">
      <c r="Q2140" t="str">
        <f t="shared" si="71"/>
        <v/>
      </c>
      <c r="R2140" s="54" t="str">
        <f t="shared" si="70"/>
        <v/>
      </c>
    </row>
    <row r="2141" spans="17:18" x14ac:dyDescent="0.3">
      <c r="Q2141" t="str">
        <f t="shared" si="71"/>
        <v/>
      </c>
      <c r="R2141" s="54" t="str">
        <f t="shared" si="70"/>
        <v/>
      </c>
    </row>
    <row r="2142" spans="17:18" x14ac:dyDescent="0.3">
      <c r="Q2142" t="str">
        <f t="shared" si="71"/>
        <v/>
      </c>
      <c r="R2142" s="54" t="str">
        <f t="shared" si="70"/>
        <v/>
      </c>
    </row>
    <row r="2143" spans="17:18" x14ac:dyDescent="0.3">
      <c r="Q2143" t="str">
        <f t="shared" si="71"/>
        <v/>
      </c>
      <c r="R2143" s="54" t="str">
        <f t="shared" si="70"/>
        <v/>
      </c>
    </row>
    <row r="2144" spans="17:18" x14ac:dyDescent="0.3">
      <c r="Q2144" t="str">
        <f t="shared" si="71"/>
        <v/>
      </c>
      <c r="R2144" s="54" t="str">
        <f t="shared" si="70"/>
        <v/>
      </c>
    </row>
    <row r="2145" spans="17:18" x14ac:dyDescent="0.3">
      <c r="Q2145" t="str">
        <f t="shared" si="71"/>
        <v/>
      </c>
      <c r="R2145" s="54" t="str">
        <f t="shared" si="70"/>
        <v/>
      </c>
    </row>
    <row r="2146" spans="17:18" x14ac:dyDescent="0.3">
      <c r="Q2146" t="str">
        <f t="shared" si="71"/>
        <v/>
      </c>
      <c r="R2146" s="54" t="str">
        <f t="shared" si="70"/>
        <v/>
      </c>
    </row>
    <row r="2147" spans="17:18" x14ac:dyDescent="0.3">
      <c r="Q2147" t="str">
        <f t="shared" si="71"/>
        <v/>
      </c>
      <c r="R2147" s="54" t="str">
        <f t="shared" si="70"/>
        <v/>
      </c>
    </row>
    <row r="2148" spans="17:18" x14ac:dyDescent="0.3">
      <c r="Q2148" t="str">
        <f t="shared" si="71"/>
        <v/>
      </c>
      <c r="R2148" s="54" t="str">
        <f t="shared" si="70"/>
        <v/>
      </c>
    </row>
    <row r="2149" spans="17:18" x14ac:dyDescent="0.3">
      <c r="Q2149" t="str">
        <f t="shared" si="71"/>
        <v/>
      </c>
      <c r="R2149" s="54" t="str">
        <f t="shared" si="70"/>
        <v/>
      </c>
    </row>
    <row r="2150" spans="17:18" x14ac:dyDescent="0.3">
      <c r="Q2150" t="str">
        <f t="shared" si="71"/>
        <v/>
      </c>
      <c r="R2150" s="54" t="str">
        <f t="shared" si="70"/>
        <v/>
      </c>
    </row>
    <row r="2151" spans="17:18" x14ac:dyDescent="0.3">
      <c r="Q2151" t="str">
        <f t="shared" si="71"/>
        <v/>
      </c>
      <c r="R2151" s="54" t="str">
        <f t="shared" si="70"/>
        <v/>
      </c>
    </row>
    <row r="2152" spans="17:18" x14ac:dyDescent="0.3">
      <c r="Q2152" t="str">
        <f t="shared" si="71"/>
        <v/>
      </c>
      <c r="R2152" s="54" t="str">
        <f t="shared" si="70"/>
        <v/>
      </c>
    </row>
    <row r="2153" spans="17:18" x14ac:dyDescent="0.3">
      <c r="Q2153" t="str">
        <f t="shared" si="71"/>
        <v/>
      </c>
      <c r="R2153" s="54" t="str">
        <f t="shared" si="70"/>
        <v/>
      </c>
    </row>
    <row r="2154" spans="17:18" x14ac:dyDescent="0.3">
      <c r="Q2154" t="str">
        <f t="shared" si="71"/>
        <v/>
      </c>
      <c r="R2154" s="54" t="str">
        <f t="shared" si="70"/>
        <v/>
      </c>
    </row>
    <row r="2155" spans="17:18" x14ac:dyDescent="0.3">
      <c r="Q2155" t="str">
        <f t="shared" si="71"/>
        <v/>
      </c>
      <c r="R2155" s="54" t="str">
        <f t="shared" si="70"/>
        <v/>
      </c>
    </row>
    <row r="2156" spans="17:18" x14ac:dyDescent="0.3">
      <c r="Q2156" t="str">
        <f t="shared" si="71"/>
        <v/>
      </c>
      <c r="R2156" s="54" t="str">
        <f t="shared" si="70"/>
        <v/>
      </c>
    </row>
    <row r="2157" spans="17:18" x14ac:dyDescent="0.3">
      <c r="Q2157" t="str">
        <f t="shared" si="71"/>
        <v/>
      </c>
      <c r="R2157" s="54" t="str">
        <f t="shared" si="70"/>
        <v/>
      </c>
    </row>
    <row r="2158" spans="17:18" x14ac:dyDescent="0.3">
      <c r="Q2158" t="str">
        <f t="shared" si="71"/>
        <v/>
      </c>
      <c r="R2158" s="54" t="str">
        <f t="shared" si="70"/>
        <v/>
      </c>
    </row>
    <row r="2159" spans="17:18" x14ac:dyDescent="0.3">
      <c r="Q2159" t="str">
        <f t="shared" si="71"/>
        <v/>
      </c>
      <c r="R2159" s="54" t="str">
        <f t="shared" si="70"/>
        <v/>
      </c>
    </row>
    <row r="2160" spans="17:18" x14ac:dyDescent="0.3">
      <c r="Q2160" t="str">
        <f t="shared" si="71"/>
        <v/>
      </c>
      <c r="R2160" s="54" t="str">
        <f t="shared" si="70"/>
        <v/>
      </c>
    </row>
    <row r="2161" spans="17:18" x14ac:dyDescent="0.3">
      <c r="Q2161" t="str">
        <f t="shared" si="71"/>
        <v/>
      </c>
      <c r="R2161" s="54" t="str">
        <f t="shared" si="70"/>
        <v/>
      </c>
    </row>
    <row r="2162" spans="17:18" x14ac:dyDescent="0.3">
      <c r="Q2162" t="str">
        <f t="shared" si="71"/>
        <v/>
      </c>
      <c r="R2162" s="54" t="str">
        <f t="shared" si="70"/>
        <v/>
      </c>
    </row>
    <row r="2163" spans="17:18" x14ac:dyDescent="0.3">
      <c r="Q2163" t="str">
        <f t="shared" si="71"/>
        <v/>
      </c>
      <c r="R2163" s="54" t="str">
        <f t="shared" si="70"/>
        <v/>
      </c>
    </row>
    <row r="2164" spans="17:18" x14ac:dyDescent="0.3">
      <c r="Q2164" t="str">
        <f t="shared" si="71"/>
        <v/>
      </c>
      <c r="R2164" s="54" t="str">
        <f t="shared" si="70"/>
        <v/>
      </c>
    </row>
    <row r="2165" spans="17:18" x14ac:dyDescent="0.3">
      <c r="Q2165" t="str">
        <f t="shared" si="71"/>
        <v/>
      </c>
      <c r="R2165" s="54" t="str">
        <f t="shared" si="70"/>
        <v/>
      </c>
    </row>
    <row r="2166" spans="17:18" x14ac:dyDescent="0.3">
      <c r="Q2166" t="str">
        <f t="shared" si="71"/>
        <v/>
      </c>
      <c r="R2166" s="54" t="str">
        <f t="shared" si="70"/>
        <v/>
      </c>
    </row>
    <row r="2167" spans="17:18" x14ac:dyDescent="0.3">
      <c r="Q2167" t="str">
        <f t="shared" si="71"/>
        <v/>
      </c>
      <c r="R2167" s="54" t="str">
        <f t="shared" si="70"/>
        <v/>
      </c>
    </row>
    <row r="2168" spans="17:18" x14ac:dyDescent="0.3">
      <c r="Q2168" t="str">
        <f t="shared" si="71"/>
        <v/>
      </c>
      <c r="R2168" s="54" t="str">
        <f t="shared" si="70"/>
        <v/>
      </c>
    </row>
    <row r="2169" spans="17:18" x14ac:dyDescent="0.3">
      <c r="Q2169" t="str">
        <f t="shared" si="71"/>
        <v/>
      </c>
      <c r="R2169" s="54" t="str">
        <f t="shared" si="70"/>
        <v/>
      </c>
    </row>
    <row r="2170" spans="17:18" x14ac:dyDescent="0.3">
      <c r="Q2170" t="str">
        <f t="shared" si="71"/>
        <v/>
      </c>
      <c r="R2170" s="54" t="str">
        <f t="shared" si="70"/>
        <v/>
      </c>
    </row>
    <row r="2171" spans="17:18" x14ac:dyDescent="0.3">
      <c r="Q2171" t="str">
        <f t="shared" si="71"/>
        <v/>
      </c>
      <c r="R2171" s="54" t="str">
        <f t="shared" si="70"/>
        <v/>
      </c>
    </row>
    <row r="2172" spans="17:18" x14ac:dyDescent="0.3">
      <c r="Q2172" t="str">
        <f t="shared" si="71"/>
        <v/>
      </c>
      <c r="R2172" s="54" t="str">
        <f t="shared" si="70"/>
        <v/>
      </c>
    </row>
    <row r="2173" spans="17:18" x14ac:dyDescent="0.3">
      <c r="Q2173" t="str">
        <f t="shared" si="71"/>
        <v/>
      </c>
      <c r="R2173" s="54" t="str">
        <f t="shared" si="70"/>
        <v/>
      </c>
    </row>
    <row r="2174" spans="17:18" x14ac:dyDescent="0.3">
      <c r="Q2174" t="str">
        <f t="shared" si="71"/>
        <v/>
      </c>
      <c r="R2174" s="54" t="str">
        <f t="shared" si="70"/>
        <v/>
      </c>
    </row>
    <row r="2175" spans="17:18" x14ac:dyDescent="0.3">
      <c r="Q2175" t="str">
        <f t="shared" si="71"/>
        <v/>
      </c>
      <c r="R2175" s="54" t="str">
        <f t="shared" si="70"/>
        <v/>
      </c>
    </row>
    <row r="2176" spans="17:18" x14ac:dyDescent="0.3">
      <c r="Q2176" t="str">
        <f t="shared" si="71"/>
        <v/>
      </c>
      <c r="R2176" s="54" t="str">
        <f t="shared" si="70"/>
        <v/>
      </c>
    </row>
    <row r="2177" spans="17:18" x14ac:dyDescent="0.3">
      <c r="Q2177" t="str">
        <f t="shared" si="71"/>
        <v/>
      </c>
      <c r="R2177" s="54" t="str">
        <f t="shared" si="70"/>
        <v/>
      </c>
    </row>
    <row r="2178" spans="17:18" x14ac:dyDescent="0.3">
      <c r="Q2178" t="str">
        <f t="shared" si="71"/>
        <v/>
      </c>
      <c r="R2178" s="54" t="str">
        <f t="shared" si="70"/>
        <v/>
      </c>
    </row>
    <row r="2179" spans="17:18" x14ac:dyDescent="0.3">
      <c r="Q2179" t="str">
        <f t="shared" si="71"/>
        <v/>
      </c>
      <c r="R2179" s="54" t="str">
        <f t="shared" ref="R2179:R2242" si="72">IF(F2193="","",IFERROR(IF(ISNUMBER(F2193),F2193,DATEVALUE(F2193)),""))</f>
        <v/>
      </c>
    </row>
    <row r="2180" spans="17:18" x14ac:dyDescent="0.3">
      <c r="Q2180" t="str">
        <f t="shared" si="71"/>
        <v/>
      </c>
      <c r="R2180" s="54" t="str">
        <f t="shared" si="72"/>
        <v/>
      </c>
    </row>
    <row r="2181" spans="17:18" x14ac:dyDescent="0.3">
      <c r="Q2181" t="str">
        <f t="shared" si="71"/>
        <v/>
      </c>
      <c r="R2181" s="54" t="str">
        <f t="shared" si="72"/>
        <v/>
      </c>
    </row>
    <row r="2182" spans="17:18" x14ac:dyDescent="0.3">
      <c r="Q2182" t="str">
        <f t="shared" si="71"/>
        <v/>
      </c>
      <c r="R2182" s="54" t="str">
        <f t="shared" si="72"/>
        <v/>
      </c>
    </row>
    <row r="2183" spans="17:18" x14ac:dyDescent="0.3">
      <c r="Q2183" t="str">
        <f t="shared" si="71"/>
        <v/>
      </c>
      <c r="R2183" s="54" t="str">
        <f t="shared" si="72"/>
        <v/>
      </c>
    </row>
    <row r="2184" spans="17:18" x14ac:dyDescent="0.3">
      <c r="Q2184" t="str">
        <f t="shared" si="71"/>
        <v/>
      </c>
      <c r="R2184" s="54" t="str">
        <f t="shared" si="72"/>
        <v/>
      </c>
    </row>
    <row r="2185" spans="17:18" x14ac:dyDescent="0.3">
      <c r="Q2185" t="str">
        <f t="shared" si="71"/>
        <v/>
      </c>
      <c r="R2185" s="54" t="str">
        <f t="shared" si="72"/>
        <v/>
      </c>
    </row>
    <row r="2186" spans="17:18" x14ac:dyDescent="0.3">
      <c r="Q2186" t="str">
        <f t="shared" si="71"/>
        <v/>
      </c>
      <c r="R2186" s="54" t="str">
        <f t="shared" si="72"/>
        <v/>
      </c>
    </row>
    <row r="2187" spans="17:18" x14ac:dyDescent="0.3">
      <c r="Q2187" t="str">
        <f t="shared" si="71"/>
        <v/>
      </c>
      <c r="R2187" s="54" t="str">
        <f t="shared" si="72"/>
        <v/>
      </c>
    </row>
    <row r="2188" spans="17:18" x14ac:dyDescent="0.3">
      <c r="Q2188" t="str">
        <f t="shared" si="71"/>
        <v/>
      </c>
      <c r="R2188" s="54" t="str">
        <f t="shared" si="72"/>
        <v/>
      </c>
    </row>
    <row r="2189" spans="17:18" x14ac:dyDescent="0.3">
      <c r="Q2189" t="str">
        <f t="shared" si="71"/>
        <v/>
      </c>
      <c r="R2189" s="54" t="str">
        <f t="shared" si="72"/>
        <v/>
      </c>
    </row>
    <row r="2190" spans="17:18" x14ac:dyDescent="0.3">
      <c r="Q2190" t="str">
        <f t="shared" si="71"/>
        <v/>
      </c>
      <c r="R2190" s="54" t="str">
        <f t="shared" si="72"/>
        <v/>
      </c>
    </row>
    <row r="2191" spans="17:18" x14ac:dyDescent="0.3">
      <c r="Q2191" t="str">
        <f t="shared" si="71"/>
        <v/>
      </c>
      <c r="R2191" s="54" t="str">
        <f t="shared" si="72"/>
        <v/>
      </c>
    </row>
    <row r="2192" spans="17:18" x14ac:dyDescent="0.3">
      <c r="Q2192" t="str">
        <f t="shared" si="71"/>
        <v/>
      </c>
      <c r="R2192" s="54" t="str">
        <f t="shared" si="72"/>
        <v/>
      </c>
    </row>
    <row r="2193" spans="17:18" x14ac:dyDescent="0.3">
      <c r="Q2193" t="str">
        <f t="shared" si="71"/>
        <v/>
      </c>
      <c r="R2193" s="54" t="str">
        <f t="shared" si="72"/>
        <v/>
      </c>
    </row>
    <row r="2194" spans="17:18" x14ac:dyDescent="0.3">
      <c r="Q2194" t="str">
        <f t="shared" si="71"/>
        <v/>
      </c>
      <c r="R2194" s="54" t="str">
        <f t="shared" si="72"/>
        <v/>
      </c>
    </row>
    <row r="2195" spans="17:18" x14ac:dyDescent="0.3">
      <c r="Q2195" t="str">
        <f t="shared" si="71"/>
        <v/>
      </c>
      <c r="R2195" s="54" t="str">
        <f t="shared" si="72"/>
        <v/>
      </c>
    </row>
    <row r="2196" spans="17:18" x14ac:dyDescent="0.3">
      <c r="Q2196" t="str">
        <f t="shared" si="71"/>
        <v/>
      </c>
      <c r="R2196" s="54" t="str">
        <f t="shared" si="72"/>
        <v/>
      </c>
    </row>
    <row r="2197" spans="17:18" x14ac:dyDescent="0.3">
      <c r="Q2197" t="str">
        <f t="shared" si="71"/>
        <v/>
      </c>
      <c r="R2197" s="54" t="str">
        <f t="shared" si="72"/>
        <v/>
      </c>
    </row>
    <row r="2198" spans="17:18" x14ac:dyDescent="0.3">
      <c r="Q2198" t="str">
        <f t="shared" si="71"/>
        <v/>
      </c>
      <c r="R2198" s="54" t="str">
        <f t="shared" si="72"/>
        <v/>
      </c>
    </row>
    <row r="2199" spans="17:18" x14ac:dyDescent="0.3">
      <c r="Q2199" t="str">
        <f t="shared" ref="Q2199:Q2262" si="73">IF(COUNTA(A2199:P2199)=0,"",IF(ISNUMBER(SEARCH("-AR-",E2213)),"Architectural",IF(ISNUMBER(SEARCH("-ST-",E2213)),"Structural",IF(ISNUMBER(SEARCH("-ME-",E2213)),"Mechanical",IF(ISNUMBER(SEARCH("-EL-",E2213)),"Electrical",IF(ISNUMBER(SEARCH("-GE-",E2213)),"General",IF(ISNUMBER(SEARCH("-AR-",D2213)),"Architectural",IF(ISNUMBER(SEARCH("-ST-",D2213)),"Structural",IF(ISNUMBER(SEARCH("-ME-",D2213)),"Mechanical",IF(ISNUMBER(SEARCH("-EL-",D2213)),"Electrical",IF(ISNUMBER(SEARCH("-GE-",D2213)),"General","Other")))))))))))</f>
        <v/>
      </c>
      <c r="R2199" s="54" t="str">
        <f t="shared" si="72"/>
        <v/>
      </c>
    </row>
    <row r="2200" spans="17:18" x14ac:dyDescent="0.3">
      <c r="Q2200" t="str">
        <f t="shared" si="73"/>
        <v/>
      </c>
      <c r="R2200" s="54" t="str">
        <f t="shared" si="72"/>
        <v/>
      </c>
    </row>
    <row r="2201" spans="17:18" x14ac:dyDescent="0.3">
      <c r="Q2201" t="str">
        <f t="shared" si="73"/>
        <v/>
      </c>
      <c r="R2201" s="54" t="str">
        <f t="shared" si="72"/>
        <v/>
      </c>
    </row>
    <row r="2202" spans="17:18" x14ac:dyDescent="0.3">
      <c r="Q2202" t="str">
        <f t="shared" si="73"/>
        <v/>
      </c>
      <c r="R2202" s="54" t="str">
        <f t="shared" si="72"/>
        <v/>
      </c>
    </row>
    <row r="2203" spans="17:18" x14ac:dyDescent="0.3">
      <c r="Q2203" t="str">
        <f t="shared" si="73"/>
        <v/>
      </c>
      <c r="R2203" s="54" t="str">
        <f t="shared" si="72"/>
        <v/>
      </c>
    </row>
    <row r="2204" spans="17:18" x14ac:dyDescent="0.3">
      <c r="Q2204" t="str">
        <f t="shared" si="73"/>
        <v/>
      </c>
      <c r="R2204" s="54" t="str">
        <f t="shared" si="72"/>
        <v/>
      </c>
    </row>
    <row r="2205" spans="17:18" x14ac:dyDescent="0.3">
      <c r="Q2205" t="str">
        <f t="shared" si="73"/>
        <v/>
      </c>
      <c r="R2205" s="54" t="str">
        <f t="shared" si="72"/>
        <v/>
      </c>
    </row>
    <row r="2206" spans="17:18" x14ac:dyDescent="0.3">
      <c r="Q2206" t="str">
        <f t="shared" si="73"/>
        <v/>
      </c>
      <c r="R2206" s="54" t="str">
        <f t="shared" si="72"/>
        <v/>
      </c>
    </row>
    <row r="2207" spans="17:18" x14ac:dyDescent="0.3">
      <c r="Q2207" t="str">
        <f t="shared" si="73"/>
        <v/>
      </c>
      <c r="R2207" s="54" t="str">
        <f t="shared" si="72"/>
        <v/>
      </c>
    </row>
    <row r="2208" spans="17:18" x14ac:dyDescent="0.3">
      <c r="Q2208" t="str">
        <f t="shared" si="73"/>
        <v/>
      </c>
      <c r="R2208" s="54" t="str">
        <f t="shared" si="72"/>
        <v/>
      </c>
    </row>
    <row r="2209" spans="17:18" x14ac:dyDescent="0.3">
      <c r="Q2209" t="str">
        <f t="shared" si="73"/>
        <v/>
      </c>
      <c r="R2209" s="54" t="str">
        <f t="shared" si="72"/>
        <v/>
      </c>
    </row>
    <row r="2210" spans="17:18" x14ac:dyDescent="0.3">
      <c r="Q2210" t="str">
        <f t="shared" si="73"/>
        <v/>
      </c>
      <c r="R2210" s="54" t="str">
        <f t="shared" si="72"/>
        <v/>
      </c>
    </row>
    <row r="2211" spans="17:18" x14ac:dyDescent="0.3">
      <c r="Q2211" t="str">
        <f t="shared" si="73"/>
        <v/>
      </c>
      <c r="R2211" s="54" t="str">
        <f t="shared" si="72"/>
        <v/>
      </c>
    </row>
    <row r="2212" spans="17:18" x14ac:dyDescent="0.3">
      <c r="Q2212" t="str">
        <f t="shared" si="73"/>
        <v/>
      </c>
      <c r="R2212" s="54" t="str">
        <f t="shared" si="72"/>
        <v/>
      </c>
    </row>
    <row r="2213" spans="17:18" x14ac:dyDescent="0.3">
      <c r="Q2213" t="str">
        <f t="shared" si="73"/>
        <v/>
      </c>
      <c r="R2213" s="54" t="str">
        <f t="shared" si="72"/>
        <v/>
      </c>
    </row>
    <row r="2214" spans="17:18" x14ac:dyDescent="0.3">
      <c r="Q2214" t="str">
        <f t="shared" si="73"/>
        <v/>
      </c>
      <c r="R2214" s="54" t="str">
        <f t="shared" si="72"/>
        <v/>
      </c>
    </row>
    <row r="2215" spans="17:18" x14ac:dyDescent="0.3">
      <c r="Q2215" t="str">
        <f t="shared" si="73"/>
        <v/>
      </c>
      <c r="R2215" s="54" t="str">
        <f t="shared" si="72"/>
        <v/>
      </c>
    </row>
    <row r="2216" spans="17:18" x14ac:dyDescent="0.3">
      <c r="Q2216" t="str">
        <f t="shared" si="73"/>
        <v/>
      </c>
      <c r="R2216" s="54" t="str">
        <f t="shared" si="72"/>
        <v/>
      </c>
    </row>
    <row r="2217" spans="17:18" x14ac:dyDescent="0.3">
      <c r="Q2217" t="str">
        <f t="shared" si="73"/>
        <v/>
      </c>
      <c r="R2217" s="54" t="str">
        <f t="shared" si="72"/>
        <v/>
      </c>
    </row>
    <row r="2218" spans="17:18" x14ac:dyDescent="0.3">
      <c r="Q2218" t="str">
        <f t="shared" si="73"/>
        <v/>
      </c>
      <c r="R2218" s="54" t="str">
        <f t="shared" si="72"/>
        <v/>
      </c>
    </row>
    <row r="2219" spans="17:18" x14ac:dyDescent="0.3">
      <c r="Q2219" t="str">
        <f t="shared" si="73"/>
        <v/>
      </c>
      <c r="R2219" s="54" t="str">
        <f t="shared" si="72"/>
        <v/>
      </c>
    </row>
    <row r="2220" spans="17:18" x14ac:dyDescent="0.3">
      <c r="Q2220" t="str">
        <f t="shared" si="73"/>
        <v/>
      </c>
      <c r="R2220" s="54" t="str">
        <f t="shared" si="72"/>
        <v/>
      </c>
    </row>
    <row r="2221" spans="17:18" x14ac:dyDescent="0.3">
      <c r="Q2221" t="str">
        <f t="shared" si="73"/>
        <v/>
      </c>
      <c r="R2221" s="54" t="str">
        <f t="shared" si="72"/>
        <v/>
      </c>
    </row>
    <row r="2222" spans="17:18" x14ac:dyDescent="0.3">
      <c r="Q2222" t="str">
        <f t="shared" si="73"/>
        <v/>
      </c>
      <c r="R2222" s="54" t="str">
        <f t="shared" si="72"/>
        <v/>
      </c>
    </row>
    <row r="2223" spans="17:18" x14ac:dyDescent="0.3">
      <c r="Q2223" t="str">
        <f t="shared" si="73"/>
        <v/>
      </c>
      <c r="R2223" s="54" t="str">
        <f t="shared" si="72"/>
        <v/>
      </c>
    </row>
    <row r="2224" spans="17:18" x14ac:dyDescent="0.3">
      <c r="Q2224" t="str">
        <f t="shared" si="73"/>
        <v/>
      </c>
      <c r="R2224" s="54" t="str">
        <f t="shared" si="72"/>
        <v/>
      </c>
    </row>
    <row r="2225" spans="17:18" x14ac:dyDescent="0.3">
      <c r="Q2225" t="str">
        <f t="shared" si="73"/>
        <v/>
      </c>
      <c r="R2225" s="54" t="str">
        <f t="shared" si="72"/>
        <v/>
      </c>
    </row>
    <row r="2226" spans="17:18" x14ac:dyDescent="0.3">
      <c r="Q2226" t="str">
        <f t="shared" si="73"/>
        <v/>
      </c>
      <c r="R2226" s="54" t="str">
        <f t="shared" si="72"/>
        <v/>
      </c>
    </row>
    <row r="2227" spans="17:18" x14ac:dyDescent="0.3">
      <c r="Q2227" t="str">
        <f t="shared" si="73"/>
        <v/>
      </c>
      <c r="R2227" s="54" t="str">
        <f t="shared" si="72"/>
        <v/>
      </c>
    </row>
    <row r="2228" spans="17:18" x14ac:dyDescent="0.3">
      <c r="Q2228" t="str">
        <f t="shared" si="73"/>
        <v/>
      </c>
      <c r="R2228" s="54" t="str">
        <f t="shared" si="72"/>
        <v/>
      </c>
    </row>
    <row r="2229" spans="17:18" x14ac:dyDescent="0.3">
      <c r="Q2229" t="str">
        <f t="shared" si="73"/>
        <v/>
      </c>
      <c r="R2229" s="54" t="str">
        <f t="shared" si="72"/>
        <v/>
      </c>
    </row>
    <row r="2230" spans="17:18" x14ac:dyDescent="0.3">
      <c r="Q2230" t="str">
        <f t="shared" si="73"/>
        <v/>
      </c>
      <c r="R2230" s="54" t="str">
        <f t="shared" si="72"/>
        <v/>
      </c>
    </row>
    <row r="2231" spans="17:18" x14ac:dyDescent="0.3">
      <c r="Q2231" t="str">
        <f t="shared" si="73"/>
        <v/>
      </c>
      <c r="R2231" s="54" t="str">
        <f t="shared" si="72"/>
        <v/>
      </c>
    </row>
    <row r="2232" spans="17:18" x14ac:dyDescent="0.3">
      <c r="Q2232" t="str">
        <f t="shared" si="73"/>
        <v/>
      </c>
      <c r="R2232" s="54" t="str">
        <f t="shared" si="72"/>
        <v/>
      </c>
    </row>
    <row r="2233" spans="17:18" x14ac:dyDescent="0.3">
      <c r="Q2233" t="str">
        <f t="shared" si="73"/>
        <v/>
      </c>
      <c r="R2233" s="54" t="str">
        <f t="shared" si="72"/>
        <v/>
      </c>
    </row>
    <row r="2234" spans="17:18" x14ac:dyDescent="0.3">
      <c r="Q2234" t="str">
        <f t="shared" si="73"/>
        <v/>
      </c>
      <c r="R2234" s="54" t="str">
        <f t="shared" si="72"/>
        <v/>
      </c>
    </row>
    <row r="2235" spans="17:18" x14ac:dyDescent="0.3">
      <c r="Q2235" t="str">
        <f t="shared" si="73"/>
        <v/>
      </c>
      <c r="R2235" s="54" t="str">
        <f t="shared" si="72"/>
        <v/>
      </c>
    </row>
    <row r="2236" spans="17:18" x14ac:dyDescent="0.3">
      <c r="Q2236" t="str">
        <f t="shared" si="73"/>
        <v/>
      </c>
      <c r="R2236" s="54" t="str">
        <f t="shared" si="72"/>
        <v/>
      </c>
    </row>
    <row r="2237" spans="17:18" x14ac:dyDescent="0.3">
      <c r="Q2237" t="str">
        <f t="shared" si="73"/>
        <v/>
      </c>
      <c r="R2237" s="54" t="str">
        <f t="shared" si="72"/>
        <v/>
      </c>
    </row>
    <row r="2238" spans="17:18" x14ac:dyDescent="0.3">
      <c r="Q2238" t="str">
        <f t="shared" si="73"/>
        <v/>
      </c>
      <c r="R2238" s="54" t="str">
        <f t="shared" si="72"/>
        <v/>
      </c>
    </row>
    <row r="2239" spans="17:18" x14ac:dyDescent="0.3">
      <c r="Q2239" t="str">
        <f t="shared" si="73"/>
        <v/>
      </c>
      <c r="R2239" s="54" t="str">
        <f t="shared" si="72"/>
        <v/>
      </c>
    </row>
    <row r="2240" spans="17:18" x14ac:dyDescent="0.3">
      <c r="Q2240" t="str">
        <f t="shared" si="73"/>
        <v/>
      </c>
      <c r="R2240" s="54" t="str">
        <f t="shared" si="72"/>
        <v/>
      </c>
    </row>
    <row r="2241" spans="17:18" x14ac:dyDescent="0.3">
      <c r="Q2241" t="str">
        <f t="shared" si="73"/>
        <v/>
      </c>
      <c r="R2241" s="54" t="str">
        <f t="shared" si="72"/>
        <v/>
      </c>
    </row>
    <row r="2242" spans="17:18" x14ac:dyDescent="0.3">
      <c r="Q2242" t="str">
        <f t="shared" si="73"/>
        <v/>
      </c>
      <c r="R2242" s="54" t="str">
        <f t="shared" si="72"/>
        <v/>
      </c>
    </row>
    <row r="2243" spans="17:18" x14ac:dyDescent="0.3">
      <c r="Q2243" t="str">
        <f t="shared" si="73"/>
        <v/>
      </c>
      <c r="R2243" s="54" t="str">
        <f t="shared" ref="R2243:R2306" si="74">IF(F2257="","",IFERROR(IF(ISNUMBER(F2257),F2257,DATEVALUE(F2257)),""))</f>
        <v/>
      </c>
    </row>
    <row r="2244" spans="17:18" x14ac:dyDescent="0.3">
      <c r="Q2244" t="str">
        <f t="shared" si="73"/>
        <v/>
      </c>
      <c r="R2244" s="54" t="str">
        <f t="shared" si="74"/>
        <v/>
      </c>
    </row>
    <row r="2245" spans="17:18" x14ac:dyDescent="0.3">
      <c r="Q2245" t="str">
        <f t="shared" si="73"/>
        <v/>
      </c>
      <c r="R2245" s="54" t="str">
        <f t="shared" si="74"/>
        <v/>
      </c>
    </row>
    <row r="2246" spans="17:18" x14ac:dyDescent="0.3">
      <c r="Q2246" t="str">
        <f t="shared" si="73"/>
        <v/>
      </c>
      <c r="R2246" s="54" t="str">
        <f t="shared" si="74"/>
        <v/>
      </c>
    </row>
    <row r="2247" spans="17:18" x14ac:dyDescent="0.3">
      <c r="Q2247" t="str">
        <f t="shared" si="73"/>
        <v/>
      </c>
      <c r="R2247" s="54" t="str">
        <f t="shared" si="74"/>
        <v/>
      </c>
    </row>
    <row r="2248" spans="17:18" x14ac:dyDescent="0.3">
      <c r="Q2248" t="str">
        <f t="shared" si="73"/>
        <v/>
      </c>
      <c r="R2248" s="54" t="str">
        <f t="shared" si="74"/>
        <v/>
      </c>
    </row>
    <row r="2249" spans="17:18" x14ac:dyDescent="0.3">
      <c r="Q2249" t="str">
        <f t="shared" si="73"/>
        <v/>
      </c>
      <c r="R2249" s="54" t="str">
        <f t="shared" si="74"/>
        <v/>
      </c>
    </row>
    <row r="2250" spans="17:18" x14ac:dyDescent="0.3">
      <c r="Q2250" t="str">
        <f t="shared" si="73"/>
        <v/>
      </c>
      <c r="R2250" s="54" t="str">
        <f t="shared" si="74"/>
        <v/>
      </c>
    </row>
    <row r="2251" spans="17:18" x14ac:dyDescent="0.3">
      <c r="Q2251" t="str">
        <f t="shared" si="73"/>
        <v/>
      </c>
      <c r="R2251" s="54" t="str">
        <f t="shared" si="74"/>
        <v/>
      </c>
    </row>
    <row r="2252" spans="17:18" x14ac:dyDescent="0.3">
      <c r="Q2252" t="str">
        <f t="shared" si="73"/>
        <v/>
      </c>
      <c r="R2252" s="54" t="str">
        <f t="shared" si="74"/>
        <v/>
      </c>
    </row>
    <row r="2253" spans="17:18" x14ac:dyDescent="0.3">
      <c r="Q2253" t="str">
        <f t="shared" si="73"/>
        <v/>
      </c>
      <c r="R2253" s="54" t="str">
        <f t="shared" si="74"/>
        <v/>
      </c>
    </row>
    <row r="2254" spans="17:18" x14ac:dyDescent="0.3">
      <c r="Q2254" t="str">
        <f t="shared" si="73"/>
        <v/>
      </c>
      <c r="R2254" s="54" t="str">
        <f t="shared" si="74"/>
        <v/>
      </c>
    </row>
    <row r="2255" spans="17:18" x14ac:dyDescent="0.3">
      <c r="Q2255" t="str">
        <f t="shared" si="73"/>
        <v/>
      </c>
      <c r="R2255" s="54" t="str">
        <f t="shared" si="74"/>
        <v/>
      </c>
    </row>
    <row r="2256" spans="17:18" x14ac:dyDescent="0.3">
      <c r="Q2256" t="str">
        <f t="shared" si="73"/>
        <v/>
      </c>
      <c r="R2256" s="54" t="str">
        <f t="shared" si="74"/>
        <v/>
      </c>
    </row>
    <row r="2257" spans="17:18" x14ac:dyDescent="0.3">
      <c r="Q2257" t="str">
        <f t="shared" si="73"/>
        <v/>
      </c>
      <c r="R2257" s="54" t="str">
        <f t="shared" si="74"/>
        <v/>
      </c>
    </row>
    <row r="2258" spans="17:18" x14ac:dyDescent="0.3">
      <c r="Q2258" t="str">
        <f t="shared" si="73"/>
        <v/>
      </c>
      <c r="R2258" s="54" t="str">
        <f t="shared" si="74"/>
        <v/>
      </c>
    </row>
    <row r="2259" spans="17:18" x14ac:dyDescent="0.3">
      <c r="Q2259" t="str">
        <f t="shared" si="73"/>
        <v/>
      </c>
      <c r="R2259" s="54" t="str">
        <f t="shared" si="74"/>
        <v/>
      </c>
    </row>
    <row r="2260" spans="17:18" x14ac:dyDescent="0.3">
      <c r="Q2260" t="str">
        <f t="shared" si="73"/>
        <v/>
      </c>
      <c r="R2260" s="54" t="str">
        <f t="shared" si="74"/>
        <v/>
      </c>
    </row>
    <row r="2261" spans="17:18" x14ac:dyDescent="0.3">
      <c r="Q2261" t="str">
        <f t="shared" si="73"/>
        <v/>
      </c>
      <c r="R2261" s="54" t="str">
        <f t="shared" si="74"/>
        <v/>
      </c>
    </row>
    <row r="2262" spans="17:18" x14ac:dyDescent="0.3">
      <c r="Q2262" t="str">
        <f t="shared" si="73"/>
        <v/>
      </c>
      <c r="R2262" s="54" t="str">
        <f t="shared" si="74"/>
        <v/>
      </c>
    </row>
    <row r="2263" spans="17:18" x14ac:dyDescent="0.3">
      <c r="Q2263" t="str">
        <f t="shared" ref="Q2263:Q2326" si="75">IF(COUNTA(A2263:P2263)=0,"",IF(ISNUMBER(SEARCH("-AR-",E2277)),"Architectural",IF(ISNUMBER(SEARCH("-ST-",E2277)),"Structural",IF(ISNUMBER(SEARCH("-ME-",E2277)),"Mechanical",IF(ISNUMBER(SEARCH("-EL-",E2277)),"Electrical",IF(ISNUMBER(SEARCH("-GE-",E2277)),"General",IF(ISNUMBER(SEARCH("-AR-",D2277)),"Architectural",IF(ISNUMBER(SEARCH("-ST-",D2277)),"Structural",IF(ISNUMBER(SEARCH("-ME-",D2277)),"Mechanical",IF(ISNUMBER(SEARCH("-EL-",D2277)),"Electrical",IF(ISNUMBER(SEARCH("-GE-",D2277)),"General","Other")))))))))))</f>
        <v/>
      </c>
      <c r="R2263" s="54" t="str">
        <f t="shared" si="74"/>
        <v/>
      </c>
    </row>
    <row r="2264" spans="17:18" x14ac:dyDescent="0.3">
      <c r="Q2264" t="str">
        <f t="shared" si="75"/>
        <v/>
      </c>
      <c r="R2264" s="54" t="str">
        <f t="shared" si="74"/>
        <v/>
      </c>
    </row>
    <row r="2265" spans="17:18" x14ac:dyDescent="0.3">
      <c r="Q2265" t="str">
        <f t="shared" si="75"/>
        <v/>
      </c>
      <c r="R2265" s="54" t="str">
        <f t="shared" si="74"/>
        <v/>
      </c>
    </row>
    <row r="2266" spans="17:18" x14ac:dyDescent="0.3">
      <c r="Q2266" t="str">
        <f t="shared" si="75"/>
        <v/>
      </c>
      <c r="R2266" s="54" t="str">
        <f t="shared" si="74"/>
        <v/>
      </c>
    </row>
    <row r="2267" spans="17:18" x14ac:dyDescent="0.3">
      <c r="Q2267" t="str">
        <f t="shared" si="75"/>
        <v/>
      </c>
      <c r="R2267" s="54" t="str">
        <f t="shared" si="74"/>
        <v/>
      </c>
    </row>
    <row r="2268" spans="17:18" x14ac:dyDescent="0.3">
      <c r="Q2268" t="str">
        <f t="shared" si="75"/>
        <v/>
      </c>
      <c r="R2268" s="54" t="str">
        <f t="shared" si="74"/>
        <v/>
      </c>
    </row>
    <row r="2269" spans="17:18" x14ac:dyDescent="0.3">
      <c r="Q2269" t="str">
        <f t="shared" si="75"/>
        <v/>
      </c>
      <c r="R2269" s="54" t="str">
        <f t="shared" si="74"/>
        <v/>
      </c>
    </row>
    <row r="2270" spans="17:18" x14ac:dyDescent="0.3">
      <c r="Q2270" t="str">
        <f t="shared" si="75"/>
        <v/>
      </c>
      <c r="R2270" s="54" t="str">
        <f t="shared" si="74"/>
        <v/>
      </c>
    </row>
    <row r="2271" spans="17:18" x14ac:dyDescent="0.3">
      <c r="Q2271" t="str">
        <f t="shared" si="75"/>
        <v/>
      </c>
      <c r="R2271" s="54" t="str">
        <f t="shared" si="74"/>
        <v/>
      </c>
    </row>
    <row r="2272" spans="17:18" x14ac:dyDescent="0.3">
      <c r="Q2272" t="str">
        <f t="shared" si="75"/>
        <v/>
      </c>
      <c r="R2272" s="54" t="str">
        <f t="shared" si="74"/>
        <v/>
      </c>
    </row>
    <row r="2273" spans="17:18" x14ac:dyDescent="0.3">
      <c r="Q2273" t="str">
        <f t="shared" si="75"/>
        <v/>
      </c>
      <c r="R2273" s="54" t="str">
        <f t="shared" si="74"/>
        <v/>
      </c>
    </row>
    <row r="2274" spans="17:18" x14ac:dyDescent="0.3">
      <c r="Q2274" t="str">
        <f t="shared" si="75"/>
        <v/>
      </c>
      <c r="R2274" s="54" t="str">
        <f t="shared" si="74"/>
        <v/>
      </c>
    </row>
    <row r="2275" spans="17:18" x14ac:dyDescent="0.3">
      <c r="Q2275" t="str">
        <f t="shared" si="75"/>
        <v/>
      </c>
      <c r="R2275" s="54" t="str">
        <f t="shared" si="74"/>
        <v/>
      </c>
    </row>
    <row r="2276" spans="17:18" x14ac:dyDescent="0.3">
      <c r="Q2276" t="str">
        <f t="shared" si="75"/>
        <v/>
      </c>
      <c r="R2276" s="54" t="str">
        <f t="shared" si="74"/>
        <v/>
      </c>
    </row>
    <row r="2277" spans="17:18" x14ac:dyDescent="0.3">
      <c r="Q2277" t="str">
        <f t="shared" si="75"/>
        <v/>
      </c>
      <c r="R2277" s="54" t="str">
        <f t="shared" si="74"/>
        <v/>
      </c>
    </row>
    <row r="2278" spans="17:18" x14ac:dyDescent="0.3">
      <c r="Q2278" t="str">
        <f t="shared" si="75"/>
        <v/>
      </c>
      <c r="R2278" s="54" t="str">
        <f t="shared" si="74"/>
        <v/>
      </c>
    </row>
    <row r="2279" spans="17:18" x14ac:dyDescent="0.3">
      <c r="Q2279" t="str">
        <f t="shared" si="75"/>
        <v/>
      </c>
      <c r="R2279" s="54" t="str">
        <f t="shared" si="74"/>
        <v/>
      </c>
    </row>
    <row r="2280" spans="17:18" x14ac:dyDescent="0.3">
      <c r="Q2280" t="str">
        <f t="shared" si="75"/>
        <v/>
      </c>
      <c r="R2280" s="54" t="str">
        <f t="shared" si="74"/>
        <v/>
      </c>
    </row>
    <row r="2281" spans="17:18" x14ac:dyDescent="0.3">
      <c r="Q2281" t="str">
        <f t="shared" si="75"/>
        <v/>
      </c>
      <c r="R2281" s="54" t="str">
        <f t="shared" si="74"/>
        <v/>
      </c>
    </row>
    <row r="2282" spans="17:18" x14ac:dyDescent="0.3">
      <c r="Q2282" t="str">
        <f t="shared" si="75"/>
        <v/>
      </c>
      <c r="R2282" s="54" t="str">
        <f t="shared" si="74"/>
        <v/>
      </c>
    </row>
    <row r="2283" spans="17:18" x14ac:dyDescent="0.3">
      <c r="Q2283" t="str">
        <f t="shared" si="75"/>
        <v/>
      </c>
      <c r="R2283" s="54" t="str">
        <f t="shared" si="74"/>
        <v/>
      </c>
    </row>
    <row r="2284" spans="17:18" x14ac:dyDescent="0.3">
      <c r="Q2284" t="str">
        <f t="shared" si="75"/>
        <v/>
      </c>
      <c r="R2284" s="54" t="str">
        <f t="shared" si="74"/>
        <v/>
      </c>
    </row>
    <row r="2285" spans="17:18" x14ac:dyDescent="0.3">
      <c r="Q2285" t="str">
        <f t="shared" si="75"/>
        <v/>
      </c>
      <c r="R2285" s="54" t="str">
        <f t="shared" si="74"/>
        <v/>
      </c>
    </row>
    <row r="2286" spans="17:18" x14ac:dyDescent="0.3">
      <c r="Q2286" t="str">
        <f t="shared" si="75"/>
        <v/>
      </c>
      <c r="R2286" s="54" t="str">
        <f t="shared" si="74"/>
        <v/>
      </c>
    </row>
    <row r="2287" spans="17:18" x14ac:dyDescent="0.3">
      <c r="Q2287" t="str">
        <f t="shared" si="75"/>
        <v/>
      </c>
      <c r="R2287" s="54" t="str">
        <f t="shared" si="74"/>
        <v/>
      </c>
    </row>
    <row r="2288" spans="17:18" x14ac:dyDescent="0.3">
      <c r="Q2288" t="str">
        <f t="shared" si="75"/>
        <v/>
      </c>
      <c r="R2288" s="54" t="str">
        <f t="shared" si="74"/>
        <v/>
      </c>
    </row>
    <row r="2289" spans="17:18" x14ac:dyDescent="0.3">
      <c r="Q2289" t="str">
        <f t="shared" si="75"/>
        <v/>
      </c>
      <c r="R2289" s="54" t="str">
        <f t="shared" si="74"/>
        <v/>
      </c>
    </row>
    <row r="2290" spans="17:18" x14ac:dyDescent="0.3">
      <c r="Q2290" t="str">
        <f t="shared" si="75"/>
        <v/>
      </c>
      <c r="R2290" s="54" t="str">
        <f t="shared" si="74"/>
        <v/>
      </c>
    </row>
    <row r="2291" spans="17:18" x14ac:dyDescent="0.3">
      <c r="Q2291" t="str">
        <f t="shared" si="75"/>
        <v/>
      </c>
      <c r="R2291" s="54" t="str">
        <f t="shared" si="74"/>
        <v/>
      </c>
    </row>
    <row r="2292" spans="17:18" x14ac:dyDescent="0.3">
      <c r="Q2292" t="str">
        <f t="shared" si="75"/>
        <v/>
      </c>
      <c r="R2292" s="54" t="str">
        <f t="shared" si="74"/>
        <v/>
      </c>
    </row>
    <row r="2293" spans="17:18" x14ac:dyDescent="0.3">
      <c r="Q2293" t="str">
        <f t="shared" si="75"/>
        <v/>
      </c>
      <c r="R2293" s="54" t="str">
        <f t="shared" si="74"/>
        <v/>
      </c>
    </row>
    <row r="2294" spans="17:18" x14ac:dyDescent="0.3">
      <c r="Q2294" t="str">
        <f t="shared" si="75"/>
        <v/>
      </c>
      <c r="R2294" s="54" t="str">
        <f t="shared" si="74"/>
        <v/>
      </c>
    </row>
    <row r="2295" spans="17:18" x14ac:dyDescent="0.3">
      <c r="Q2295" t="str">
        <f t="shared" si="75"/>
        <v/>
      </c>
      <c r="R2295" s="54" t="str">
        <f t="shared" si="74"/>
        <v/>
      </c>
    </row>
    <row r="2296" spans="17:18" x14ac:dyDescent="0.3">
      <c r="Q2296" t="str">
        <f t="shared" si="75"/>
        <v/>
      </c>
      <c r="R2296" s="54" t="str">
        <f t="shared" si="74"/>
        <v/>
      </c>
    </row>
    <row r="2297" spans="17:18" x14ac:dyDescent="0.3">
      <c r="Q2297" t="str">
        <f t="shared" si="75"/>
        <v/>
      </c>
      <c r="R2297" s="54" t="str">
        <f t="shared" si="74"/>
        <v/>
      </c>
    </row>
    <row r="2298" spans="17:18" x14ac:dyDescent="0.3">
      <c r="Q2298" t="str">
        <f t="shared" si="75"/>
        <v/>
      </c>
      <c r="R2298" s="54" t="str">
        <f t="shared" si="74"/>
        <v/>
      </c>
    </row>
    <row r="2299" spans="17:18" x14ac:dyDescent="0.3">
      <c r="Q2299" t="str">
        <f t="shared" si="75"/>
        <v/>
      </c>
      <c r="R2299" s="54" t="str">
        <f t="shared" si="74"/>
        <v/>
      </c>
    </row>
    <row r="2300" spans="17:18" x14ac:dyDescent="0.3">
      <c r="Q2300" t="str">
        <f t="shared" si="75"/>
        <v/>
      </c>
      <c r="R2300" s="54" t="str">
        <f t="shared" si="74"/>
        <v/>
      </c>
    </row>
    <row r="2301" spans="17:18" x14ac:dyDescent="0.3">
      <c r="Q2301" t="str">
        <f t="shared" si="75"/>
        <v/>
      </c>
      <c r="R2301" s="54" t="str">
        <f t="shared" si="74"/>
        <v/>
      </c>
    </row>
    <row r="2302" spans="17:18" x14ac:dyDescent="0.3">
      <c r="Q2302" t="str">
        <f t="shared" si="75"/>
        <v/>
      </c>
      <c r="R2302" s="54" t="str">
        <f t="shared" si="74"/>
        <v/>
      </c>
    </row>
    <row r="2303" spans="17:18" x14ac:dyDescent="0.3">
      <c r="Q2303" t="str">
        <f t="shared" si="75"/>
        <v/>
      </c>
      <c r="R2303" s="54" t="str">
        <f t="shared" si="74"/>
        <v/>
      </c>
    </row>
    <row r="2304" spans="17:18" x14ac:dyDescent="0.3">
      <c r="Q2304" t="str">
        <f t="shared" si="75"/>
        <v/>
      </c>
      <c r="R2304" s="54" t="str">
        <f t="shared" si="74"/>
        <v/>
      </c>
    </row>
    <row r="2305" spans="17:18" x14ac:dyDescent="0.3">
      <c r="Q2305" t="str">
        <f t="shared" si="75"/>
        <v/>
      </c>
      <c r="R2305" s="54" t="str">
        <f t="shared" si="74"/>
        <v/>
      </c>
    </row>
    <row r="2306" spans="17:18" x14ac:dyDescent="0.3">
      <c r="Q2306" t="str">
        <f t="shared" si="75"/>
        <v/>
      </c>
      <c r="R2306" s="54" t="str">
        <f t="shared" si="74"/>
        <v/>
      </c>
    </row>
    <row r="2307" spans="17:18" x14ac:dyDescent="0.3">
      <c r="Q2307" t="str">
        <f t="shared" si="75"/>
        <v/>
      </c>
      <c r="R2307" s="54" t="str">
        <f t="shared" ref="R2307:R2370" si="76">IF(F2321="","",IFERROR(IF(ISNUMBER(F2321),F2321,DATEVALUE(F2321)),""))</f>
        <v/>
      </c>
    </row>
    <row r="2308" spans="17:18" x14ac:dyDescent="0.3">
      <c r="Q2308" t="str">
        <f t="shared" si="75"/>
        <v/>
      </c>
      <c r="R2308" s="54" t="str">
        <f t="shared" si="76"/>
        <v/>
      </c>
    </row>
    <row r="2309" spans="17:18" x14ac:dyDescent="0.3">
      <c r="Q2309" t="str">
        <f t="shared" si="75"/>
        <v/>
      </c>
      <c r="R2309" s="54" t="str">
        <f t="shared" si="76"/>
        <v/>
      </c>
    </row>
    <row r="2310" spans="17:18" x14ac:dyDescent="0.3">
      <c r="Q2310" t="str">
        <f t="shared" si="75"/>
        <v/>
      </c>
      <c r="R2310" s="54" t="str">
        <f t="shared" si="76"/>
        <v/>
      </c>
    </row>
    <row r="2311" spans="17:18" x14ac:dyDescent="0.3">
      <c r="Q2311" t="str">
        <f t="shared" si="75"/>
        <v/>
      </c>
      <c r="R2311" s="54" t="str">
        <f t="shared" si="76"/>
        <v/>
      </c>
    </row>
    <row r="2312" spans="17:18" x14ac:dyDescent="0.3">
      <c r="Q2312" t="str">
        <f t="shared" si="75"/>
        <v/>
      </c>
      <c r="R2312" s="54" t="str">
        <f t="shared" si="76"/>
        <v/>
      </c>
    </row>
    <row r="2313" spans="17:18" x14ac:dyDescent="0.3">
      <c r="Q2313" t="str">
        <f t="shared" si="75"/>
        <v/>
      </c>
      <c r="R2313" s="54" t="str">
        <f t="shared" si="76"/>
        <v/>
      </c>
    </row>
    <row r="2314" spans="17:18" x14ac:dyDescent="0.3">
      <c r="Q2314" t="str">
        <f t="shared" si="75"/>
        <v/>
      </c>
      <c r="R2314" s="54" t="str">
        <f t="shared" si="76"/>
        <v/>
      </c>
    </row>
    <row r="2315" spans="17:18" x14ac:dyDescent="0.3">
      <c r="Q2315" t="str">
        <f t="shared" si="75"/>
        <v/>
      </c>
      <c r="R2315" s="54" t="str">
        <f t="shared" si="76"/>
        <v/>
      </c>
    </row>
    <row r="2316" spans="17:18" x14ac:dyDescent="0.3">
      <c r="Q2316" t="str">
        <f t="shared" si="75"/>
        <v/>
      </c>
      <c r="R2316" s="54" t="str">
        <f t="shared" si="76"/>
        <v/>
      </c>
    </row>
    <row r="2317" spans="17:18" x14ac:dyDescent="0.3">
      <c r="Q2317" t="str">
        <f t="shared" si="75"/>
        <v/>
      </c>
      <c r="R2317" s="54" t="str">
        <f t="shared" si="76"/>
        <v/>
      </c>
    </row>
    <row r="2318" spans="17:18" x14ac:dyDescent="0.3">
      <c r="Q2318" t="str">
        <f t="shared" si="75"/>
        <v/>
      </c>
      <c r="R2318" s="54" t="str">
        <f t="shared" si="76"/>
        <v/>
      </c>
    </row>
    <row r="2319" spans="17:18" x14ac:dyDescent="0.3">
      <c r="Q2319" t="str">
        <f t="shared" si="75"/>
        <v/>
      </c>
      <c r="R2319" s="54" t="str">
        <f t="shared" si="76"/>
        <v/>
      </c>
    </row>
    <row r="2320" spans="17:18" x14ac:dyDescent="0.3">
      <c r="Q2320" t="str">
        <f t="shared" si="75"/>
        <v/>
      </c>
      <c r="R2320" s="54" t="str">
        <f t="shared" si="76"/>
        <v/>
      </c>
    </row>
    <row r="2321" spans="17:18" x14ac:dyDescent="0.3">
      <c r="Q2321" t="str">
        <f t="shared" si="75"/>
        <v/>
      </c>
      <c r="R2321" s="54" t="str">
        <f t="shared" si="76"/>
        <v/>
      </c>
    </row>
    <row r="2322" spans="17:18" x14ac:dyDescent="0.3">
      <c r="Q2322" t="str">
        <f t="shared" si="75"/>
        <v/>
      </c>
      <c r="R2322" s="54" t="str">
        <f t="shared" si="76"/>
        <v/>
      </c>
    </row>
    <row r="2323" spans="17:18" x14ac:dyDescent="0.3">
      <c r="Q2323" t="str">
        <f t="shared" si="75"/>
        <v/>
      </c>
      <c r="R2323" s="54" t="str">
        <f t="shared" si="76"/>
        <v/>
      </c>
    </row>
    <row r="2324" spans="17:18" x14ac:dyDescent="0.3">
      <c r="Q2324" t="str">
        <f t="shared" si="75"/>
        <v/>
      </c>
      <c r="R2324" s="54" t="str">
        <f t="shared" si="76"/>
        <v/>
      </c>
    </row>
    <row r="2325" spans="17:18" x14ac:dyDescent="0.3">
      <c r="Q2325" t="str">
        <f t="shared" si="75"/>
        <v/>
      </c>
      <c r="R2325" s="54" t="str">
        <f t="shared" si="76"/>
        <v/>
      </c>
    </row>
    <row r="2326" spans="17:18" x14ac:dyDescent="0.3">
      <c r="Q2326" t="str">
        <f t="shared" si="75"/>
        <v/>
      </c>
      <c r="R2326" s="54" t="str">
        <f t="shared" si="76"/>
        <v/>
      </c>
    </row>
    <row r="2327" spans="17:18" x14ac:dyDescent="0.3">
      <c r="Q2327" t="str">
        <f t="shared" ref="Q2327:Q2390" si="77">IF(COUNTA(A2327:P2327)=0,"",IF(ISNUMBER(SEARCH("-AR-",E2341)),"Architectural",IF(ISNUMBER(SEARCH("-ST-",E2341)),"Structural",IF(ISNUMBER(SEARCH("-ME-",E2341)),"Mechanical",IF(ISNUMBER(SEARCH("-EL-",E2341)),"Electrical",IF(ISNUMBER(SEARCH("-GE-",E2341)),"General",IF(ISNUMBER(SEARCH("-AR-",D2341)),"Architectural",IF(ISNUMBER(SEARCH("-ST-",D2341)),"Structural",IF(ISNUMBER(SEARCH("-ME-",D2341)),"Mechanical",IF(ISNUMBER(SEARCH("-EL-",D2341)),"Electrical",IF(ISNUMBER(SEARCH("-GE-",D2341)),"General","Other")))))))))))</f>
        <v/>
      </c>
      <c r="R2327" s="54" t="str">
        <f t="shared" si="76"/>
        <v/>
      </c>
    </row>
    <row r="2328" spans="17:18" x14ac:dyDescent="0.3">
      <c r="Q2328" t="str">
        <f t="shared" si="77"/>
        <v/>
      </c>
      <c r="R2328" s="54" t="str">
        <f t="shared" si="76"/>
        <v/>
      </c>
    </row>
    <row r="2329" spans="17:18" x14ac:dyDescent="0.3">
      <c r="Q2329" t="str">
        <f t="shared" si="77"/>
        <v/>
      </c>
      <c r="R2329" s="54" t="str">
        <f t="shared" si="76"/>
        <v/>
      </c>
    </row>
    <row r="2330" spans="17:18" x14ac:dyDescent="0.3">
      <c r="Q2330" t="str">
        <f t="shared" si="77"/>
        <v/>
      </c>
      <c r="R2330" s="54" t="str">
        <f t="shared" si="76"/>
        <v/>
      </c>
    </row>
    <row r="2331" spans="17:18" x14ac:dyDescent="0.3">
      <c r="Q2331" t="str">
        <f t="shared" si="77"/>
        <v/>
      </c>
      <c r="R2331" s="54" t="str">
        <f t="shared" si="76"/>
        <v/>
      </c>
    </row>
    <row r="2332" spans="17:18" x14ac:dyDescent="0.3">
      <c r="Q2332" t="str">
        <f t="shared" si="77"/>
        <v/>
      </c>
      <c r="R2332" s="54" t="str">
        <f t="shared" si="76"/>
        <v/>
      </c>
    </row>
    <row r="2333" spans="17:18" x14ac:dyDescent="0.3">
      <c r="Q2333" t="str">
        <f t="shared" si="77"/>
        <v/>
      </c>
      <c r="R2333" s="54" t="str">
        <f t="shared" si="76"/>
        <v/>
      </c>
    </row>
    <row r="2334" spans="17:18" x14ac:dyDescent="0.3">
      <c r="Q2334" t="str">
        <f t="shared" si="77"/>
        <v/>
      </c>
      <c r="R2334" s="54" t="str">
        <f t="shared" si="76"/>
        <v/>
      </c>
    </row>
    <row r="2335" spans="17:18" x14ac:dyDescent="0.3">
      <c r="Q2335" t="str">
        <f t="shared" si="77"/>
        <v/>
      </c>
      <c r="R2335" s="54" t="str">
        <f t="shared" si="76"/>
        <v/>
      </c>
    </row>
    <row r="2336" spans="17:18" x14ac:dyDescent="0.3">
      <c r="Q2336" t="str">
        <f t="shared" si="77"/>
        <v/>
      </c>
      <c r="R2336" s="54" t="str">
        <f t="shared" si="76"/>
        <v/>
      </c>
    </row>
    <row r="2337" spans="17:18" x14ac:dyDescent="0.3">
      <c r="Q2337" t="str">
        <f t="shared" si="77"/>
        <v/>
      </c>
      <c r="R2337" s="54" t="str">
        <f t="shared" si="76"/>
        <v/>
      </c>
    </row>
    <row r="2338" spans="17:18" x14ac:dyDescent="0.3">
      <c r="Q2338" t="str">
        <f t="shared" si="77"/>
        <v/>
      </c>
      <c r="R2338" s="54" t="str">
        <f t="shared" si="76"/>
        <v/>
      </c>
    </row>
    <row r="2339" spans="17:18" x14ac:dyDescent="0.3">
      <c r="Q2339" t="str">
        <f t="shared" si="77"/>
        <v/>
      </c>
      <c r="R2339" s="54" t="str">
        <f t="shared" si="76"/>
        <v/>
      </c>
    </row>
    <row r="2340" spans="17:18" x14ac:dyDescent="0.3">
      <c r="Q2340" t="str">
        <f t="shared" si="77"/>
        <v/>
      </c>
      <c r="R2340" s="54" t="str">
        <f t="shared" si="76"/>
        <v/>
      </c>
    </row>
    <row r="2341" spans="17:18" x14ac:dyDescent="0.3">
      <c r="Q2341" t="str">
        <f t="shared" si="77"/>
        <v/>
      </c>
      <c r="R2341" s="54" t="str">
        <f t="shared" si="76"/>
        <v/>
      </c>
    </row>
    <row r="2342" spans="17:18" x14ac:dyDescent="0.3">
      <c r="Q2342" t="str">
        <f t="shared" si="77"/>
        <v/>
      </c>
      <c r="R2342" s="54" t="str">
        <f t="shared" si="76"/>
        <v/>
      </c>
    </row>
    <row r="2343" spans="17:18" x14ac:dyDescent="0.3">
      <c r="Q2343" t="str">
        <f t="shared" si="77"/>
        <v/>
      </c>
      <c r="R2343" s="54" t="str">
        <f t="shared" si="76"/>
        <v/>
      </c>
    </row>
    <row r="2344" spans="17:18" x14ac:dyDescent="0.3">
      <c r="Q2344" t="str">
        <f t="shared" si="77"/>
        <v/>
      </c>
      <c r="R2344" s="54" t="str">
        <f t="shared" si="76"/>
        <v/>
      </c>
    </row>
    <row r="2345" spans="17:18" x14ac:dyDescent="0.3">
      <c r="Q2345" t="str">
        <f t="shared" si="77"/>
        <v/>
      </c>
      <c r="R2345" s="54" t="str">
        <f t="shared" si="76"/>
        <v/>
      </c>
    </row>
    <row r="2346" spans="17:18" x14ac:dyDescent="0.3">
      <c r="Q2346" t="str">
        <f t="shared" si="77"/>
        <v/>
      </c>
      <c r="R2346" s="54" t="str">
        <f t="shared" si="76"/>
        <v/>
      </c>
    </row>
    <row r="2347" spans="17:18" x14ac:dyDescent="0.3">
      <c r="Q2347" t="str">
        <f t="shared" si="77"/>
        <v/>
      </c>
      <c r="R2347" s="54" t="str">
        <f t="shared" si="76"/>
        <v/>
      </c>
    </row>
    <row r="2348" spans="17:18" x14ac:dyDescent="0.3">
      <c r="Q2348" t="str">
        <f t="shared" si="77"/>
        <v/>
      </c>
      <c r="R2348" s="54" t="str">
        <f t="shared" si="76"/>
        <v/>
      </c>
    </row>
    <row r="2349" spans="17:18" x14ac:dyDescent="0.3">
      <c r="Q2349" t="str">
        <f t="shared" si="77"/>
        <v/>
      </c>
      <c r="R2349" s="54" t="str">
        <f t="shared" si="76"/>
        <v/>
      </c>
    </row>
    <row r="2350" spans="17:18" x14ac:dyDescent="0.3">
      <c r="Q2350" t="str">
        <f t="shared" si="77"/>
        <v/>
      </c>
      <c r="R2350" s="54" t="str">
        <f t="shared" si="76"/>
        <v/>
      </c>
    </row>
    <row r="2351" spans="17:18" x14ac:dyDescent="0.3">
      <c r="Q2351" t="str">
        <f t="shared" si="77"/>
        <v/>
      </c>
      <c r="R2351" s="54" t="str">
        <f t="shared" si="76"/>
        <v/>
      </c>
    </row>
    <row r="2352" spans="17:18" x14ac:dyDescent="0.3">
      <c r="Q2352" t="str">
        <f t="shared" si="77"/>
        <v/>
      </c>
      <c r="R2352" s="54" t="str">
        <f t="shared" si="76"/>
        <v/>
      </c>
    </row>
    <row r="2353" spans="17:18" x14ac:dyDescent="0.3">
      <c r="Q2353" t="str">
        <f t="shared" si="77"/>
        <v/>
      </c>
      <c r="R2353" s="54" t="str">
        <f t="shared" si="76"/>
        <v/>
      </c>
    </row>
    <row r="2354" spans="17:18" x14ac:dyDescent="0.3">
      <c r="Q2354" t="str">
        <f t="shared" si="77"/>
        <v/>
      </c>
      <c r="R2354" s="54" t="str">
        <f t="shared" si="76"/>
        <v/>
      </c>
    </row>
    <row r="2355" spans="17:18" x14ac:dyDescent="0.3">
      <c r="Q2355" t="str">
        <f t="shared" si="77"/>
        <v/>
      </c>
      <c r="R2355" s="54" t="str">
        <f t="shared" si="76"/>
        <v/>
      </c>
    </row>
    <row r="2356" spans="17:18" x14ac:dyDescent="0.3">
      <c r="Q2356" t="str">
        <f t="shared" si="77"/>
        <v/>
      </c>
      <c r="R2356" s="54" t="str">
        <f t="shared" si="76"/>
        <v/>
      </c>
    </row>
    <row r="2357" spans="17:18" x14ac:dyDescent="0.3">
      <c r="Q2357" t="str">
        <f t="shared" si="77"/>
        <v/>
      </c>
      <c r="R2357" s="54" t="str">
        <f t="shared" si="76"/>
        <v/>
      </c>
    </row>
    <row r="2358" spans="17:18" x14ac:dyDescent="0.3">
      <c r="Q2358" t="str">
        <f t="shared" si="77"/>
        <v/>
      </c>
      <c r="R2358" s="54" t="str">
        <f t="shared" si="76"/>
        <v/>
      </c>
    </row>
    <row r="2359" spans="17:18" x14ac:dyDescent="0.3">
      <c r="Q2359" t="str">
        <f t="shared" si="77"/>
        <v/>
      </c>
      <c r="R2359" s="54" t="str">
        <f t="shared" si="76"/>
        <v/>
      </c>
    </row>
    <row r="2360" spans="17:18" x14ac:dyDescent="0.3">
      <c r="Q2360" t="str">
        <f t="shared" si="77"/>
        <v/>
      </c>
      <c r="R2360" s="54" t="str">
        <f t="shared" si="76"/>
        <v/>
      </c>
    </row>
    <row r="2361" spans="17:18" x14ac:dyDescent="0.3">
      <c r="Q2361" t="str">
        <f t="shared" si="77"/>
        <v/>
      </c>
      <c r="R2361" s="54" t="str">
        <f t="shared" si="76"/>
        <v/>
      </c>
    </row>
    <row r="2362" spans="17:18" x14ac:dyDescent="0.3">
      <c r="Q2362" t="str">
        <f t="shared" si="77"/>
        <v/>
      </c>
      <c r="R2362" s="54" t="str">
        <f t="shared" si="76"/>
        <v/>
      </c>
    </row>
    <row r="2363" spans="17:18" x14ac:dyDescent="0.3">
      <c r="Q2363" t="str">
        <f t="shared" si="77"/>
        <v/>
      </c>
      <c r="R2363" s="54" t="str">
        <f t="shared" si="76"/>
        <v/>
      </c>
    </row>
    <row r="2364" spans="17:18" x14ac:dyDescent="0.3">
      <c r="Q2364" t="str">
        <f t="shared" si="77"/>
        <v/>
      </c>
      <c r="R2364" s="54" t="str">
        <f t="shared" si="76"/>
        <v/>
      </c>
    </row>
    <row r="2365" spans="17:18" x14ac:dyDescent="0.3">
      <c r="Q2365" t="str">
        <f t="shared" si="77"/>
        <v/>
      </c>
      <c r="R2365" s="54" t="str">
        <f t="shared" si="76"/>
        <v/>
      </c>
    </row>
    <row r="2366" spans="17:18" x14ac:dyDescent="0.3">
      <c r="Q2366" t="str">
        <f t="shared" si="77"/>
        <v/>
      </c>
      <c r="R2366" s="54" t="str">
        <f t="shared" si="76"/>
        <v/>
      </c>
    </row>
    <row r="2367" spans="17:18" x14ac:dyDescent="0.3">
      <c r="Q2367" t="str">
        <f t="shared" si="77"/>
        <v/>
      </c>
      <c r="R2367" s="54" t="str">
        <f t="shared" si="76"/>
        <v/>
      </c>
    </row>
    <row r="2368" spans="17:18" x14ac:dyDescent="0.3">
      <c r="Q2368" t="str">
        <f t="shared" si="77"/>
        <v/>
      </c>
      <c r="R2368" s="54" t="str">
        <f t="shared" si="76"/>
        <v/>
      </c>
    </row>
    <row r="2369" spans="17:18" x14ac:dyDescent="0.3">
      <c r="Q2369" t="str">
        <f t="shared" si="77"/>
        <v/>
      </c>
      <c r="R2369" s="54" t="str">
        <f t="shared" si="76"/>
        <v/>
      </c>
    </row>
    <row r="2370" spans="17:18" x14ac:dyDescent="0.3">
      <c r="Q2370" t="str">
        <f t="shared" si="77"/>
        <v/>
      </c>
      <c r="R2370" s="54" t="str">
        <f t="shared" si="76"/>
        <v/>
      </c>
    </row>
    <row r="2371" spans="17:18" x14ac:dyDescent="0.3">
      <c r="Q2371" t="str">
        <f t="shared" si="77"/>
        <v/>
      </c>
      <c r="R2371" s="54" t="str">
        <f t="shared" ref="R2371:R2434" si="78">IF(F2385="","",IFERROR(IF(ISNUMBER(F2385),F2385,DATEVALUE(F2385)),""))</f>
        <v/>
      </c>
    </row>
    <row r="2372" spans="17:18" x14ac:dyDescent="0.3">
      <c r="Q2372" t="str">
        <f t="shared" si="77"/>
        <v/>
      </c>
      <c r="R2372" s="54" t="str">
        <f t="shared" si="78"/>
        <v/>
      </c>
    </row>
    <row r="2373" spans="17:18" x14ac:dyDescent="0.3">
      <c r="Q2373" t="str">
        <f t="shared" si="77"/>
        <v/>
      </c>
      <c r="R2373" s="54" t="str">
        <f t="shared" si="78"/>
        <v/>
      </c>
    </row>
    <row r="2374" spans="17:18" x14ac:dyDescent="0.3">
      <c r="Q2374" t="str">
        <f t="shared" si="77"/>
        <v/>
      </c>
      <c r="R2374" s="54" t="str">
        <f t="shared" si="78"/>
        <v/>
      </c>
    </row>
    <row r="2375" spans="17:18" x14ac:dyDescent="0.3">
      <c r="Q2375" t="str">
        <f t="shared" si="77"/>
        <v/>
      </c>
      <c r="R2375" s="54" t="str">
        <f t="shared" si="78"/>
        <v/>
      </c>
    </row>
    <row r="2376" spans="17:18" x14ac:dyDescent="0.3">
      <c r="Q2376" t="str">
        <f t="shared" si="77"/>
        <v/>
      </c>
      <c r="R2376" s="54" t="str">
        <f t="shared" si="78"/>
        <v/>
      </c>
    </row>
    <row r="2377" spans="17:18" x14ac:dyDescent="0.3">
      <c r="Q2377" t="str">
        <f t="shared" si="77"/>
        <v/>
      </c>
      <c r="R2377" s="54" t="str">
        <f t="shared" si="78"/>
        <v/>
      </c>
    </row>
    <row r="2378" spans="17:18" x14ac:dyDescent="0.3">
      <c r="Q2378" t="str">
        <f t="shared" si="77"/>
        <v/>
      </c>
      <c r="R2378" s="54" t="str">
        <f t="shared" si="78"/>
        <v/>
      </c>
    </row>
    <row r="2379" spans="17:18" x14ac:dyDescent="0.3">
      <c r="Q2379" t="str">
        <f t="shared" si="77"/>
        <v/>
      </c>
      <c r="R2379" s="54" t="str">
        <f t="shared" si="78"/>
        <v/>
      </c>
    </row>
    <row r="2380" spans="17:18" x14ac:dyDescent="0.3">
      <c r="Q2380" t="str">
        <f t="shared" si="77"/>
        <v/>
      </c>
      <c r="R2380" s="54" t="str">
        <f t="shared" si="78"/>
        <v/>
      </c>
    </row>
    <row r="2381" spans="17:18" x14ac:dyDescent="0.3">
      <c r="Q2381" t="str">
        <f t="shared" si="77"/>
        <v/>
      </c>
      <c r="R2381" s="54" t="str">
        <f t="shared" si="78"/>
        <v/>
      </c>
    </row>
    <row r="2382" spans="17:18" x14ac:dyDescent="0.3">
      <c r="Q2382" t="str">
        <f t="shared" si="77"/>
        <v/>
      </c>
      <c r="R2382" s="54" t="str">
        <f t="shared" si="78"/>
        <v/>
      </c>
    </row>
    <row r="2383" spans="17:18" x14ac:dyDescent="0.3">
      <c r="Q2383" t="str">
        <f t="shared" si="77"/>
        <v/>
      </c>
      <c r="R2383" s="54" t="str">
        <f t="shared" si="78"/>
        <v/>
      </c>
    </row>
    <row r="2384" spans="17:18" x14ac:dyDescent="0.3">
      <c r="Q2384" t="str">
        <f t="shared" si="77"/>
        <v/>
      </c>
      <c r="R2384" s="54" t="str">
        <f t="shared" si="78"/>
        <v/>
      </c>
    </row>
    <row r="2385" spans="17:18" x14ac:dyDescent="0.3">
      <c r="Q2385" t="str">
        <f t="shared" si="77"/>
        <v/>
      </c>
      <c r="R2385" s="54" t="str">
        <f t="shared" si="78"/>
        <v/>
      </c>
    </row>
    <row r="2386" spans="17:18" x14ac:dyDescent="0.3">
      <c r="Q2386" t="str">
        <f t="shared" si="77"/>
        <v/>
      </c>
      <c r="R2386" s="54" t="str">
        <f t="shared" si="78"/>
        <v/>
      </c>
    </row>
    <row r="2387" spans="17:18" x14ac:dyDescent="0.3">
      <c r="Q2387" t="str">
        <f t="shared" si="77"/>
        <v/>
      </c>
      <c r="R2387" s="54" t="str">
        <f t="shared" si="78"/>
        <v/>
      </c>
    </row>
    <row r="2388" spans="17:18" x14ac:dyDescent="0.3">
      <c r="Q2388" t="str">
        <f t="shared" si="77"/>
        <v/>
      </c>
      <c r="R2388" s="54" t="str">
        <f t="shared" si="78"/>
        <v/>
      </c>
    </row>
    <row r="2389" spans="17:18" x14ac:dyDescent="0.3">
      <c r="Q2389" t="str">
        <f t="shared" si="77"/>
        <v/>
      </c>
      <c r="R2389" s="54" t="str">
        <f t="shared" si="78"/>
        <v/>
      </c>
    </row>
    <row r="2390" spans="17:18" x14ac:dyDescent="0.3">
      <c r="Q2390" t="str">
        <f t="shared" si="77"/>
        <v/>
      </c>
      <c r="R2390" s="54" t="str">
        <f t="shared" si="78"/>
        <v/>
      </c>
    </row>
    <row r="2391" spans="17:18" x14ac:dyDescent="0.3">
      <c r="Q2391" t="str">
        <f t="shared" ref="Q2391:Q2454" si="79">IF(COUNTA(A2391:P2391)=0,"",IF(ISNUMBER(SEARCH("-AR-",E2405)),"Architectural",IF(ISNUMBER(SEARCH("-ST-",E2405)),"Structural",IF(ISNUMBER(SEARCH("-ME-",E2405)),"Mechanical",IF(ISNUMBER(SEARCH("-EL-",E2405)),"Electrical",IF(ISNUMBER(SEARCH("-GE-",E2405)),"General",IF(ISNUMBER(SEARCH("-AR-",D2405)),"Architectural",IF(ISNUMBER(SEARCH("-ST-",D2405)),"Structural",IF(ISNUMBER(SEARCH("-ME-",D2405)),"Mechanical",IF(ISNUMBER(SEARCH("-EL-",D2405)),"Electrical",IF(ISNUMBER(SEARCH("-GE-",D2405)),"General","Other")))))))))))</f>
        <v/>
      </c>
      <c r="R2391" s="54" t="str">
        <f t="shared" si="78"/>
        <v/>
      </c>
    </row>
    <row r="2392" spans="17:18" x14ac:dyDescent="0.3">
      <c r="Q2392" t="str">
        <f t="shared" si="79"/>
        <v/>
      </c>
      <c r="R2392" s="54" t="str">
        <f t="shared" si="78"/>
        <v/>
      </c>
    </row>
    <row r="2393" spans="17:18" x14ac:dyDescent="0.3">
      <c r="Q2393" t="str">
        <f t="shared" si="79"/>
        <v/>
      </c>
      <c r="R2393" s="54" t="str">
        <f t="shared" si="78"/>
        <v/>
      </c>
    </row>
    <row r="2394" spans="17:18" x14ac:dyDescent="0.3">
      <c r="Q2394" t="str">
        <f t="shared" si="79"/>
        <v/>
      </c>
      <c r="R2394" s="54" t="str">
        <f t="shared" si="78"/>
        <v/>
      </c>
    </row>
    <row r="2395" spans="17:18" x14ac:dyDescent="0.3">
      <c r="Q2395" t="str">
        <f t="shared" si="79"/>
        <v/>
      </c>
      <c r="R2395" s="54" t="str">
        <f t="shared" si="78"/>
        <v/>
      </c>
    </row>
    <row r="2396" spans="17:18" x14ac:dyDescent="0.3">
      <c r="Q2396" t="str">
        <f t="shared" si="79"/>
        <v/>
      </c>
      <c r="R2396" s="54" t="str">
        <f t="shared" si="78"/>
        <v/>
      </c>
    </row>
    <row r="2397" spans="17:18" x14ac:dyDescent="0.3">
      <c r="Q2397" t="str">
        <f t="shared" si="79"/>
        <v/>
      </c>
      <c r="R2397" s="54" t="str">
        <f t="shared" si="78"/>
        <v/>
      </c>
    </row>
    <row r="2398" spans="17:18" x14ac:dyDescent="0.3">
      <c r="Q2398" t="str">
        <f t="shared" si="79"/>
        <v/>
      </c>
      <c r="R2398" s="54" t="str">
        <f t="shared" si="78"/>
        <v/>
      </c>
    </row>
    <row r="2399" spans="17:18" x14ac:dyDescent="0.3">
      <c r="Q2399" t="str">
        <f t="shared" si="79"/>
        <v/>
      </c>
      <c r="R2399" s="54" t="str">
        <f t="shared" si="78"/>
        <v/>
      </c>
    </row>
    <row r="2400" spans="17:18" x14ac:dyDescent="0.3">
      <c r="Q2400" t="str">
        <f t="shared" si="79"/>
        <v/>
      </c>
      <c r="R2400" s="54" t="str">
        <f t="shared" si="78"/>
        <v/>
      </c>
    </row>
    <row r="2401" spans="17:18" x14ac:dyDescent="0.3">
      <c r="Q2401" t="str">
        <f t="shared" si="79"/>
        <v/>
      </c>
      <c r="R2401" s="54" t="str">
        <f t="shared" si="78"/>
        <v/>
      </c>
    </row>
    <row r="2402" spans="17:18" x14ac:dyDescent="0.3">
      <c r="Q2402" t="str">
        <f t="shared" si="79"/>
        <v/>
      </c>
      <c r="R2402" s="54" t="str">
        <f t="shared" si="78"/>
        <v/>
      </c>
    </row>
    <row r="2403" spans="17:18" x14ac:dyDescent="0.3">
      <c r="Q2403" t="str">
        <f t="shared" si="79"/>
        <v/>
      </c>
      <c r="R2403" s="54" t="str">
        <f t="shared" si="78"/>
        <v/>
      </c>
    </row>
    <row r="2404" spans="17:18" x14ac:dyDescent="0.3">
      <c r="Q2404" t="str">
        <f t="shared" si="79"/>
        <v/>
      </c>
      <c r="R2404" s="54" t="str">
        <f t="shared" si="78"/>
        <v/>
      </c>
    </row>
    <row r="2405" spans="17:18" x14ac:dyDescent="0.3">
      <c r="Q2405" t="str">
        <f t="shared" si="79"/>
        <v/>
      </c>
      <c r="R2405" s="54" t="str">
        <f t="shared" si="78"/>
        <v/>
      </c>
    </row>
    <row r="2406" spans="17:18" x14ac:dyDescent="0.3">
      <c r="Q2406" t="str">
        <f t="shared" si="79"/>
        <v/>
      </c>
      <c r="R2406" s="54" t="str">
        <f t="shared" si="78"/>
        <v/>
      </c>
    </row>
    <row r="2407" spans="17:18" x14ac:dyDescent="0.3">
      <c r="Q2407" t="str">
        <f t="shared" si="79"/>
        <v/>
      </c>
      <c r="R2407" s="54" t="str">
        <f t="shared" si="78"/>
        <v/>
      </c>
    </row>
    <row r="2408" spans="17:18" x14ac:dyDescent="0.3">
      <c r="Q2408" t="str">
        <f t="shared" si="79"/>
        <v/>
      </c>
      <c r="R2408" s="54" t="str">
        <f t="shared" si="78"/>
        <v/>
      </c>
    </row>
    <row r="2409" spans="17:18" x14ac:dyDescent="0.3">
      <c r="Q2409" t="str">
        <f t="shared" si="79"/>
        <v/>
      </c>
      <c r="R2409" s="54" t="str">
        <f t="shared" si="78"/>
        <v/>
      </c>
    </row>
    <row r="2410" spans="17:18" x14ac:dyDescent="0.3">
      <c r="Q2410" t="str">
        <f t="shared" si="79"/>
        <v/>
      </c>
      <c r="R2410" s="54" t="str">
        <f t="shared" si="78"/>
        <v/>
      </c>
    </row>
    <row r="2411" spans="17:18" x14ac:dyDescent="0.3">
      <c r="Q2411" t="str">
        <f t="shared" si="79"/>
        <v/>
      </c>
      <c r="R2411" s="54" t="str">
        <f t="shared" si="78"/>
        <v/>
      </c>
    </row>
    <row r="2412" spans="17:18" x14ac:dyDescent="0.3">
      <c r="Q2412" t="str">
        <f t="shared" si="79"/>
        <v/>
      </c>
      <c r="R2412" s="54" t="str">
        <f t="shared" si="78"/>
        <v/>
      </c>
    </row>
    <row r="2413" spans="17:18" x14ac:dyDescent="0.3">
      <c r="Q2413" t="str">
        <f t="shared" si="79"/>
        <v/>
      </c>
      <c r="R2413" s="54" t="str">
        <f t="shared" si="78"/>
        <v/>
      </c>
    </row>
    <row r="2414" spans="17:18" x14ac:dyDescent="0.3">
      <c r="Q2414" t="str">
        <f t="shared" si="79"/>
        <v/>
      </c>
      <c r="R2414" s="54" t="str">
        <f t="shared" si="78"/>
        <v/>
      </c>
    </row>
    <row r="2415" spans="17:18" x14ac:dyDescent="0.3">
      <c r="Q2415" t="str">
        <f t="shared" si="79"/>
        <v/>
      </c>
      <c r="R2415" s="54" t="str">
        <f t="shared" si="78"/>
        <v/>
      </c>
    </row>
    <row r="2416" spans="17:18" x14ac:dyDescent="0.3">
      <c r="Q2416" t="str">
        <f t="shared" si="79"/>
        <v/>
      </c>
      <c r="R2416" s="54" t="str">
        <f t="shared" si="78"/>
        <v/>
      </c>
    </row>
    <row r="2417" spans="17:18" x14ac:dyDescent="0.3">
      <c r="Q2417" t="str">
        <f t="shared" si="79"/>
        <v/>
      </c>
      <c r="R2417" s="54" t="str">
        <f t="shared" si="78"/>
        <v/>
      </c>
    </row>
    <row r="2418" spans="17:18" x14ac:dyDescent="0.3">
      <c r="Q2418" t="str">
        <f t="shared" si="79"/>
        <v/>
      </c>
      <c r="R2418" s="54" t="str">
        <f t="shared" si="78"/>
        <v/>
      </c>
    </row>
    <row r="2419" spans="17:18" x14ac:dyDescent="0.3">
      <c r="Q2419" t="str">
        <f t="shared" si="79"/>
        <v/>
      </c>
      <c r="R2419" s="54" t="str">
        <f t="shared" si="78"/>
        <v/>
      </c>
    </row>
    <row r="2420" spans="17:18" x14ac:dyDescent="0.3">
      <c r="Q2420" t="str">
        <f t="shared" si="79"/>
        <v/>
      </c>
      <c r="R2420" s="54" t="str">
        <f t="shared" si="78"/>
        <v/>
      </c>
    </row>
    <row r="2421" spans="17:18" x14ac:dyDescent="0.3">
      <c r="Q2421" t="str">
        <f t="shared" si="79"/>
        <v/>
      </c>
      <c r="R2421" s="54" t="str">
        <f t="shared" si="78"/>
        <v/>
      </c>
    </row>
    <row r="2422" spans="17:18" x14ac:dyDescent="0.3">
      <c r="Q2422" t="str">
        <f t="shared" si="79"/>
        <v/>
      </c>
      <c r="R2422" s="54" t="str">
        <f t="shared" si="78"/>
        <v/>
      </c>
    </row>
    <row r="2423" spans="17:18" x14ac:dyDescent="0.3">
      <c r="Q2423" t="str">
        <f t="shared" si="79"/>
        <v/>
      </c>
      <c r="R2423" s="54" t="str">
        <f t="shared" si="78"/>
        <v/>
      </c>
    </row>
    <row r="2424" spans="17:18" x14ac:dyDescent="0.3">
      <c r="Q2424" t="str">
        <f t="shared" si="79"/>
        <v/>
      </c>
      <c r="R2424" s="54" t="str">
        <f t="shared" si="78"/>
        <v/>
      </c>
    </row>
    <row r="2425" spans="17:18" x14ac:dyDescent="0.3">
      <c r="Q2425" t="str">
        <f t="shared" si="79"/>
        <v/>
      </c>
      <c r="R2425" s="54" t="str">
        <f t="shared" si="78"/>
        <v/>
      </c>
    </row>
    <row r="2426" spans="17:18" x14ac:dyDescent="0.3">
      <c r="Q2426" t="str">
        <f t="shared" si="79"/>
        <v/>
      </c>
      <c r="R2426" s="54" t="str">
        <f t="shared" si="78"/>
        <v/>
      </c>
    </row>
    <row r="2427" spans="17:18" x14ac:dyDescent="0.3">
      <c r="Q2427" t="str">
        <f t="shared" si="79"/>
        <v/>
      </c>
      <c r="R2427" s="54" t="str">
        <f t="shared" si="78"/>
        <v/>
      </c>
    </row>
    <row r="2428" spans="17:18" x14ac:dyDescent="0.3">
      <c r="Q2428" t="str">
        <f t="shared" si="79"/>
        <v/>
      </c>
      <c r="R2428" s="54" t="str">
        <f t="shared" si="78"/>
        <v/>
      </c>
    </row>
    <row r="2429" spans="17:18" x14ac:dyDescent="0.3">
      <c r="Q2429" t="str">
        <f t="shared" si="79"/>
        <v/>
      </c>
      <c r="R2429" s="54" t="str">
        <f t="shared" si="78"/>
        <v/>
      </c>
    </row>
    <row r="2430" spans="17:18" x14ac:dyDescent="0.3">
      <c r="Q2430" t="str">
        <f t="shared" si="79"/>
        <v/>
      </c>
      <c r="R2430" s="54" t="str">
        <f t="shared" si="78"/>
        <v/>
      </c>
    </row>
    <row r="2431" spans="17:18" x14ac:dyDescent="0.3">
      <c r="Q2431" t="str">
        <f t="shared" si="79"/>
        <v/>
      </c>
      <c r="R2431" s="54" t="str">
        <f t="shared" si="78"/>
        <v/>
      </c>
    </row>
    <row r="2432" spans="17:18" x14ac:dyDescent="0.3">
      <c r="Q2432" t="str">
        <f t="shared" si="79"/>
        <v/>
      </c>
      <c r="R2432" s="54" t="str">
        <f t="shared" si="78"/>
        <v/>
      </c>
    </row>
    <row r="2433" spans="17:18" x14ac:dyDescent="0.3">
      <c r="Q2433" t="str">
        <f t="shared" si="79"/>
        <v/>
      </c>
      <c r="R2433" s="54" t="str">
        <f t="shared" si="78"/>
        <v/>
      </c>
    </row>
    <row r="2434" spans="17:18" x14ac:dyDescent="0.3">
      <c r="Q2434" t="str">
        <f t="shared" si="79"/>
        <v/>
      </c>
      <c r="R2434" s="54" t="str">
        <f t="shared" si="78"/>
        <v/>
      </c>
    </row>
    <row r="2435" spans="17:18" x14ac:dyDescent="0.3">
      <c r="Q2435" t="str">
        <f t="shared" si="79"/>
        <v/>
      </c>
      <c r="R2435" s="54" t="str">
        <f t="shared" ref="R2435:R2498" si="80">IF(F2449="","",IFERROR(IF(ISNUMBER(F2449),F2449,DATEVALUE(F2449)),""))</f>
        <v/>
      </c>
    </row>
    <row r="2436" spans="17:18" x14ac:dyDescent="0.3">
      <c r="Q2436" t="str">
        <f t="shared" si="79"/>
        <v/>
      </c>
      <c r="R2436" s="54" t="str">
        <f t="shared" si="80"/>
        <v/>
      </c>
    </row>
    <row r="2437" spans="17:18" x14ac:dyDescent="0.3">
      <c r="Q2437" t="str">
        <f t="shared" si="79"/>
        <v/>
      </c>
      <c r="R2437" s="54" t="str">
        <f t="shared" si="80"/>
        <v/>
      </c>
    </row>
    <row r="2438" spans="17:18" x14ac:dyDescent="0.3">
      <c r="Q2438" t="str">
        <f t="shared" si="79"/>
        <v/>
      </c>
      <c r="R2438" s="54" t="str">
        <f t="shared" si="80"/>
        <v/>
      </c>
    </row>
    <row r="2439" spans="17:18" x14ac:dyDescent="0.3">
      <c r="Q2439" t="str">
        <f t="shared" si="79"/>
        <v/>
      </c>
      <c r="R2439" s="54" t="str">
        <f t="shared" si="80"/>
        <v/>
      </c>
    </row>
    <row r="2440" spans="17:18" x14ac:dyDescent="0.3">
      <c r="Q2440" t="str">
        <f t="shared" si="79"/>
        <v/>
      </c>
      <c r="R2440" s="54" t="str">
        <f t="shared" si="80"/>
        <v/>
      </c>
    </row>
    <row r="2441" spans="17:18" x14ac:dyDescent="0.3">
      <c r="Q2441" t="str">
        <f t="shared" si="79"/>
        <v/>
      </c>
      <c r="R2441" s="54" t="str">
        <f t="shared" si="80"/>
        <v/>
      </c>
    </row>
    <row r="2442" spans="17:18" x14ac:dyDescent="0.3">
      <c r="Q2442" t="str">
        <f t="shared" si="79"/>
        <v/>
      </c>
      <c r="R2442" s="54" t="str">
        <f t="shared" si="80"/>
        <v/>
      </c>
    </row>
    <row r="2443" spans="17:18" x14ac:dyDescent="0.3">
      <c r="Q2443" t="str">
        <f t="shared" si="79"/>
        <v/>
      </c>
      <c r="R2443" s="54" t="str">
        <f t="shared" si="80"/>
        <v/>
      </c>
    </row>
    <row r="2444" spans="17:18" x14ac:dyDescent="0.3">
      <c r="Q2444" t="str">
        <f t="shared" si="79"/>
        <v/>
      </c>
      <c r="R2444" s="54" t="str">
        <f t="shared" si="80"/>
        <v/>
      </c>
    </row>
    <row r="2445" spans="17:18" x14ac:dyDescent="0.3">
      <c r="Q2445" t="str">
        <f t="shared" si="79"/>
        <v/>
      </c>
      <c r="R2445" s="54" t="str">
        <f t="shared" si="80"/>
        <v/>
      </c>
    </row>
    <row r="2446" spans="17:18" x14ac:dyDescent="0.3">
      <c r="Q2446" t="str">
        <f t="shared" si="79"/>
        <v/>
      </c>
      <c r="R2446" s="54" t="str">
        <f t="shared" si="80"/>
        <v/>
      </c>
    </row>
    <row r="2447" spans="17:18" x14ac:dyDescent="0.3">
      <c r="Q2447" t="str">
        <f t="shared" si="79"/>
        <v/>
      </c>
      <c r="R2447" s="54" t="str">
        <f t="shared" si="80"/>
        <v/>
      </c>
    </row>
    <row r="2448" spans="17:18" x14ac:dyDescent="0.3">
      <c r="Q2448" t="str">
        <f t="shared" si="79"/>
        <v/>
      </c>
      <c r="R2448" s="54" t="str">
        <f t="shared" si="80"/>
        <v/>
      </c>
    </row>
    <row r="2449" spans="17:18" x14ac:dyDescent="0.3">
      <c r="Q2449" t="str">
        <f t="shared" si="79"/>
        <v/>
      </c>
      <c r="R2449" s="54" t="str">
        <f t="shared" si="80"/>
        <v/>
      </c>
    </row>
    <row r="2450" spans="17:18" x14ac:dyDescent="0.3">
      <c r="Q2450" t="str">
        <f t="shared" si="79"/>
        <v/>
      </c>
      <c r="R2450" s="54" t="str">
        <f t="shared" si="80"/>
        <v/>
      </c>
    </row>
    <row r="2451" spans="17:18" x14ac:dyDescent="0.3">
      <c r="Q2451" t="str">
        <f t="shared" si="79"/>
        <v/>
      </c>
      <c r="R2451" s="54" t="str">
        <f t="shared" si="80"/>
        <v/>
      </c>
    </row>
    <row r="2452" spans="17:18" x14ac:dyDescent="0.3">
      <c r="Q2452" t="str">
        <f t="shared" si="79"/>
        <v/>
      </c>
      <c r="R2452" s="54" t="str">
        <f t="shared" si="80"/>
        <v/>
      </c>
    </row>
    <row r="2453" spans="17:18" x14ac:dyDescent="0.3">
      <c r="Q2453" t="str">
        <f t="shared" si="79"/>
        <v/>
      </c>
      <c r="R2453" s="54" t="str">
        <f t="shared" si="80"/>
        <v/>
      </c>
    </row>
    <row r="2454" spans="17:18" x14ac:dyDescent="0.3">
      <c r="Q2454" t="str">
        <f t="shared" si="79"/>
        <v/>
      </c>
      <c r="R2454" s="54" t="str">
        <f t="shared" si="80"/>
        <v/>
      </c>
    </row>
    <row r="2455" spans="17:18" x14ac:dyDescent="0.3">
      <c r="Q2455" t="str">
        <f t="shared" ref="Q2455:Q2518" si="81">IF(COUNTA(A2455:P2455)=0,"",IF(ISNUMBER(SEARCH("-AR-",E2469)),"Architectural",IF(ISNUMBER(SEARCH("-ST-",E2469)),"Structural",IF(ISNUMBER(SEARCH("-ME-",E2469)),"Mechanical",IF(ISNUMBER(SEARCH("-EL-",E2469)),"Electrical",IF(ISNUMBER(SEARCH("-GE-",E2469)),"General",IF(ISNUMBER(SEARCH("-AR-",D2469)),"Architectural",IF(ISNUMBER(SEARCH("-ST-",D2469)),"Structural",IF(ISNUMBER(SEARCH("-ME-",D2469)),"Mechanical",IF(ISNUMBER(SEARCH("-EL-",D2469)),"Electrical",IF(ISNUMBER(SEARCH("-GE-",D2469)),"General","Other")))))))))))</f>
        <v/>
      </c>
      <c r="R2455" s="54" t="str">
        <f t="shared" si="80"/>
        <v/>
      </c>
    </row>
    <row r="2456" spans="17:18" x14ac:dyDescent="0.3">
      <c r="Q2456" t="str">
        <f t="shared" si="81"/>
        <v/>
      </c>
      <c r="R2456" s="54" t="str">
        <f t="shared" si="80"/>
        <v/>
      </c>
    </row>
    <row r="2457" spans="17:18" x14ac:dyDescent="0.3">
      <c r="Q2457" t="str">
        <f t="shared" si="81"/>
        <v/>
      </c>
      <c r="R2457" s="54" t="str">
        <f t="shared" si="80"/>
        <v/>
      </c>
    </row>
    <row r="2458" spans="17:18" x14ac:dyDescent="0.3">
      <c r="Q2458" t="str">
        <f t="shared" si="81"/>
        <v/>
      </c>
      <c r="R2458" s="54" t="str">
        <f t="shared" si="80"/>
        <v/>
      </c>
    </row>
    <row r="2459" spans="17:18" x14ac:dyDescent="0.3">
      <c r="Q2459" t="str">
        <f t="shared" si="81"/>
        <v/>
      </c>
      <c r="R2459" s="54" t="str">
        <f t="shared" si="80"/>
        <v/>
      </c>
    </row>
    <row r="2460" spans="17:18" x14ac:dyDescent="0.3">
      <c r="Q2460" t="str">
        <f t="shared" si="81"/>
        <v/>
      </c>
      <c r="R2460" s="54" t="str">
        <f t="shared" si="80"/>
        <v/>
      </c>
    </row>
    <row r="2461" spans="17:18" x14ac:dyDescent="0.3">
      <c r="Q2461" t="str">
        <f t="shared" si="81"/>
        <v/>
      </c>
      <c r="R2461" s="54" t="str">
        <f t="shared" si="80"/>
        <v/>
      </c>
    </row>
    <row r="2462" spans="17:18" x14ac:dyDescent="0.3">
      <c r="Q2462" t="str">
        <f t="shared" si="81"/>
        <v/>
      </c>
      <c r="R2462" s="54" t="str">
        <f t="shared" si="80"/>
        <v/>
      </c>
    </row>
    <row r="2463" spans="17:18" x14ac:dyDescent="0.3">
      <c r="Q2463" t="str">
        <f t="shared" si="81"/>
        <v/>
      </c>
      <c r="R2463" s="54" t="str">
        <f t="shared" si="80"/>
        <v/>
      </c>
    </row>
    <row r="2464" spans="17:18" x14ac:dyDescent="0.3">
      <c r="Q2464" t="str">
        <f t="shared" si="81"/>
        <v/>
      </c>
      <c r="R2464" s="54" t="str">
        <f t="shared" si="80"/>
        <v/>
      </c>
    </row>
    <row r="2465" spans="17:18" x14ac:dyDescent="0.3">
      <c r="Q2465" t="str">
        <f t="shared" si="81"/>
        <v/>
      </c>
      <c r="R2465" s="54" t="str">
        <f t="shared" si="80"/>
        <v/>
      </c>
    </row>
    <row r="2466" spans="17:18" x14ac:dyDescent="0.3">
      <c r="Q2466" t="str">
        <f t="shared" si="81"/>
        <v/>
      </c>
      <c r="R2466" s="54" t="str">
        <f t="shared" si="80"/>
        <v/>
      </c>
    </row>
    <row r="2467" spans="17:18" x14ac:dyDescent="0.3">
      <c r="Q2467" t="str">
        <f t="shared" si="81"/>
        <v/>
      </c>
      <c r="R2467" s="54" t="str">
        <f t="shared" si="80"/>
        <v/>
      </c>
    </row>
    <row r="2468" spans="17:18" x14ac:dyDescent="0.3">
      <c r="Q2468" t="str">
        <f t="shared" si="81"/>
        <v/>
      </c>
      <c r="R2468" s="54" t="str">
        <f t="shared" si="80"/>
        <v/>
      </c>
    </row>
    <row r="2469" spans="17:18" x14ac:dyDescent="0.3">
      <c r="Q2469" t="str">
        <f t="shared" si="81"/>
        <v/>
      </c>
      <c r="R2469" s="54" t="str">
        <f t="shared" si="80"/>
        <v/>
      </c>
    </row>
    <row r="2470" spans="17:18" x14ac:dyDescent="0.3">
      <c r="Q2470" t="str">
        <f t="shared" si="81"/>
        <v/>
      </c>
      <c r="R2470" s="54" t="str">
        <f t="shared" si="80"/>
        <v/>
      </c>
    </row>
    <row r="2471" spans="17:18" x14ac:dyDescent="0.3">
      <c r="Q2471" t="str">
        <f t="shared" si="81"/>
        <v/>
      </c>
      <c r="R2471" s="54" t="str">
        <f t="shared" si="80"/>
        <v/>
      </c>
    </row>
    <row r="2472" spans="17:18" x14ac:dyDescent="0.3">
      <c r="Q2472" t="str">
        <f t="shared" si="81"/>
        <v/>
      </c>
      <c r="R2472" s="54" t="str">
        <f t="shared" si="80"/>
        <v/>
      </c>
    </row>
    <row r="2473" spans="17:18" x14ac:dyDescent="0.3">
      <c r="Q2473" t="str">
        <f t="shared" si="81"/>
        <v/>
      </c>
      <c r="R2473" s="54" t="str">
        <f t="shared" si="80"/>
        <v/>
      </c>
    </row>
    <row r="2474" spans="17:18" x14ac:dyDescent="0.3">
      <c r="Q2474" t="str">
        <f t="shared" si="81"/>
        <v/>
      </c>
      <c r="R2474" s="54" t="str">
        <f t="shared" si="80"/>
        <v/>
      </c>
    </row>
    <row r="2475" spans="17:18" x14ac:dyDescent="0.3">
      <c r="Q2475" t="str">
        <f t="shared" si="81"/>
        <v/>
      </c>
      <c r="R2475" s="54" t="str">
        <f t="shared" si="80"/>
        <v/>
      </c>
    </row>
    <row r="2476" spans="17:18" x14ac:dyDescent="0.3">
      <c r="Q2476" t="str">
        <f t="shared" si="81"/>
        <v/>
      </c>
      <c r="R2476" s="54" t="str">
        <f t="shared" si="80"/>
        <v/>
      </c>
    </row>
    <row r="2477" spans="17:18" x14ac:dyDescent="0.3">
      <c r="Q2477" t="str">
        <f t="shared" si="81"/>
        <v/>
      </c>
      <c r="R2477" s="54" t="str">
        <f t="shared" si="80"/>
        <v/>
      </c>
    </row>
    <row r="2478" spans="17:18" x14ac:dyDescent="0.3">
      <c r="Q2478" t="str">
        <f t="shared" si="81"/>
        <v/>
      </c>
      <c r="R2478" s="54" t="str">
        <f t="shared" si="80"/>
        <v/>
      </c>
    </row>
    <row r="2479" spans="17:18" x14ac:dyDescent="0.3">
      <c r="Q2479" t="str">
        <f t="shared" si="81"/>
        <v/>
      </c>
      <c r="R2479" s="54" t="str">
        <f t="shared" si="80"/>
        <v/>
      </c>
    </row>
    <row r="2480" spans="17:18" x14ac:dyDescent="0.3">
      <c r="Q2480" t="str">
        <f t="shared" si="81"/>
        <v/>
      </c>
      <c r="R2480" s="54" t="str">
        <f t="shared" si="80"/>
        <v/>
      </c>
    </row>
    <row r="2481" spans="17:18" x14ac:dyDescent="0.3">
      <c r="Q2481" t="str">
        <f t="shared" si="81"/>
        <v/>
      </c>
      <c r="R2481" s="54" t="str">
        <f t="shared" si="80"/>
        <v/>
      </c>
    </row>
    <row r="2482" spans="17:18" x14ac:dyDescent="0.3">
      <c r="Q2482" t="str">
        <f t="shared" si="81"/>
        <v/>
      </c>
      <c r="R2482" s="54" t="str">
        <f t="shared" si="80"/>
        <v/>
      </c>
    </row>
    <row r="2483" spans="17:18" x14ac:dyDescent="0.3">
      <c r="Q2483" t="str">
        <f t="shared" si="81"/>
        <v/>
      </c>
      <c r="R2483" s="54" t="str">
        <f t="shared" si="80"/>
        <v/>
      </c>
    </row>
    <row r="2484" spans="17:18" x14ac:dyDescent="0.3">
      <c r="Q2484" t="str">
        <f t="shared" si="81"/>
        <v/>
      </c>
      <c r="R2484" s="54" t="str">
        <f t="shared" si="80"/>
        <v/>
      </c>
    </row>
    <row r="2485" spans="17:18" x14ac:dyDescent="0.3">
      <c r="Q2485" t="str">
        <f t="shared" si="81"/>
        <v/>
      </c>
      <c r="R2485" s="54" t="str">
        <f t="shared" si="80"/>
        <v/>
      </c>
    </row>
    <row r="2486" spans="17:18" x14ac:dyDescent="0.3">
      <c r="Q2486" t="str">
        <f t="shared" si="81"/>
        <v/>
      </c>
      <c r="R2486" s="54" t="str">
        <f t="shared" si="80"/>
        <v/>
      </c>
    </row>
    <row r="2487" spans="17:18" x14ac:dyDescent="0.3">
      <c r="Q2487" t="str">
        <f t="shared" si="81"/>
        <v/>
      </c>
      <c r="R2487" s="54" t="str">
        <f t="shared" si="80"/>
        <v/>
      </c>
    </row>
    <row r="2488" spans="17:18" x14ac:dyDescent="0.3">
      <c r="Q2488" t="str">
        <f t="shared" si="81"/>
        <v/>
      </c>
      <c r="R2488" s="54" t="str">
        <f t="shared" si="80"/>
        <v/>
      </c>
    </row>
    <row r="2489" spans="17:18" x14ac:dyDescent="0.3">
      <c r="Q2489" t="str">
        <f t="shared" si="81"/>
        <v/>
      </c>
      <c r="R2489" s="54" t="str">
        <f t="shared" si="80"/>
        <v/>
      </c>
    </row>
    <row r="2490" spans="17:18" x14ac:dyDescent="0.3">
      <c r="Q2490" t="str">
        <f t="shared" si="81"/>
        <v/>
      </c>
      <c r="R2490" s="54" t="str">
        <f t="shared" si="80"/>
        <v/>
      </c>
    </row>
    <row r="2491" spans="17:18" x14ac:dyDescent="0.3">
      <c r="Q2491" t="str">
        <f t="shared" si="81"/>
        <v/>
      </c>
      <c r="R2491" s="54" t="str">
        <f t="shared" si="80"/>
        <v/>
      </c>
    </row>
    <row r="2492" spans="17:18" x14ac:dyDescent="0.3">
      <c r="Q2492" t="str">
        <f t="shared" si="81"/>
        <v/>
      </c>
      <c r="R2492" s="54" t="str">
        <f t="shared" si="80"/>
        <v/>
      </c>
    </row>
    <row r="2493" spans="17:18" x14ac:dyDescent="0.3">
      <c r="Q2493" t="str">
        <f t="shared" si="81"/>
        <v/>
      </c>
      <c r="R2493" s="54" t="str">
        <f t="shared" si="80"/>
        <v/>
      </c>
    </row>
    <row r="2494" spans="17:18" x14ac:dyDescent="0.3">
      <c r="Q2494" t="str">
        <f t="shared" si="81"/>
        <v/>
      </c>
      <c r="R2494" s="54" t="str">
        <f t="shared" si="80"/>
        <v/>
      </c>
    </row>
    <row r="2495" spans="17:18" x14ac:dyDescent="0.3">
      <c r="Q2495" t="str">
        <f t="shared" si="81"/>
        <v/>
      </c>
      <c r="R2495" s="54" t="str">
        <f t="shared" si="80"/>
        <v/>
      </c>
    </row>
    <row r="2496" spans="17:18" x14ac:dyDescent="0.3">
      <c r="Q2496" t="str">
        <f t="shared" si="81"/>
        <v/>
      </c>
      <c r="R2496" s="54" t="str">
        <f t="shared" si="80"/>
        <v/>
      </c>
    </row>
    <row r="2497" spans="17:18" x14ac:dyDescent="0.3">
      <c r="Q2497" t="str">
        <f t="shared" si="81"/>
        <v/>
      </c>
      <c r="R2497" s="54" t="str">
        <f t="shared" si="80"/>
        <v/>
      </c>
    </row>
    <row r="2498" spans="17:18" x14ac:dyDescent="0.3">
      <c r="Q2498" t="str">
        <f t="shared" si="81"/>
        <v/>
      </c>
      <c r="R2498" s="54" t="str">
        <f t="shared" si="80"/>
        <v/>
      </c>
    </row>
    <row r="2499" spans="17:18" x14ac:dyDescent="0.3">
      <c r="Q2499" t="str">
        <f t="shared" si="81"/>
        <v/>
      </c>
      <c r="R2499" s="54" t="str">
        <f t="shared" ref="R2499:R2562" si="82">IF(F2513="","",IFERROR(IF(ISNUMBER(F2513),F2513,DATEVALUE(F2513)),""))</f>
        <v/>
      </c>
    </row>
    <row r="2500" spans="17:18" x14ac:dyDescent="0.3">
      <c r="Q2500" t="str">
        <f t="shared" si="81"/>
        <v/>
      </c>
      <c r="R2500" s="54" t="str">
        <f t="shared" si="82"/>
        <v/>
      </c>
    </row>
    <row r="2501" spans="17:18" x14ac:dyDescent="0.3">
      <c r="Q2501" t="str">
        <f t="shared" si="81"/>
        <v/>
      </c>
      <c r="R2501" s="54" t="str">
        <f t="shared" si="82"/>
        <v/>
      </c>
    </row>
    <row r="2502" spans="17:18" x14ac:dyDescent="0.3">
      <c r="Q2502" t="str">
        <f t="shared" si="81"/>
        <v/>
      </c>
      <c r="R2502" s="54" t="str">
        <f t="shared" si="82"/>
        <v/>
      </c>
    </row>
    <row r="2503" spans="17:18" x14ac:dyDescent="0.3">
      <c r="Q2503" t="str">
        <f t="shared" si="81"/>
        <v/>
      </c>
      <c r="R2503" s="54" t="str">
        <f t="shared" si="82"/>
        <v/>
      </c>
    </row>
    <row r="2504" spans="17:18" x14ac:dyDescent="0.3">
      <c r="Q2504" t="str">
        <f t="shared" si="81"/>
        <v/>
      </c>
      <c r="R2504" s="54" t="str">
        <f t="shared" si="82"/>
        <v/>
      </c>
    </row>
    <row r="2505" spans="17:18" x14ac:dyDescent="0.3">
      <c r="Q2505" t="str">
        <f t="shared" si="81"/>
        <v/>
      </c>
      <c r="R2505" s="54" t="str">
        <f t="shared" si="82"/>
        <v/>
      </c>
    </row>
    <row r="2506" spans="17:18" x14ac:dyDescent="0.3">
      <c r="Q2506" t="str">
        <f t="shared" si="81"/>
        <v/>
      </c>
      <c r="R2506" s="54" t="str">
        <f t="shared" si="82"/>
        <v/>
      </c>
    </row>
    <row r="2507" spans="17:18" x14ac:dyDescent="0.3">
      <c r="Q2507" t="str">
        <f t="shared" si="81"/>
        <v/>
      </c>
      <c r="R2507" s="54" t="str">
        <f t="shared" si="82"/>
        <v/>
      </c>
    </row>
    <row r="2508" spans="17:18" x14ac:dyDescent="0.3">
      <c r="Q2508" t="str">
        <f t="shared" si="81"/>
        <v/>
      </c>
      <c r="R2508" s="54" t="str">
        <f t="shared" si="82"/>
        <v/>
      </c>
    </row>
    <row r="2509" spans="17:18" x14ac:dyDescent="0.3">
      <c r="Q2509" t="str">
        <f t="shared" si="81"/>
        <v/>
      </c>
      <c r="R2509" s="54" t="str">
        <f t="shared" si="82"/>
        <v/>
      </c>
    </row>
    <row r="2510" spans="17:18" x14ac:dyDescent="0.3">
      <c r="Q2510" t="str">
        <f t="shared" si="81"/>
        <v/>
      </c>
      <c r="R2510" s="54" t="str">
        <f t="shared" si="82"/>
        <v/>
      </c>
    </row>
    <row r="2511" spans="17:18" x14ac:dyDescent="0.3">
      <c r="Q2511" t="str">
        <f t="shared" si="81"/>
        <v/>
      </c>
      <c r="R2511" s="54" t="str">
        <f t="shared" si="82"/>
        <v/>
      </c>
    </row>
    <row r="2512" spans="17:18" x14ac:dyDescent="0.3">
      <c r="Q2512" t="str">
        <f t="shared" si="81"/>
        <v/>
      </c>
      <c r="R2512" s="54" t="str">
        <f t="shared" si="82"/>
        <v/>
      </c>
    </row>
    <row r="2513" spans="17:18" x14ac:dyDescent="0.3">
      <c r="Q2513" t="str">
        <f t="shared" si="81"/>
        <v/>
      </c>
      <c r="R2513" s="54" t="str">
        <f t="shared" si="82"/>
        <v/>
      </c>
    </row>
    <row r="2514" spans="17:18" x14ac:dyDescent="0.3">
      <c r="Q2514" t="str">
        <f t="shared" si="81"/>
        <v/>
      </c>
      <c r="R2514" s="54" t="str">
        <f t="shared" si="82"/>
        <v/>
      </c>
    </row>
    <row r="2515" spans="17:18" x14ac:dyDescent="0.3">
      <c r="Q2515" t="str">
        <f t="shared" si="81"/>
        <v/>
      </c>
      <c r="R2515" s="54" t="str">
        <f t="shared" si="82"/>
        <v/>
      </c>
    </row>
    <row r="2516" spans="17:18" x14ac:dyDescent="0.3">
      <c r="Q2516" t="str">
        <f t="shared" si="81"/>
        <v/>
      </c>
      <c r="R2516" s="54" t="str">
        <f t="shared" si="82"/>
        <v/>
      </c>
    </row>
    <row r="2517" spans="17:18" x14ac:dyDescent="0.3">
      <c r="Q2517" t="str">
        <f t="shared" si="81"/>
        <v/>
      </c>
      <c r="R2517" s="54" t="str">
        <f t="shared" si="82"/>
        <v/>
      </c>
    </row>
    <row r="2518" spans="17:18" x14ac:dyDescent="0.3">
      <c r="Q2518" t="str">
        <f t="shared" si="81"/>
        <v/>
      </c>
      <c r="R2518" s="54" t="str">
        <f t="shared" si="82"/>
        <v/>
      </c>
    </row>
    <row r="2519" spans="17:18" x14ac:dyDescent="0.3">
      <c r="Q2519" t="str">
        <f t="shared" ref="Q2519:Q2582" si="83">IF(COUNTA(A2519:P2519)=0,"",IF(ISNUMBER(SEARCH("-AR-",E2533)),"Architectural",IF(ISNUMBER(SEARCH("-ST-",E2533)),"Structural",IF(ISNUMBER(SEARCH("-ME-",E2533)),"Mechanical",IF(ISNUMBER(SEARCH("-EL-",E2533)),"Electrical",IF(ISNUMBER(SEARCH("-GE-",E2533)),"General",IF(ISNUMBER(SEARCH("-AR-",D2533)),"Architectural",IF(ISNUMBER(SEARCH("-ST-",D2533)),"Structural",IF(ISNUMBER(SEARCH("-ME-",D2533)),"Mechanical",IF(ISNUMBER(SEARCH("-EL-",D2533)),"Electrical",IF(ISNUMBER(SEARCH("-GE-",D2533)),"General","Other")))))))))))</f>
        <v/>
      </c>
      <c r="R2519" s="54" t="str">
        <f t="shared" si="82"/>
        <v/>
      </c>
    </row>
    <row r="2520" spans="17:18" x14ac:dyDescent="0.3">
      <c r="Q2520" t="str">
        <f t="shared" si="83"/>
        <v/>
      </c>
      <c r="R2520" s="54" t="str">
        <f t="shared" si="82"/>
        <v/>
      </c>
    </row>
    <row r="2521" spans="17:18" x14ac:dyDescent="0.3">
      <c r="Q2521" t="str">
        <f t="shared" si="83"/>
        <v/>
      </c>
      <c r="R2521" s="54" t="str">
        <f t="shared" si="82"/>
        <v/>
      </c>
    </row>
    <row r="2522" spans="17:18" x14ac:dyDescent="0.3">
      <c r="Q2522" t="str">
        <f t="shared" si="83"/>
        <v/>
      </c>
      <c r="R2522" s="54" t="str">
        <f t="shared" si="82"/>
        <v/>
      </c>
    </row>
    <row r="2523" spans="17:18" x14ac:dyDescent="0.3">
      <c r="Q2523" t="str">
        <f t="shared" si="83"/>
        <v/>
      </c>
      <c r="R2523" s="54" t="str">
        <f t="shared" si="82"/>
        <v/>
      </c>
    </row>
    <row r="2524" spans="17:18" x14ac:dyDescent="0.3">
      <c r="Q2524" t="str">
        <f t="shared" si="83"/>
        <v/>
      </c>
      <c r="R2524" s="54" t="str">
        <f t="shared" si="82"/>
        <v/>
      </c>
    </row>
    <row r="2525" spans="17:18" x14ac:dyDescent="0.3">
      <c r="Q2525" t="str">
        <f t="shared" si="83"/>
        <v/>
      </c>
      <c r="R2525" s="54" t="str">
        <f t="shared" si="82"/>
        <v/>
      </c>
    </row>
    <row r="2526" spans="17:18" x14ac:dyDescent="0.3">
      <c r="Q2526" t="str">
        <f t="shared" si="83"/>
        <v/>
      </c>
      <c r="R2526" s="54" t="str">
        <f t="shared" si="82"/>
        <v/>
      </c>
    </row>
    <row r="2527" spans="17:18" x14ac:dyDescent="0.3">
      <c r="Q2527" t="str">
        <f t="shared" si="83"/>
        <v/>
      </c>
      <c r="R2527" s="54" t="str">
        <f t="shared" si="82"/>
        <v/>
      </c>
    </row>
    <row r="2528" spans="17:18" x14ac:dyDescent="0.3">
      <c r="Q2528" t="str">
        <f t="shared" si="83"/>
        <v/>
      </c>
      <c r="R2528" s="54" t="str">
        <f t="shared" si="82"/>
        <v/>
      </c>
    </row>
    <row r="2529" spans="17:18" x14ac:dyDescent="0.3">
      <c r="Q2529" t="str">
        <f t="shared" si="83"/>
        <v/>
      </c>
      <c r="R2529" s="54" t="str">
        <f t="shared" si="82"/>
        <v/>
      </c>
    </row>
    <row r="2530" spans="17:18" x14ac:dyDescent="0.3">
      <c r="Q2530" t="str">
        <f t="shared" si="83"/>
        <v/>
      </c>
      <c r="R2530" s="54" t="str">
        <f t="shared" si="82"/>
        <v/>
      </c>
    </row>
    <row r="2531" spans="17:18" x14ac:dyDescent="0.3">
      <c r="Q2531" t="str">
        <f t="shared" si="83"/>
        <v/>
      </c>
      <c r="R2531" s="54" t="str">
        <f t="shared" si="82"/>
        <v/>
      </c>
    </row>
    <row r="2532" spans="17:18" x14ac:dyDescent="0.3">
      <c r="Q2532" t="str">
        <f t="shared" si="83"/>
        <v/>
      </c>
      <c r="R2532" s="54" t="str">
        <f t="shared" si="82"/>
        <v/>
      </c>
    </row>
    <row r="2533" spans="17:18" x14ac:dyDescent="0.3">
      <c r="Q2533" t="str">
        <f t="shared" si="83"/>
        <v/>
      </c>
      <c r="R2533" s="54" t="str">
        <f t="shared" si="82"/>
        <v/>
      </c>
    </row>
    <row r="2534" spans="17:18" x14ac:dyDescent="0.3">
      <c r="Q2534" t="str">
        <f t="shared" si="83"/>
        <v/>
      </c>
      <c r="R2534" s="54" t="str">
        <f t="shared" si="82"/>
        <v/>
      </c>
    </row>
    <row r="2535" spans="17:18" x14ac:dyDescent="0.3">
      <c r="Q2535" t="str">
        <f t="shared" si="83"/>
        <v/>
      </c>
      <c r="R2535" s="54" t="str">
        <f t="shared" si="82"/>
        <v/>
      </c>
    </row>
    <row r="2536" spans="17:18" x14ac:dyDescent="0.3">
      <c r="Q2536" t="str">
        <f t="shared" si="83"/>
        <v/>
      </c>
      <c r="R2536" s="54" t="str">
        <f t="shared" si="82"/>
        <v/>
      </c>
    </row>
    <row r="2537" spans="17:18" x14ac:dyDescent="0.3">
      <c r="Q2537" t="str">
        <f t="shared" si="83"/>
        <v/>
      </c>
      <c r="R2537" s="54" t="str">
        <f t="shared" si="82"/>
        <v/>
      </c>
    </row>
    <row r="2538" spans="17:18" x14ac:dyDescent="0.3">
      <c r="Q2538" t="str">
        <f t="shared" si="83"/>
        <v/>
      </c>
      <c r="R2538" s="54" t="str">
        <f t="shared" si="82"/>
        <v/>
      </c>
    </row>
    <row r="2539" spans="17:18" x14ac:dyDescent="0.3">
      <c r="Q2539" t="str">
        <f t="shared" si="83"/>
        <v/>
      </c>
      <c r="R2539" s="54" t="str">
        <f t="shared" si="82"/>
        <v/>
      </c>
    </row>
    <row r="2540" spans="17:18" x14ac:dyDescent="0.3">
      <c r="Q2540" t="str">
        <f t="shared" si="83"/>
        <v/>
      </c>
      <c r="R2540" s="54" t="str">
        <f t="shared" si="82"/>
        <v/>
      </c>
    </row>
    <row r="2541" spans="17:18" x14ac:dyDescent="0.3">
      <c r="Q2541" t="str">
        <f t="shared" si="83"/>
        <v/>
      </c>
      <c r="R2541" s="54" t="str">
        <f t="shared" si="82"/>
        <v/>
      </c>
    </row>
    <row r="2542" spans="17:18" x14ac:dyDescent="0.3">
      <c r="Q2542" t="str">
        <f t="shared" si="83"/>
        <v/>
      </c>
      <c r="R2542" s="54" t="str">
        <f t="shared" si="82"/>
        <v/>
      </c>
    </row>
    <row r="2543" spans="17:18" x14ac:dyDescent="0.3">
      <c r="Q2543" t="str">
        <f t="shared" si="83"/>
        <v/>
      </c>
      <c r="R2543" s="54" t="str">
        <f t="shared" si="82"/>
        <v/>
      </c>
    </row>
    <row r="2544" spans="17:18" x14ac:dyDescent="0.3">
      <c r="Q2544" t="str">
        <f t="shared" si="83"/>
        <v/>
      </c>
      <c r="R2544" s="54" t="str">
        <f t="shared" si="82"/>
        <v/>
      </c>
    </row>
    <row r="2545" spans="17:18" x14ac:dyDescent="0.3">
      <c r="Q2545" t="str">
        <f t="shared" si="83"/>
        <v/>
      </c>
      <c r="R2545" s="54" t="str">
        <f t="shared" si="82"/>
        <v/>
      </c>
    </row>
    <row r="2546" spans="17:18" x14ac:dyDescent="0.3">
      <c r="Q2546" t="str">
        <f t="shared" si="83"/>
        <v/>
      </c>
      <c r="R2546" s="54" t="str">
        <f t="shared" si="82"/>
        <v/>
      </c>
    </row>
    <row r="2547" spans="17:18" x14ac:dyDescent="0.3">
      <c r="Q2547" t="str">
        <f t="shared" si="83"/>
        <v/>
      </c>
      <c r="R2547" s="54" t="str">
        <f t="shared" si="82"/>
        <v/>
      </c>
    </row>
    <row r="2548" spans="17:18" x14ac:dyDescent="0.3">
      <c r="Q2548" t="str">
        <f t="shared" si="83"/>
        <v/>
      </c>
      <c r="R2548" s="54" t="str">
        <f t="shared" si="82"/>
        <v/>
      </c>
    </row>
    <row r="2549" spans="17:18" x14ac:dyDescent="0.3">
      <c r="Q2549" t="str">
        <f t="shared" si="83"/>
        <v/>
      </c>
      <c r="R2549" s="54" t="str">
        <f t="shared" si="82"/>
        <v/>
      </c>
    </row>
    <row r="2550" spans="17:18" x14ac:dyDescent="0.3">
      <c r="Q2550" t="str">
        <f t="shared" si="83"/>
        <v/>
      </c>
      <c r="R2550" s="54" t="str">
        <f t="shared" si="82"/>
        <v/>
      </c>
    </row>
    <row r="2551" spans="17:18" x14ac:dyDescent="0.3">
      <c r="Q2551" t="str">
        <f t="shared" si="83"/>
        <v/>
      </c>
      <c r="R2551" s="54" t="str">
        <f t="shared" si="82"/>
        <v/>
      </c>
    </row>
    <row r="2552" spans="17:18" x14ac:dyDescent="0.3">
      <c r="Q2552" t="str">
        <f t="shared" si="83"/>
        <v/>
      </c>
      <c r="R2552" s="54" t="str">
        <f t="shared" si="82"/>
        <v/>
      </c>
    </row>
    <row r="2553" spans="17:18" x14ac:dyDescent="0.3">
      <c r="Q2553" t="str">
        <f t="shared" si="83"/>
        <v/>
      </c>
      <c r="R2553" s="54" t="str">
        <f t="shared" si="82"/>
        <v/>
      </c>
    </row>
    <row r="2554" spans="17:18" x14ac:dyDescent="0.3">
      <c r="Q2554" t="str">
        <f t="shared" si="83"/>
        <v/>
      </c>
      <c r="R2554" s="54" t="str">
        <f t="shared" si="82"/>
        <v/>
      </c>
    </row>
    <row r="2555" spans="17:18" x14ac:dyDescent="0.3">
      <c r="Q2555" t="str">
        <f t="shared" si="83"/>
        <v/>
      </c>
      <c r="R2555" s="54" t="str">
        <f t="shared" si="82"/>
        <v/>
      </c>
    </row>
    <row r="2556" spans="17:18" x14ac:dyDescent="0.3">
      <c r="Q2556" t="str">
        <f t="shared" si="83"/>
        <v/>
      </c>
      <c r="R2556" s="54" t="str">
        <f t="shared" si="82"/>
        <v/>
      </c>
    </row>
    <row r="2557" spans="17:18" x14ac:dyDescent="0.3">
      <c r="Q2557" t="str">
        <f t="shared" si="83"/>
        <v/>
      </c>
      <c r="R2557" s="54" t="str">
        <f t="shared" si="82"/>
        <v/>
      </c>
    </row>
    <row r="2558" spans="17:18" x14ac:dyDescent="0.3">
      <c r="Q2558" t="str">
        <f t="shared" si="83"/>
        <v/>
      </c>
      <c r="R2558" s="54" t="str">
        <f t="shared" si="82"/>
        <v/>
      </c>
    </row>
    <row r="2559" spans="17:18" x14ac:dyDescent="0.3">
      <c r="Q2559" t="str">
        <f t="shared" si="83"/>
        <v/>
      </c>
      <c r="R2559" s="54" t="str">
        <f t="shared" si="82"/>
        <v/>
      </c>
    </row>
    <row r="2560" spans="17:18" x14ac:dyDescent="0.3">
      <c r="Q2560" t="str">
        <f t="shared" si="83"/>
        <v/>
      </c>
      <c r="R2560" s="54" t="str">
        <f t="shared" si="82"/>
        <v/>
      </c>
    </row>
    <row r="2561" spans="17:18" x14ac:dyDescent="0.3">
      <c r="Q2561" t="str">
        <f t="shared" si="83"/>
        <v/>
      </c>
      <c r="R2561" s="54" t="str">
        <f t="shared" si="82"/>
        <v/>
      </c>
    </row>
    <row r="2562" spans="17:18" x14ac:dyDescent="0.3">
      <c r="Q2562" t="str">
        <f t="shared" si="83"/>
        <v/>
      </c>
      <c r="R2562" s="54" t="str">
        <f t="shared" si="82"/>
        <v/>
      </c>
    </row>
    <row r="2563" spans="17:18" x14ac:dyDescent="0.3">
      <c r="Q2563" t="str">
        <f t="shared" si="83"/>
        <v/>
      </c>
      <c r="R2563" s="54" t="str">
        <f t="shared" ref="R2563:R2626" si="84">IF(F2577="","",IFERROR(IF(ISNUMBER(F2577),F2577,DATEVALUE(F2577)),""))</f>
        <v/>
      </c>
    </row>
    <row r="2564" spans="17:18" x14ac:dyDescent="0.3">
      <c r="Q2564" t="str">
        <f t="shared" si="83"/>
        <v/>
      </c>
      <c r="R2564" s="54" t="str">
        <f t="shared" si="84"/>
        <v/>
      </c>
    </row>
    <row r="2565" spans="17:18" x14ac:dyDescent="0.3">
      <c r="Q2565" t="str">
        <f t="shared" si="83"/>
        <v/>
      </c>
      <c r="R2565" s="54" t="str">
        <f t="shared" si="84"/>
        <v/>
      </c>
    </row>
    <row r="2566" spans="17:18" x14ac:dyDescent="0.3">
      <c r="Q2566" t="str">
        <f t="shared" si="83"/>
        <v/>
      </c>
      <c r="R2566" s="54" t="str">
        <f t="shared" si="84"/>
        <v/>
      </c>
    </row>
    <row r="2567" spans="17:18" x14ac:dyDescent="0.3">
      <c r="Q2567" t="str">
        <f t="shared" si="83"/>
        <v/>
      </c>
      <c r="R2567" s="54" t="str">
        <f t="shared" si="84"/>
        <v/>
      </c>
    </row>
    <row r="2568" spans="17:18" x14ac:dyDescent="0.3">
      <c r="Q2568" t="str">
        <f t="shared" si="83"/>
        <v/>
      </c>
      <c r="R2568" s="54" t="str">
        <f t="shared" si="84"/>
        <v/>
      </c>
    </row>
    <row r="2569" spans="17:18" x14ac:dyDescent="0.3">
      <c r="Q2569" t="str">
        <f t="shared" si="83"/>
        <v/>
      </c>
      <c r="R2569" s="54" t="str">
        <f t="shared" si="84"/>
        <v/>
      </c>
    </row>
    <row r="2570" spans="17:18" x14ac:dyDescent="0.3">
      <c r="Q2570" t="str">
        <f t="shared" si="83"/>
        <v/>
      </c>
      <c r="R2570" s="54" t="str">
        <f t="shared" si="84"/>
        <v/>
      </c>
    </row>
    <row r="2571" spans="17:18" x14ac:dyDescent="0.3">
      <c r="Q2571" t="str">
        <f t="shared" si="83"/>
        <v/>
      </c>
      <c r="R2571" s="54" t="str">
        <f t="shared" si="84"/>
        <v/>
      </c>
    </row>
    <row r="2572" spans="17:18" x14ac:dyDescent="0.3">
      <c r="Q2572" t="str">
        <f t="shared" si="83"/>
        <v/>
      </c>
      <c r="R2572" s="54" t="str">
        <f t="shared" si="84"/>
        <v/>
      </c>
    </row>
    <row r="2573" spans="17:18" x14ac:dyDescent="0.3">
      <c r="Q2573" t="str">
        <f t="shared" si="83"/>
        <v/>
      </c>
      <c r="R2573" s="54" t="str">
        <f t="shared" si="84"/>
        <v/>
      </c>
    </row>
    <row r="2574" spans="17:18" x14ac:dyDescent="0.3">
      <c r="Q2574" t="str">
        <f t="shared" si="83"/>
        <v/>
      </c>
      <c r="R2574" s="54" t="str">
        <f t="shared" si="84"/>
        <v/>
      </c>
    </row>
    <row r="2575" spans="17:18" x14ac:dyDescent="0.3">
      <c r="Q2575" t="str">
        <f t="shared" si="83"/>
        <v/>
      </c>
      <c r="R2575" s="54" t="str">
        <f t="shared" si="84"/>
        <v/>
      </c>
    </row>
    <row r="2576" spans="17:18" x14ac:dyDescent="0.3">
      <c r="Q2576" t="str">
        <f t="shared" si="83"/>
        <v/>
      </c>
      <c r="R2576" s="54" t="str">
        <f t="shared" si="84"/>
        <v/>
      </c>
    </row>
    <row r="2577" spans="17:18" x14ac:dyDescent="0.3">
      <c r="Q2577" t="str">
        <f t="shared" si="83"/>
        <v/>
      </c>
      <c r="R2577" s="54" t="str">
        <f t="shared" si="84"/>
        <v/>
      </c>
    </row>
    <row r="2578" spans="17:18" x14ac:dyDescent="0.3">
      <c r="Q2578" t="str">
        <f t="shared" si="83"/>
        <v/>
      </c>
      <c r="R2578" s="54" t="str">
        <f t="shared" si="84"/>
        <v/>
      </c>
    </row>
    <row r="2579" spans="17:18" x14ac:dyDescent="0.3">
      <c r="Q2579" t="str">
        <f t="shared" si="83"/>
        <v/>
      </c>
      <c r="R2579" s="54" t="str">
        <f t="shared" si="84"/>
        <v/>
      </c>
    </row>
    <row r="2580" spans="17:18" x14ac:dyDescent="0.3">
      <c r="Q2580" t="str">
        <f t="shared" si="83"/>
        <v/>
      </c>
      <c r="R2580" s="54" t="str">
        <f t="shared" si="84"/>
        <v/>
      </c>
    </row>
    <row r="2581" spans="17:18" x14ac:dyDescent="0.3">
      <c r="Q2581" t="str">
        <f t="shared" si="83"/>
        <v/>
      </c>
      <c r="R2581" s="54" t="str">
        <f t="shared" si="84"/>
        <v/>
      </c>
    </row>
    <row r="2582" spans="17:18" x14ac:dyDescent="0.3">
      <c r="Q2582" t="str">
        <f t="shared" si="83"/>
        <v/>
      </c>
      <c r="R2582" s="54" t="str">
        <f t="shared" si="84"/>
        <v/>
      </c>
    </row>
    <row r="2583" spans="17:18" x14ac:dyDescent="0.3">
      <c r="Q2583" t="str">
        <f t="shared" ref="Q2583:Q2646" si="85">IF(COUNTA(A2583:P2583)=0,"",IF(ISNUMBER(SEARCH("-AR-",E2597)),"Architectural",IF(ISNUMBER(SEARCH("-ST-",E2597)),"Structural",IF(ISNUMBER(SEARCH("-ME-",E2597)),"Mechanical",IF(ISNUMBER(SEARCH("-EL-",E2597)),"Electrical",IF(ISNUMBER(SEARCH("-GE-",E2597)),"General",IF(ISNUMBER(SEARCH("-AR-",D2597)),"Architectural",IF(ISNUMBER(SEARCH("-ST-",D2597)),"Structural",IF(ISNUMBER(SEARCH("-ME-",D2597)),"Mechanical",IF(ISNUMBER(SEARCH("-EL-",D2597)),"Electrical",IF(ISNUMBER(SEARCH("-GE-",D2597)),"General","Other")))))))))))</f>
        <v/>
      </c>
      <c r="R2583" s="54" t="str">
        <f t="shared" si="84"/>
        <v/>
      </c>
    </row>
    <row r="2584" spans="17:18" x14ac:dyDescent="0.3">
      <c r="Q2584" t="str">
        <f t="shared" si="85"/>
        <v/>
      </c>
      <c r="R2584" s="54" t="str">
        <f t="shared" si="84"/>
        <v/>
      </c>
    </row>
    <row r="2585" spans="17:18" x14ac:dyDescent="0.3">
      <c r="Q2585" t="str">
        <f t="shared" si="85"/>
        <v/>
      </c>
      <c r="R2585" s="54" t="str">
        <f t="shared" si="84"/>
        <v/>
      </c>
    </row>
    <row r="2586" spans="17:18" x14ac:dyDescent="0.3">
      <c r="Q2586" t="str">
        <f t="shared" si="85"/>
        <v/>
      </c>
      <c r="R2586" s="54" t="str">
        <f t="shared" si="84"/>
        <v/>
      </c>
    </row>
    <row r="2587" spans="17:18" x14ac:dyDescent="0.3">
      <c r="Q2587" t="str">
        <f t="shared" si="85"/>
        <v/>
      </c>
      <c r="R2587" s="54" t="str">
        <f t="shared" si="84"/>
        <v/>
      </c>
    </row>
    <row r="2588" spans="17:18" x14ac:dyDescent="0.3">
      <c r="Q2588" t="str">
        <f t="shared" si="85"/>
        <v/>
      </c>
      <c r="R2588" s="54" t="str">
        <f t="shared" si="84"/>
        <v/>
      </c>
    </row>
    <row r="2589" spans="17:18" x14ac:dyDescent="0.3">
      <c r="Q2589" t="str">
        <f t="shared" si="85"/>
        <v/>
      </c>
      <c r="R2589" s="54" t="str">
        <f t="shared" si="84"/>
        <v/>
      </c>
    </row>
    <row r="2590" spans="17:18" x14ac:dyDescent="0.3">
      <c r="Q2590" t="str">
        <f t="shared" si="85"/>
        <v/>
      </c>
      <c r="R2590" s="54" t="str">
        <f t="shared" si="84"/>
        <v/>
      </c>
    </row>
    <row r="2591" spans="17:18" x14ac:dyDescent="0.3">
      <c r="Q2591" t="str">
        <f t="shared" si="85"/>
        <v/>
      </c>
      <c r="R2591" s="54" t="str">
        <f t="shared" si="84"/>
        <v/>
      </c>
    </row>
    <row r="2592" spans="17:18" x14ac:dyDescent="0.3">
      <c r="Q2592" t="str">
        <f t="shared" si="85"/>
        <v/>
      </c>
      <c r="R2592" s="54" t="str">
        <f t="shared" si="84"/>
        <v/>
      </c>
    </row>
    <row r="2593" spans="17:18" x14ac:dyDescent="0.3">
      <c r="Q2593" t="str">
        <f t="shared" si="85"/>
        <v/>
      </c>
      <c r="R2593" s="54" t="str">
        <f t="shared" si="84"/>
        <v/>
      </c>
    </row>
    <row r="2594" spans="17:18" x14ac:dyDescent="0.3">
      <c r="Q2594" t="str">
        <f t="shared" si="85"/>
        <v/>
      </c>
      <c r="R2594" s="54" t="str">
        <f t="shared" si="84"/>
        <v/>
      </c>
    </row>
    <row r="2595" spans="17:18" x14ac:dyDescent="0.3">
      <c r="Q2595" t="str">
        <f t="shared" si="85"/>
        <v/>
      </c>
      <c r="R2595" s="54" t="str">
        <f t="shared" si="84"/>
        <v/>
      </c>
    </row>
    <row r="2596" spans="17:18" x14ac:dyDescent="0.3">
      <c r="Q2596" t="str">
        <f t="shared" si="85"/>
        <v/>
      </c>
      <c r="R2596" s="54" t="str">
        <f t="shared" si="84"/>
        <v/>
      </c>
    </row>
    <row r="2597" spans="17:18" x14ac:dyDescent="0.3">
      <c r="Q2597" t="str">
        <f t="shared" si="85"/>
        <v/>
      </c>
      <c r="R2597" s="54" t="str">
        <f t="shared" si="84"/>
        <v/>
      </c>
    </row>
    <row r="2598" spans="17:18" x14ac:dyDescent="0.3">
      <c r="Q2598" t="str">
        <f t="shared" si="85"/>
        <v/>
      </c>
      <c r="R2598" s="54" t="str">
        <f t="shared" si="84"/>
        <v/>
      </c>
    </row>
    <row r="2599" spans="17:18" x14ac:dyDescent="0.3">
      <c r="Q2599" t="str">
        <f t="shared" si="85"/>
        <v/>
      </c>
      <c r="R2599" s="54" t="str">
        <f t="shared" si="84"/>
        <v/>
      </c>
    </row>
    <row r="2600" spans="17:18" x14ac:dyDescent="0.3">
      <c r="Q2600" t="str">
        <f t="shared" si="85"/>
        <v/>
      </c>
      <c r="R2600" s="54" t="str">
        <f t="shared" si="84"/>
        <v/>
      </c>
    </row>
    <row r="2601" spans="17:18" x14ac:dyDescent="0.3">
      <c r="Q2601" t="str">
        <f t="shared" si="85"/>
        <v/>
      </c>
      <c r="R2601" s="54" t="str">
        <f t="shared" si="84"/>
        <v/>
      </c>
    </row>
    <row r="2602" spans="17:18" x14ac:dyDescent="0.3">
      <c r="Q2602" t="str">
        <f t="shared" si="85"/>
        <v/>
      </c>
      <c r="R2602" s="54" t="str">
        <f t="shared" si="84"/>
        <v/>
      </c>
    </row>
    <row r="2603" spans="17:18" x14ac:dyDescent="0.3">
      <c r="Q2603" t="str">
        <f t="shared" si="85"/>
        <v/>
      </c>
      <c r="R2603" s="54" t="str">
        <f t="shared" si="84"/>
        <v/>
      </c>
    </row>
    <row r="2604" spans="17:18" x14ac:dyDescent="0.3">
      <c r="Q2604" t="str">
        <f t="shared" si="85"/>
        <v/>
      </c>
      <c r="R2604" s="54" t="str">
        <f t="shared" si="84"/>
        <v/>
      </c>
    </row>
    <row r="2605" spans="17:18" x14ac:dyDescent="0.3">
      <c r="Q2605" t="str">
        <f t="shared" si="85"/>
        <v/>
      </c>
      <c r="R2605" s="54" t="str">
        <f t="shared" si="84"/>
        <v/>
      </c>
    </row>
    <row r="2606" spans="17:18" x14ac:dyDescent="0.3">
      <c r="Q2606" t="str">
        <f t="shared" si="85"/>
        <v/>
      </c>
      <c r="R2606" s="54" t="str">
        <f t="shared" si="84"/>
        <v/>
      </c>
    </row>
    <row r="2607" spans="17:18" x14ac:dyDescent="0.3">
      <c r="Q2607" t="str">
        <f t="shared" si="85"/>
        <v/>
      </c>
      <c r="R2607" s="54" t="str">
        <f t="shared" si="84"/>
        <v/>
      </c>
    </row>
    <row r="2608" spans="17:18" x14ac:dyDescent="0.3">
      <c r="Q2608" t="str">
        <f t="shared" si="85"/>
        <v/>
      </c>
      <c r="R2608" s="54" t="str">
        <f t="shared" si="84"/>
        <v/>
      </c>
    </row>
    <row r="2609" spans="17:18" x14ac:dyDescent="0.3">
      <c r="Q2609" t="str">
        <f t="shared" si="85"/>
        <v/>
      </c>
      <c r="R2609" s="54" t="str">
        <f t="shared" si="84"/>
        <v/>
      </c>
    </row>
    <row r="2610" spans="17:18" x14ac:dyDescent="0.3">
      <c r="Q2610" t="str">
        <f t="shared" si="85"/>
        <v/>
      </c>
      <c r="R2610" s="54" t="str">
        <f t="shared" si="84"/>
        <v/>
      </c>
    </row>
    <row r="2611" spans="17:18" x14ac:dyDescent="0.3">
      <c r="Q2611" t="str">
        <f t="shared" si="85"/>
        <v/>
      </c>
      <c r="R2611" s="54" t="str">
        <f t="shared" si="84"/>
        <v/>
      </c>
    </row>
    <row r="2612" spans="17:18" x14ac:dyDescent="0.3">
      <c r="Q2612" t="str">
        <f t="shared" si="85"/>
        <v/>
      </c>
      <c r="R2612" s="54" t="str">
        <f t="shared" si="84"/>
        <v/>
      </c>
    </row>
    <row r="2613" spans="17:18" x14ac:dyDescent="0.3">
      <c r="Q2613" t="str">
        <f t="shared" si="85"/>
        <v/>
      </c>
      <c r="R2613" s="54" t="str">
        <f t="shared" si="84"/>
        <v/>
      </c>
    </row>
    <row r="2614" spans="17:18" x14ac:dyDescent="0.3">
      <c r="Q2614" t="str">
        <f t="shared" si="85"/>
        <v/>
      </c>
      <c r="R2614" s="54" t="str">
        <f t="shared" si="84"/>
        <v/>
      </c>
    </row>
    <row r="2615" spans="17:18" x14ac:dyDescent="0.3">
      <c r="Q2615" t="str">
        <f t="shared" si="85"/>
        <v/>
      </c>
      <c r="R2615" s="54" t="str">
        <f t="shared" si="84"/>
        <v/>
      </c>
    </row>
    <row r="2616" spans="17:18" x14ac:dyDescent="0.3">
      <c r="Q2616" t="str">
        <f t="shared" si="85"/>
        <v/>
      </c>
      <c r="R2616" s="54" t="str">
        <f t="shared" si="84"/>
        <v/>
      </c>
    </row>
    <row r="2617" spans="17:18" x14ac:dyDescent="0.3">
      <c r="Q2617" t="str">
        <f t="shared" si="85"/>
        <v/>
      </c>
      <c r="R2617" s="54" t="str">
        <f t="shared" si="84"/>
        <v/>
      </c>
    </row>
    <row r="2618" spans="17:18" x14ac:dyDescent="0.3">
      <c r="Q2618" t="str">
        <f t="shared" si="85"/>
        <v/>
      </c>
      <c r="R2618" s="54" t="str">
        <f t="shared" si="84"/>
        <v/>
      </c>
    </row>
    <row r="2619" spans="17:18" x14ac:dyDescent="0.3">
      <c r="Q2619" t="str">
        <f t="shared" si="85"/>
        <v/>
      </c>
      <c r="R2619" s="54" t="str">
        <f t="shared" si="84"/>
        <v/>
      </c>
    </row>
    <row r="2620" spans="17:18" x14ac:dyDescent="0.3">
      <c r="Q2620" t="str">
        <f t="shared" si="85"/>
        <v/>
      </c>
      <c r="R2620" s="54" t="str">
        <f t="shared" si="84"/>
        <v/>
      </c>
    </row>
    <row r="2621" spans="17:18" x14ac:dyDescent="0.3">
      <c r="Q2621" t="str">
        <f t="shared" si="85"/>
        <v/>
      </c>
      <c r="R2621" s="54" t="str">
        <f t="shared" si="84"/>
        <v/>
      </c>
    </row>
    <row r="2622" spans="17:18" x14ac:dyDescent="0.3">
      <c r="Q2622" t="str">
        <f t="shared" si="85"/>
        <v/>
      </c>
      <c r="R2622" s="54" t="str">
        <f t="shared" si="84"/>
        <v/>
      </c>
    </row>
    <row r="2623" spans="17:18" x14ac:dyDescent="0.3">
      <c r="Q2623" t="str">
        <f t="shared" si="85"/>
        <v/>
      </c>
      <c r="R2623" s="54" t="str">
        <f t="shared" si="84"/>
        <v/>
      </c>
    </row>
    <row r="2624" spans="17:18" x14ac:dyDescent="0.3">
      <c r="Q2624" t="str">
        <f t="shared" si="85"/>
        <v/>
      </c>
      <c r="R2624" s="54" t="str">
        <f t="shared" si="84"/>
        <v/>
      </c>
    </row>
    <row r="2625" spans="17:18" x14ac:dyDescent="0.3">
      <c r="Q2625" t="str">
        <f t="shared" si="85"/>
        <v/>
      </c>
      <c r="R2625" s="54" t="str">
        <f t="shared" si="84"/>
        <v/>
      </c>
    </row>
    <row r="2626" spans="17:18" x14ac:dyDescent="0.3">
      <c r="Q2626" t="str">
        <f t="shared" si="85"/>
        <v/>
      </c>
      <c r="R2626" s="54" t="str">
        <f t="shared" si="84"/>
        <v/>
      </c>
    </row>
    <row r="2627" spans="17:18" x14ac:dyDescent="0.3">
      <c r="Q2627" t="str">
        <f t="shared" si="85"/>
        <v/>
      </c>
      <c r="R2627" s="54" t="str">
        <f t="shared" ref="R2627:R2690" si="86">IF(F2641="","",IFERROR(IF(ISNUMBER(F2641),F2641,DATEVALUE(F2641)),""))</f>
        <v/>
      </c>
    </row>
    <row r="2628" spans="17:18" x14ac:dyDescent="0.3">
      <c r="Q2628" t="str">
        <f t="shared" si="85"/>
        <v/>
      </c>
      <c r="R2628" s="54" t="str">
        <f t="shared" si="86"/>
        <v/>
      </c>
    </row>
    <row r="2629" spans="17:18" x14ac:dyDescent="0.3">
      <c r="Q2629" t="str">
        <f t="shared" si="85"/>
        <v/>
      </c>
      <c r="R2629" s="54" t="str">
        <f t="shared" si="86"/>
        <v/>
      </c>
    </row>
    <row r="2630" spans="17:18" x14ac:dyDescent="0.3">
      <c r="Q2630" t="str">
        <f t="shared" si="85"/>
        <v/>
      </c>
      <c r="R2630" s="54" t="str">
        <f t="shared" si="86"/>
        <v/>
      </c>
    </row>
    <row r="2631" spans="17:18" x14ac:dyDescent="0.3">
      <c r="Q2631" t="str">
        <f t="shared" si="85"/>
        <v/>
      </c>
      <c r="R2631" s="54" t="str">
        <f t="shared" si="86"/>
        <v/>
      </c>
    </row>
    <row r="2632" spans="17:18" x14ac:dyDescent="0.3">
      <c r="Q2632" t="str">
        <f t="shared" si="85"/>
        <v/>
      </c>
      <c r="R2632" s="54" t="str">
        <f t="shared" si="86"/>
        <v/>
      </c>
    </row>
    <row r="2633" spans="17:18" x14ac:dyDescent="0.3">
      <c r="Q2633" t="str">
        <f t="shared" si="85"/>
        <v/>
      </c>
      <c r="R2633" s="54" t="str">
        <f t="shared" si="86"/>
        <v/>
      </c>
    </row>
    <row r="2634" spans="17:18" x14ac:dyDescent="0.3">
      <c r="Q2634" t="str">
        <f t="shared" si="85"/>
        <v/>
      </c>
      <c r="R2634" s="54" t="str">
        <f t="shared" si="86"/>
        <v/>
      </c>
    </row>
    <row r="2635" spans="17:18" x14ac:dyDescent="0.3">
      <c r="Q2635" t="str">
        <f t="shared" si="85"/>
        <v/>
      </c>
      <c r="R2635" s="54" t="str">
        <f t="shared" si="86"/>
        <v/>
      </c>
    </row>
    <row r="2636" spans="17:18" x14ac:dyDescent="0.3">
      <c r="Q2636" t="str">
        <f t="shared" si="85"/>
        <v/>
      </c>
      <c r="R2636" s="54" t="str">
        <f t="shared" si="86"/>
        <v/>
      </c>
    </row>
    <row r="2637" spans="17:18" x14ac:dyDescent="0.3">
      <c r="Q2637" t="str">
        <f t="shared" si="85"/>
        <v/>
      </c>
      <c r="R2637" s="54" t="str">
        <f t="shared" si="86"/>
        <v/>
      </c>
    </row>
    <row r="2638" spans="17:18" x14ac:dyDescent="0.3">
      <c r="Q2638" t="str">
        <f t="shared" si="85"/>
        <v/>
      </c>
      <c r="R2638" s="54" t="str">
        <f t="shared" si="86"/>
        <v/>
      </c>
    </row>
    <row r="2639" spans="17:18" x14ac:dyDescent="0.3">
      <c r="Q2639" t="str">
        <f t="shared" si="85"/>
        <v/>
      </c>
      <c r="R2639" s="54" t="str">
        <f t="shared" si="86"/>
        <v/>
      </c>
    </row>
    <row r="2640" spans="17:18" x14ac:dyDescent="0.3">
      <c r="Q2640" t="str">
        <f t="shared" si="85"/>
        <v/>
      </c>
      <c r="R2640" s="54" t="str">
        <f t="shared" si="86"/>
        <v/>
      </c>
    </row>
    <row r="2641" spans="17:18" x14ac:dyDescent="0.3">
      <c r="Q2641" t="str">
        <f t="shared" si="85"/>
        <v/>
      </c>
      <c r="R2641" s="54" t="str">
        <f t="shared" si="86"/>
        <v/>
      </c>
    </row>
    <row r="2642" spans="17:18" x14ac:dyDescent="0.3">
      <c r="Q2642" t="str">
        <f t="shared" si="85"/>
        <v/>
      </c>
      <c r="R2642" s="54" t="str">
        <f t="shared" si="86"/>
        <v/>
      </c>
    </row>
    <row r="2643" spans="17:18" x14ac:dyDescent="0.3">
      <c r="Q2643" t="str">
        <f t="shared" si="85"/>
        <v/>
      </c>
      <c r="R2643" s="54" t="str">
        <f t="shared" si="86"/>
        <v/>
      </c>
    </row>
    <row r="2644" spans="17:18" x14ac:dyDescent="0.3">
      <c r="Q2644" t="str">
        <f t="shared" si="85"/>
        <v/>
      </c>
      <c r="R2644" s="54" t="str">
        <f t="shared" si="86"/>
        <v/>
      </c>
    </row>
    <row r="2645" spans="17:18" x14ac:dyDescent="0.3">
      <c r="Q2645" t="str">
        <f t="shared" si="85"/>
        <v/>
      </c>
      <c r="R2645" s="54" t="str">
        <f t="shared" si="86"/>
        <v/>
      </c>
    </row>
    <row r="2646" spans="17:18" x14ac:dyDescent="0.3">
      <c r="Q2646" t="str">
        <f t="shared" si="85"/>
        <v/>
      </c>
      <c r="R2646" s="54" t="str">
        <f t="shared" si="86"/>
        <v/>
      </c>
    </row>
    <row r="2647" spans="17:18" x14ac:dyDescent="0.3">
      <c r="Q2647" t="str">
        <f t="shared" ref="Q2647:Q2710" si="87">IF(COUNTA(A2647:P2647)=0,"",IF(ISNUMBER(SEARCH("-AR-",E2661)),"Architectural",IF(ISNUMBER(SEARCH("-ST-",E2661)),"Structural",IF(ISNUMBER(SEARCH("-ME-",E2661)),"Mechanical",IF(ISNUMBER(SEARCH("-EL-",E2661)),"Electrical",IF(ISNUMBER(SEARCH("-GE-",E2661)),"General",IF(ISNUMBER(SEARCH("-AR-",D2661)),"Architectural",IF(ISNUMBER(SEARCH("-ST-",D2661)),"Structural",IF(ISNUMBER(SEARCH("-ME-",D2661)),"Mechanical",IF(ISNUMBER(SEARCH("-EL-",D2661)),"Electrical",IF(ISNUMBER(SEARCH("-GE-",D2661)),"General","Other")))))))))))</f>
        <v/>
      </c>
      <c r="R2647" s="54" t="str">
        <f t="shared" si="86"/>
        <v/>
      </c>
    </row>
    <row r="2648" spans="17:18" x14ac:dyDescent="0.3">
      <c r="Q2648" t="str">
        <f t="shared" si="87"/>
        <v/>
      </c>
      <c r="R2648" s="54" t="str">
        <f t="shared" si="86"/>
        <v/>
      </c>
    </row>
    <row r="2649" spans="17:18" x14ac:dyDescent="0.3">
      <c r="Q2649" t="str">
        <f t="shared" si="87"/>
        <v/>
      </c>
      <c r="R2649" s="54" t="str">
        <f t="shared" si="86"/>
        <v/>
      </c>
    </row>
    <row r="2650" spans="17:18" x14ac:dyDescent="0.3">
      <c r="Q2650" t="str">
        <f t="shared" si="87"/>
        <v/>
      </c>
      <c r="R2650" s="54" t="str">
        <f t="shared" si="86"/>
        <v/>
      </c>
    </row>
    <row r="2651" spans="17:18" x14ac:dyDescent="0.3">
      <c r="Q2651" t="str">
        <f t="shared" si="87"/>
        <v/>
      </c>
      <c r="R2651" s="54" t="str">
        <f t="shared" si="86"/>
        <v/>
      </c>
    </row>
    <row r="2652" spans="17:18" x14ac:dyDescent="0.3">
      <c r="Q2652" t="str">
        <f t="shared" si="87"/>
        <v/>
      </c>
      <c r="R2652" s="54" t="str">
        <f t="shared" si="86"/>
        <v/>
      </c>
    </row>
    <row r="2653" spans="17:18" x14ac:dyDescent="0.3">
      <c r="Q2653" t="str">
        <f t="shared" si="87"/>
        <v/>
      </c>
      <c r="R2653" s="54" t="str">
        <f t="shared" si="86"/>
        <v/>
      </c>
    </row>
    <row r="2654" spans="17:18" x14ac:dyDescent="0.3">
      <c r="Q2654" t="str">
        <f t="shared" si="87"/>
        <v/>
      </c>
      <c r="R2654" s="54" t="str">
        <f t="shared" si="86"/>
        <v/>
      </c>
    </row>
    <row r="2655" spans="17:18" x14ac:dyDescent="0.3">
      <c r="Q2655" t="str">
        <f t="shared" si="87"/>
        <v/>
      </c>
      <c r="R2655" s="54" t="str">
        <f t="shared" si="86"/>
        <v/>
      </c>
    </row>
    <row r="2656" spans="17:18" x14ac:dyDescent="0.3">
      <c r="Q2656" t="str">
        <f t="shared" si="87"/>
        <v/>
      </c>
      <c r="R2656" s="54" t="str">
        <f t="shared" si="86"/>
        <v/>
      </c>
    </row>
    <row r="2657" spans="17:18" x14ac:dyDescent="0.3">
      <c r="Q2657" t="str">
        <f t="shared" si="87"/>
        <v/>
      </c>
      <c r="R2657" s="54" t="str">
        <f t="shared" si="86"/>
        <v/>
      </c>
    </row>
    <row r="2658" spans="17:18" x14ac:dyDescent="0.3">
      <c r="Q2658" t="str">
        <f t="shared" si="87"/>
        <v/>
      </c>
      <c r="R2658" s="54" t="str">
        <f t="shared" si="86"/>
        <v/>
      </c>
    </row>
    <row r="2659" spans="17:18" x14ac:dyDescent="0.3">
      <c r="Q2659" t="str">
        <f t="shared" si="87"/>
        <v/>
      </c>
      <c r="R2659" s="54" t="str">
        <f t="shared" si="86"/>
        <v/>
      </c>
    </row>
    <row r="2660" spans="17:18" x14ac:dyDescent="0.3">
      <c r="Q2660" t="str">
        <f t="shared" si="87"/>
        <v/>
      </c>
      <c r="R2660" s="54" t="str">
        <f t="shared" si="86"/>
        <v/>
      </c>
    </row>
    <row r="2661" spans="17:18" x14ac:dyDescent="0.3">
      <c r="Q2661" t="str">
        <f t="shared" si="87"/>
        <v/>
      </c>
      <c r="R2661" s="54" t="str">
        <f t="shared" si="86"/>
        <v/>
      </c>
    </row>
    <row r="2662" spans="17:18" x14ac:dyDescent="0.3">
      <c r="Q2662" t="str">
        <f t="shared" si="87"/>
        <v/>
      </c>
      <c r="R2662" s="54" t="str">
        <f t="shared" si="86"/>
        <v/>
      </c>
    </row>
    <row r="2663" spans="17:18" x14ac:dyDescent="0.3">
      <c r="Q2663" t="str">
        <f t="shared" si="87"/>
        <v/>
      </c>
      <c r="R2663" s="54" t="str">
        <f t="shared" si="86"/>
        <v/>
      </c>
    </row>
    <row r="2664" spans="17:18" x14ac:dyDescent="0.3">
      <c r="Q2664" t="str">
        <f t="shared" si="87"/>
        <v/>
      </c>
      <c r="R2664" s="54" t="str">
        <f t="shared" si="86"/>
        <v/>
      </c>
    </row>
    <row r="2665" spans="17:18" x14ac:dyDescent="0.3">
      <c r="Q2665" t="str">
        <f t="shared" si="87"/>
        <v/>
      </c>
      <c r="R2665" s="54" t="str">
        <f t="shared" si="86"/>
        <v/>
      </c>
    </row>
    <row r="2666" spans="17:18" x14ac:dyDescent="0.3">
      <c r="Q2666" t="str">
        <f t="shared" si="87"/>
        <v/>
      </c>
      <c r="R2666" s="54" t="str">
        <f t="shared" si="86"/>
        <v/>
      </c>
    </row>
    <row r="2667" spans="17:18" x14ac:dyDescent="0.3">
      <c r="Q2667" t="str">
        <f t="shared" si="87"/>
        <v/>
      </c>
      <c r="R2667" s="54" t="str">
        <f t="shared" si="86"/>
        <v/>
      </c>
    </row>
    <row r="2668" spans="17:18" x14ac:dyDescent="0.3">
      <c r="Q2668" t="str">
        <f t="shared" si="87"/>
        <v/>
      </c>
      <c r="R2668" s="54" t="str">
        <f t="shared" si="86"/>
        <v/>
      </c>
    </row>
    <row r="2669" spans="17:18" x14ac:dyDescent="0.3">
      <c r="Q2669" t="str">
        <f t="shared" si="87"/>
        <v/>
      </c>
      <c r="R2669" s="54" t="str">
        <f t="shared" si="86"/>
        <v/>
      </c>
    </row>
    <row r="2670" spans="17:18" x14ac:dyDescent="0.3">
      <c r="Q2670" t="str">
        <f t="shared" si="87"/>
        <v/>
      </c>
      <c r="R2670" s="54" t="str">
        <f t="shared" si="86"/>
        <v/>
      </c>
    </row>
    <row r="2671" spans="17:18" x14ac:dyDescent="0.3">
      <c r="Q2671" t="str">
        <f t="shared" si="87"/>
        <v/>
      </c>
      <c r="R2671" s="54" t="str">
        <f t="shared" si="86"/>
        <v/>
      </c>
    </row>
    <row r="2672" spans="17:18" x14ac:dyDescent="0.3">
      <c r="Q2672" t="str">
        <f t="shared" si="87"/>
        <v/>
      </c>
      <c r="R2672" s="54" t="str">
        <f t="shared" si="86"/>
        <v/>
      </c>
    </row>
    <row r="2673" spans="17:18" x14ac:dyDescent="0.3">
      <c r="Q2673" t="str">
        <f t="shared" si="87"/>
        <v/>
      </c>
      <c r="R2673" s="54" t="str">
        <f t="shared" si="86"/>
        <v/>
      </c>
    </row>
    <row r="2674" spans="17:18" x14ac:dyDescent="0.3">
      <c r="Q2674" t="str">
        <f t="shared" si="87"/>
        <v/>
      </c>
      <c r="R2674" s="54" t="str">
        <f t="shared" si="86"/>
        <v/>
      </c>
    </row>
    <row r="2675" spans="17:18" x14ac:dyDescent="0.3">
      <c r="Q2675" t="str">
        <f t="shared" si="87"/>
        <v/>
      </c>
      <c r="R2675" s="54" t="str">
        <f t="shared" si="86"/>
        <v/>
      </c>
    </row>
    <row r="2676" spans="17:18" x14ac:dyDescent="0.3">
      <c r="Q2676" t="str">
        <f t="shared" si="87"/>
        <v/>
      </c>
      <c r="R2676" s="54" t="str">
        <f t="shared" si="86"/>
        <v/>
      </c>
    </row>
    <row r="2677" spans="17:18" x14ac:dyDescent="0.3">
      <c r="Q2677" t="str">
        <f t="shared" si="87"/>
        <v/>
      </c>
      <c r="R2677" s="54" t="str">
        <f t="shared" si="86"/>
        <v/>
      </c>
    </row>
    <row r="2678" spans="17:18" x14ac:dyDescent="0.3">
      <c r="Q2678" t="str">
        <f t="shared" si="87"/>
        <v/>
      </c>
      <c r="R2678" s="54" t="str">
        <f t="shared" si="86"/>
        <v/>
      </c>
    </row>
    <row r="2679" spans="17:18" x14ac:dyDescent="0.3">
      <c r="Q2679" t="str">
        <f t="shared" si="87"/>
        <v/>
      </c>
      <c r="R2679" s="54" t="str">
        <f t="shared" si="86"/>
        <v/>
      </c>
    </row>
    <row r="2680" spans="17:18" x14ac:dyDescent="0.3">
      <c r="Q2680" t="str">
        <f t="shared" si="87"/>
        <v/>
      </c>
      <c r="R2680" s="54" t="str">
        <f t="shared" si="86"/>
        <v/>
      </c>
    </row>
    <row r="2681" spans="17:18" x14ac:dyDescent="0.3">
      <c r="Q2681" t="str">
        <f t="shared" si="87"/>
        <v/>
      </c>
      <c r="R2681" s="54" t="str">
        <f t="shared" si="86"/>
        <v/>
      </c>
    </row>
    <row r="2682" spans="17:18" x14ac:dyDescent="0.3">
      <c r="Q2682" t="str">
        <f t="shared" si="87"/>
        <v/>
      </c>
      <c r="R2682" s="54" t="str">
        <f t="shared" si="86"/>
        <v/>
      </c>
    </row>
    <row r="2683" spans="17:18" x14ac:dyDescent="0.3">
      <c r="Q2683" t="str">
        <f t="shared" si="87"/>
        <v/>
      </c>
      <c r="R2683" s="54" t="str">
        <f t="shared" si="86"/>
        <v/>
      </c>
    </row>
    <row r="2684" spans="17:18" x14ac:dyDescent="0.3">
      <c r="Q2684" t="str">
        <f t="shared" si="87"/>
        <v/>
      </c>
      <c r="R2684" s="54" t="str">
        <f t="shared" si="86"/>
        <v/>
      </c>
    </row>
    <row r="2685" spans="17:18" x14ac:dyDescent="0.3">
      <c r="Q2685" t="str">
        <f t="shared" si="87"/>
        <v/>
      </c>
      <c r="R2685" s="54" t="str">
        <f t="shared" si="86"/>
        <v/>
      </c>
    </row>
    <row r="2686" spans="17:18" x14ac:dyDescent="0.3">
      <c r="Q2686" t="str">
        <f t="shared" si="87"/>
        <v/>
      </c>
      <c r="R2686" s="54" t="str">
        <f t="shared" si="86"/>
        <v/>
      </c>
    </row>
    <row r="2687" spans="17:18" x14ac:dyDescent="0.3">
      <c r="Q2687" t="str">
        <f t="shared" si="87"/>
        <v/>
      </c>
      <c r="R2687" s="54" t="str">
        <f t="shared" si="86"/>
        <v/>
      </c>
    </row>
    <row r="2688" spans="17:18" x14ac:dyDescent="0.3">
      <c r="Q2688" t="str">
        <f t="shared" si="87"/>
        <v/>
      </c>
      <c r="R2688" s="54" t="str">
        <f t="shared" si="86"/>
        <v/>
      </c>
    </row>
    <row r="2689" spans="17:18" x14ac:dyDescent="0.3">
      <c r="Q2689" t="str">
        <f t="shared" si="87"/>
        <v/>
      </c>
      <c r="R2689" s="54" t="str">
        <f t="shared" si="86"/>
        <v/>
      </c>
    </row>
    <row r="2690" spans="17:18" x14ac:dyDescent="0.3">
      <c r="Q2690" t="str">
        <f t="shared" si="87"/>
        <v/>
      </c>
      <c r="R2690" s="54" t="str">
        <f t="shared" si="86"/>
        <v/>
      </c>
    </row>
    <row r="2691" spans="17:18" x14ac:dyDescent="0.3">
      <c r="Q2691" t="str">
        <f t="shared" si="87"/>
        <v/>
      </c>
      <c r="R2691" s="54" t="str">
        <f t="shared" ref="R2691:R2754" si="88">IF(F2705="","",IFERROR(IF(ISNUMBER(F2705),F2705,DATEVALUE(F2705)),""))</f>
        <v/>
      </c>
    </row>
    <row r="2692" spans="17:18" x14ac:dyDescent="0.3">
      <c r="Q2692" t="str">
        <f t="shared" si="87"/>
        <v/>
      </c>
      <c r="R2692" s="54" t="str">
        <f t="shared" si="88"/>
        <v/>
      </c>
    </row>
    <row r="2693" spans="17:18" x14ac:dyDescent="0.3">
      <c r="Q2693" t="str">
        <f t="shared" si="87"/>
        <v/>
      </c>
      <c r="R2693" s="54" t="str">
        <f t="shared" si="88"/>
        <v/>
      </c>
    </row>
    <row r="2694" spans="17:18" x14ac:dyDescent="0.3">
      <c r="Q2694" t="str">
        <f t="shared" si="87"/>
        <v/>
      </c>
      <c r="R2694" s="54" t="str">
        <f t="shared" si="88"/>
        <v/>
      </c>
    </row>
    <row r="2695" spans="17:18" x14ac:dyDescent="0.3">
      <c r="Q2695" t="str">
        <f t="shared" si="87"/>
        <v/>
      </c>
      <c r="R2695" s="54" t="str">
        <f t="shared" si="88"/>
        <v/>
      </c>
    </row>
    <row r="2696" spans="17:18" x14ac:dyDescent="0.3">
      <c r="Q2696" t="str">
        <f t="shared" si="87"/>
        <v/>
      </c>
      <c r="R2696" s="54" t="str">
        <f t="shared" si="88"/>
        <v/>
      </c>
    </row>
    <row r="2697" spans="17:18" x14ac:dyDescent="0.3">
      <c r="Q2697" t="str">
        <f t="shared" si="87"/>
        <v/>
      </c>
      <c r="R2697" s="54" t="str">
        <f t="shared" si="88"/>
        <v/>
      </c>
    </row>
    <row r="2698" spans="17:18" x14ac:dyDescent="0.3">
      <c r="Q2698" t="str">
        <f t="shared" si="87"/>
        <v/>
      </c>
      <c r="R2698" s="54" t="str">
        <f t="shared" si="88"/>
        <v/>
      </c>
    </row>
    <row r="2699" spans="17:18" x14ac:dyDescent="0.3">
      <c r="Q2699" t="str">
        <f t="shared" si="87"/>
        <v/>
      </c>
      <c r="R2699" s="54" t="str">
        <f t="shared" si="88"/>
        <v/>
      </c>
    </row>
    <row r="2700" spans="17:18" x14ac:dyDescent="0.3">
      <c r="Q2700" t="str">
        <f t="shared" si="87"/>
        <v/>
      </c>
      <c r="R2700" s="54" t="str">
        <f t="shared" si="88"/>
        <v/>
      </c>
    </row>
    <row r="2701" spans="17:18" x14ac:dyDescent="0.3">
      <c r="Q2701" t="str">
        <f t="shared" si="87"/>
        <v/>
      </c>
      <c r="R2701" s="54" t="str">
        <f t="shared" si="88"/>
        <v/>
      </c>
    </row>
    <row r="2702" spans="17:18" x14ac:dyDescent="0.3">
      <c r="Q2702" t="str">
        <f t="shared" si="87"/>
        <v/>
      </c>
      <c r="R2702" s="54" t="str">
        <f t="shared" si="88"/>
        <v/>
      </c>
    </row>
    <row r="2703" spans="17:18" x14ac:dyDescent="0.3">
      <c r="Q2703" t="str">
        <f t="shared" si="87"/>
        <v/>
      </c>
      <c r="R2703" s="54" t="str">
        <f t="shared" si="88"/>
        <v/>
      </c>
    </row>
    <row r="2704" spans="17:18" x14ac:dyDescent="0.3">
      <c r="Q2704" t="str">
        <f t="shared" si="87"/>
        <v/>
      </c>
      <c r="R2704" s="54" t="str">
        <f t="shared" si="88"/>
        <v/>
      </c>
    </row>
    <row r="2705" spans="17:18" x14ac:dyDescent="0.3">
      <c r="Q2705" t="str">
        <f t="shared" si="87"/>
        <v/>
      </c>
      <c r="R2705" s="54" t="str">
        <f t="shared" si="88"/>
        <v/>
      </c>
    </row>
    <row r="2706" spans="17:18" x14ac:dyDescent="0.3">
      <c r="Q2706" t="str">
        <f t="shared" si="87"/>
        <v/>
      </c>
      <c r="R2706" s="54" t="str">
        <f t="shared" si="88"/>
        <v/>
      </c>
    </row>
    <row r="2707" spans="17:18" x14ac:dyDescent="0.3">
      <c r="Q2707" t="str">
        <f t="shared" si="87"/>
        <v/>
      </c>
      <c r="R2707" s="54" t="str">
        <f t="shared" si="88"/>
        <v/>
      </c>
    </row>
    <row r="2708" spans="17:18" x14ac:dyDescent="0.3">
      <c r="Q2708" t="str">
        <f t="shared" si="87"/>
        <v/>
      </c>
      <c r="R2708" s="54" t="str">
        <f t="shared" si="88"/>
        <v/>
      </c>
    </row>
    <row r="2709" spans="17:18" x14ac:dyDescent="0.3">
      <c r="Q2709" t="str">
        <f t="shared" si="87"/>
        <v/>
      </c>
      <c r="R2709" s="54" t="str">
        <f t="shared" si="88"/>
        <v/>
      </c>
    </row>
    <row r="2710" spans="17:18" x14ac:dyDescent="0.3">
      <c r="Q2710" t="str">
        <f t="shared" si="87"/>
        <v/>
      </c>
      <c r="R2710" s="54" t="str">
        <f t="shared" si="88"/>
        <v/>
      </c>
    </row>
    <row r="2711" spans="17:18" x14ac:dyDescent="0.3">
      <c r="Q2711" t="str">
        <f t="shared" ref="Q2711:Q2774" si="89">IF(COUNTA(A2711:P2711)=0,"",IF(ISNUMBER(SEARCH("-AR-",E2725)),"Architectural",IF(ISNUMBER(SEARCH("-ST-",E2725)),"Structural",IF(ISNUMBER(SEARCH("-ME-",E2725)),"Mechanical",IF(ISNUMBER(SEARCH("-EL-",E2725)),"Electrical",IF(ISNUMBER(SEARCH("-GE-",E2725)),"General",IF(ISNUMBER(SEARCH("-AR-",D2725)),"Architectural",IF(ISNUMBER(SEARCH("-ST-",D2725)),"Structural",IF(ISNUMBER(SEARCH("-ME-",D2725)),"Mechanical",IF(ISNUMBER(SEARCH("-EL-",D2725)),"Electrical",IF(ISNUMBER(SEARCH("-GE-",D2725)),"General","Other")))))))))))</f>
        <v/>
      </c>
      <c r="R2711" s="54" t="str">
        <f t="shared" si="88"/>
        <v/>
      </c>
    </row>
    <row r="2712" spans="17:18" x14ac:dyDescent="0.3">
      <c r="Q2712" t="str">
        <f t="shared" si="89"/>
        <v/>
      </c>
      <c r="R2712" s="54" t="str">
        <f t="shared" si="88"/>
        <v/>
      </c>
    </row>
    <row r="2713" spans="17:18" x14ac:dyDescent="0.3">
      <c r="Q2713" t="str">
        <f t="shared" si="89"/>
        <v/>
      </c>
      <c r="R2713" s="54" t="str">
        <f t="shared" si="88"/>
        <v/>
      </c>
    </row>
    <row r="2714" spans="17:18" x14ac:dyDescent="0.3">
      <c r="Q2714" t="str">
        <f t="shared" si="89"/>
        <v/>
      </c>
      <c r="R2714" s="54" t="str">
        <f t="shared" si="88"/>
        <v/>
      </c>
    </row>
    <row r="2715" spans="17:18" x14ac:dyDescent="0.3">
      <c r="Q2715" t="str">
        <f t="shared" si="89"/>
        <v/>
      </c>
      <c r="R2715" s="54" t="str">
        <f t="shared" si="88"/>
        <v/>
      </c>
    </row>
    <row r="2716" spans="17:18" x14ac:dyDescent="0.3">
      <c r="Q2716" t="str">
        <f t="shared" si="89"/>
        <v/>
      </c>
      <c r="R2716" s="54" t="str">
        <f t="shared" si="88"/>
        <v/>
      </c>
    </row>
    <row r="2717" spans="17:18" x14ac:dyDescent="0.3">
      <c r="Q2717" t="str">
        <f t="shared" si="89"/>
        <v/>
      </c>
      <c r="R2717" s="54" t="str">
        <f t="shared" si="88"/>
        <v/>
      </c>
    </row>
    <row r="2718" spans="17:18" x14ac:dyDescent="0.3">
      <c r="Q2718" t="str">
        <f t="shared" si="89"/>
        <v/>
      </c>
      <c r="R2718" s="54" t="str">
        <f t="shared" si="88"/>
        <v/>
      </c>
    </row>
    <row r="2719" spans="17:18" x14ac:dyDescent="0.3">
      <c r="Q2719" t="str">
        <f t="shared" si="89"/>
        <v/>
      </c>
      <c r="R2719" s="54" t="str">
        <f t="shared" si="88"/>
        <v/>
      </c>
    </row>
    <row r="2720" spans="17:18" x14ac:dyDescent="0.3">
      <c r="Q2720" t="str">
        <f t="shared" si="89"/>
        <v/>
      </c>
      <c r="R2720" s="54" t="str">
        <f t="shared" si="88"/>
        <v/>
      </c>
    </row>
    <row r="2721" spans="17:18" x14ac:dyDescent="0.3">
      <c r="Q2721" t="str">
        <f t="shared" si="89"/>
        <v/>
      </c>
      <c r="R2721" s="54" t="str">
        <f t="shared" si="88"/>
        <v/>
      </c>
    </row>
    <row r="2722" spans="17:18" x14ac:dyDescent="0.3">
      <c r="Q2722" t="str">
        <f t="shared" si="89"/>
        <v/>
      </c>
      <c r="R2722" s="54" t="str">
        <f t="shared" si="88"/>
        <v/>
      </c>
    </row>
    <row r="2723" spans="17:18" x14ac:dyDescent="0.3">
      <c r="Q2723" t="str">
        <f t="shared" si="89"/>
        <v/>
      </c>
      <c r="R2723" s="54" t="str">
        <f t="shared" si="88"/>
        <v/>
      </c>
    </row>
    <row r="2724" spans="17:18" x14ac:dyDescent="0.3">
      <c r="Q2724" t="str">
        <f t="shared" si="89"/>
        <v/>
      </c>
      <c r="R2724" s="54" t="str">
        <f t="shared" si="88"/>
        <v/>
      </c>
    </row>
    <row r="2725" spans="17:18" x14ac:dyDescent="0.3">
      <c r="Q2725" t="str">
        <f t="shared" si="89"/>
        <v/>
      </c>
      <c r="R2725" s="54" t="str">
        <f t="shared" si="88"/>
        <v/>
      </c>
    </row>
    <row r="2726" spans="17:18" x14ac:dyDescent="0.3">
      <c r="Q2726" t="str">
        <f t="shared" si="89"/>
        <v/>
      </c>
      <c r="R2726" s="54" t="str">
        <f t="shared" si="88"/>
        <v/>
      </c>
    </row>
    <row r="2727" spans="17:18" x14ac:dyDescent="0.3">
      <c r="Q2727" t="str">
        <f t="shared" si="89"/>
        <v/>
      </c>
      <c r="R2727" s="54" t="str">
        <f t="shared" si="88"/>
        <v/>
      </c>
    </row>
    <row r="2728" spans="17:18" x14ac:dyDescent="0.3">
      <c r="Q2728" t="str">
        <f t="shared" si="89"/>
        <v/>
      </c>
      <c r="R2728" s="54" t="str">
        <f t="shared" si="88"/>
        <v/>
      </c>
    </row>
    <row r="2729" spans="17:18" x14ac:dyDescent="0.3">
      <c r="Q2729" t="str">
        <f t="shared" si="89"/>
        <v/>
      </c>
      <c r="R2729" s="54" t="str">
        <f t="shared" si="88"/>
        <v/>
      </c>
    </row>
    <row r="2730" spans="17:18" x14ac:dyDescent="0.3">
      <c r="Q2730" t="str">
        <f t="shared" si="89"/>
        <v/>
      </c>
      <c r="R2730" s="54" t="str">
        <f t="shared" si="88"/>
        <v/>
      </c>
    </row>
    <row r="2731" spans="17:18" x14ac:dyDescent="0.3">
      <c r="Q2731" t="str">
        <f t="shared" si="89"/>
        <v/>
      </c>
      <c r="R2731" s="54" t="str">
        <f t="shared" si="88"/>
        <v/>
      </c>
    </row>
    <row r="2732" spans="17:18" x14ac:dyDescent="0.3">
      <c r="Q2732" t="str">
        <f t="shared" si="89"/>
        <v/>
      </c>
      <c r="R2732" s="54" t="str">
        <f t="shared" si="88"/>
        <v/>
      </c>
    </row>
    <row r="2733" spans="17:18" x14ac:dyDescent="0.3">
      <c r="Q2733" t="str">
        <f t="shared" si="89"/>
        <v/>
      </c>
      <c r="R2733" s="54" t="str">
        <f t="shared" si="88"/>
        <v/>
      </c>
    </row>
    <row r="2734" spans="17:18" x14ac:dyDescent="0.3">
      <c r="Q2734" t="str">
        <f t="shared" si="89"/>
        <v/>
      </c>
      <c r="R2734" s="54" t="str">
        <f t="shared" si="88"/>
        <v/>
      </c>
    </row>
    <row r="2735" spans="17:18" x14ac:dyDescent="0.3">
      <c r="Q2735" t="str">
        <f t="shared" si="89"/>
        <v/>
      </c>
      <c r="R2735" s="54" t="str">
        <f t="shared" si="88"/>
        <v/>
      </c>
    </row>
    <row r="2736" spans="17:18" x14ac:dyDescent="0.3">
      <c r="Q2736" t="str">
        <f t="shared" si="89"/>
        <v/>
      </c>
      <c r="R2736" s="54" t="str">
        <f t="shared" si="88"/>
        <v/>
      </c>
    </row>
    <row r="2737" spans="17:18" x14ac:dyDescent="0.3">
      <c r="Q2737" t="str">
        <f t="shared" si="89"/>
        <v/>
      </c>
      <c r="R2737" s="54" t="str">
        <f t="shared" si="88"/>
        <v/>
      </c>
    </row>
    <row r="2738" spans="17:18" x14ac:dyDescent="0.3">
      <c r="Q2738" t="str">
        <f t="shared" si="89"/>
        <v/>
      </c>
      <c r="R2738" s="54" t="str">
        <f t="shared" si="88"/>
        <v/>
      </c>
    </row>
    <row r="2739" spans="17:18" x14ac:dyDescent="0.3">
      <c r="Q2739" t="str">
        <f t="shared" si="89"/>
        <v/>
      </c>
      <c r="R2739" s="54" t="str">
        <f t="shared" si="88"/>
        <v/>
      </c>
    </row>
    <row r="2740" spans="17:18" x14ac:dyDescent="0.3">
      <c r="Q2740" t="str">
        <f t="shared" si="89"/>
        <v/>
      </c>
      <c r="R2740" s="54" t="str">
        <f t="shared" si="88"/>
        <v/>
      </c>
    </row>
    <row r="2741" spans="17:18" x14ac:dyDescent="0.3">
      <c r="Q2741" t="str">
        <f t="shared" si="89"/>
        <v/>
      </c>
      <c r="R2741" s="54" t="str">
        <f t="shared" si="88"/>
        <v/>
      </c>
    </row>
    <row r="2742" spans="17:18" x14ac:dyDescent="0.3">
      <c r="Q2742" t="str">
        <f t="shared" si="89"/>
        <v/>
      </c>
      <c r="R2742" s="54" t="str">
        <f t="shared" si="88"/>
        <v/>
      </c>
    </row>
    <row r="2743" spans="17:18" x14ac:dyDescent="0.3">
      <c r="Q2743" t="str">
        <f t="shared" si="89"/>
        <v/>
      </c>
      <c r="R2743" s="54" t="str">
        <f t="shared" si="88"/>
        <v/>
      </c>
    </row>
    <row r="2744" spans="17:18" x14ac:dyDescent="0.3">
      <c r="Q2744" t="str">
        <f t="shared" si="89"/>
        <v/>
      </c>
      <c r="R2744" s="54" t="str">
        <f t="shared" si="88"/>
        <v/>
      </c>
    </row>
    <row r="2745" spans="17:18" x14ac:dyDescent="0.3">
      <c r="Q2745" t="str">
        <f t="shared" si="89"/>
        <v/>
      </c>
      <c r="R2745" s="54" t="str">
        <f t="shared" si="88"/>
        <v/>
      </c>
    </row>
    <row r="2746" spans="17:18" x14ac:dyDescent="0.3">
      <c r="Q2746" t="str">
        <f t="shared" si="89"/>
        <v/>
      </c>
      <c r="R2746" s="54" t="str">
        <f t="shared" si="88"/>
        <v/>
      </c>
    </row>
    <row r="2747" spans="17:18" x14ac:dyDescent="0.3">
      <c r="Q2747" t="str">
        <f t="shared" si="89"/>
        <v/>
      </c>
      <c r="R2747" s="54" t="str">
        <f t="shared" si="88"/>
        <v/>
      </c>
    </row>
    <row r="2748" spans="17:18" x14ac:dyDescent="0.3">
      <c r="Q2748" t="str">
        <f t="shared" si="89"/>
        <v/>
      </c>
      <c r="R2748" s="54" t="str">
        <f t="shared" si="88"/>
        <v/>
      </c>
    </row>
    <row r="2749" spans="17:18" x14ac:dyDescent="0.3">
      <c r="Q2749" t="str">
        <f t="shared" si="89"/>
        <v/>
      </c>
      <c r="R2749" s="54" t="str">
        <f t="shared" si="88"/>
        <v/>
      </c>
    </row>
    <row r="2750" spans="17:18" x14ac:dyDescent="0.3">
      <c r="Q2750" t="str">
        <f t="shared" si="89"/>
        <v/>
      </c>
      <c r="R2750" s="54" t="str">
        <f t="shared" si="88"/>
        <v/>
      </c>
    </row>
    <row r="2751" spans="17:18" x14ac:dyDescent="0.3">
      <c r="Q2751" t="str">
        <f t="shared" si="89"/>
        <v/>
      </c>
      <c r="R2751" s="54" t="str">
        <f t="shared" si="88"/>
        <v/>
      </c>
    </row>
    <row r="2752" spans="17:18" x14ac:dyDescent="0.3">
      <c r="Q2752" t="str">
        <f t="shared" si="89"/>
        <v/>
      </c>
      <c r="R2752" s="54" t="str">
        <f t="shared" si="88"/>
        <v/>
      </c>
    </row>
    <row r="2753" spans="17:18" x14ac:dyDescent="0.3">
      <c r="Q2753" t="str">
        <f t="shared" si="89"/>
        <v/>
      </c>
      <c r="R2753" s="54" t="str">
        <f t="shared" si="88"/>
        <v/>
      </c>
    </row>
    <row r="2754" spans="17:18" x14ac:dyDescent="0.3">
      <c r="Q2754" t="str">
        <f t="shared" si="89"/>
        <v/>
      </c>
      <c r="R2754" s="54" t="str">
        <f t="shared" si="88"/>
        <v/>
      </c>
    </row>
    <row r="2755" spans="17:18" x14ac:dyDescent="0.3">
      <c r="Q2755" t="str">
        <f t="shared" si="89"/>
        <v/>
      </c>
      <c r="R2755" s="54" t="str">
        <f t="shared" ref="R2755:R2818" si="90">IF(F2769="","",IFERROR(IF(ISNUMBER(F2769),F2769,DATEVALUE(F2769)),""))</f>
        <v/>
      </c>
    </row>
    <row r="2756" spans="17:18" x14ac:dyDescent="0.3">
      <c r="Q2756" t="str">
        <f t="shared" si="89"/>
        <v/>
      </c>
      <c r="R2756" s="54" t="str">
        <f t="shared" si="90"/>
        <v/>
      </c>
    </row>
    <row r="2757" spans="17:18" x14ac:dyDescent="0.3">
      <c r="Q2757" t="str">
        <f t="shared" si="89"/>
        <v/>
      </c>
      <c r="R2757" s="54" t="str">
        <f t="shared" si="90"/>
        <v/>
      </c>
    </row>
    <row r="2758" spans="17:18" x14ac:dyDescent="0.3">
      <c r="Q2758" t="str">
        <f t="shared" si="89"/>
        <v/>
      </c>
      <c r="R2758" s="54" t="str">
        <f t="shared" si="90"/>
        <v/>
      </c>
    </row>
    <row r="2759" spans="17:18" x14ac:dyDescent="0.3">
      <c r="Q2759" t="str">
        <f t="shared" si="89"/>
        <v/>
      </c>
      <c r="R2759" s="54" t="str">
        <f t="shared" si="90"/>
        <v/>
      </c>
    </row>
    <row r="2760" spans="17:18" x14ac:dyDescent="0.3">
      <c r="Q2760" t="str">
        <f t="shared" si="89"/>
        <v/>
      </c>
      <c r="R2760" s="54" t="str">
        <f t="shared" si="90"/>
        <v/>
      </c>
    </row>
    <row r="2761" spans="17:18" x14ac:dyDescent="0.3">
      <c r="Q2761" t="str">
        <f t="shared" si="89"/>
        <v/>
      </c>
      <c r="R2761" s="54" t="str">
        <f t="shared" si="90"/>
        <v/>
      </c>
    </row>
    <row r="2762" spans="17:18" x14ac:dyDescent="0.3">
      <c r="Q2762" t="str">
        <f t="shared" si="89"/>
        <v/>
      </c>
      <c r="R2762" s="54" t="str">
        <f t="shared" si="90"/>
        <v/>
      </c>
    </row>
    <row r="2763" spans="17:18" x14ac:dyDescent="0.3">
      <c r="Q2763" t="str">
        <f t="shared" si="89"/>
        <v/>
      </c>
      <c r="R2763" s="54" t="str">
        <f t="shared" si="90"/>
        <v/>
      </c>
    </row>
    <row r="2764" spans="17:18" x14ac:dyDescent="0.3">
      <c r="Q2764" t="str">
        <f t="shared" si="89"/>
        <v/>
      </c>
      <c r="R2764" s="54" t="str">
        <f t="shared" si="90"/>
        <v/>
      </c>
    </row>
    <row r="2765" spans="17:18" x14ac:dyDescent="0.3">
      <c r="Q2765" t="str">
        <f t="shared" si="89"/>
        <v/>
      </c>
      <c r="R2765" s="54" t="str">
        <f t="shared" si="90"/>
        <v/>
      </c>
    </row>
    <row r="2766" spans="17:18" x14ac:dyDescent="0.3">
      <c r="Q2766" t="str">
        <f t="shared" si="89"/>
        <v/>
      </c>
      <c r="R2766" s="54" t="str">
        <f t="shared" si="90"/>
        <v/>
      </c>
    </row>
    <row r="2767" spans="17:18" x14ac:dyDescent="0.3">
      <c r="Q2767" t="str">
        <f t="shared" si="89"/>
        <v/>
      </c>
      <c r="R2767" s="54" t="str">
        <f t="shared" si="90"/>
        <v/>
      </c>
    </row>
    <row r="2768" spans="17:18" x14ac:dyDescent="0.3">
      <c r="Q2768" t="str">
        <f t="shared" si="89"/>
        <v/>
      </c>
      <c r="R2768" s="54" t="str">
        <f t="shared" si="90"/>
        <v/>
      </c>
    </row>
    <row r="2769" spans="17:18" x14ac:dyDescent="0.3">
      <c r="Q2769" t="str">
        <f t="shared" si="89"/>
        <v/>
      </c>
      <c r="R2769" s="54" t="str">
        <f t="shared" si="90"/>
        <v/>
      </c>
    </row>
    <row r="2770" spans="17:18" x14ac:dyDescent="0.3">
      <c r="Q2770" t="str">
        <f t="shared" si="89"/>
        <v/>
      </c>
      <c r="R2770" s="54" t="str">
        <f t="shared" si="90"/>
        <v/>
      </c>
    </row>
    <row r="2771" spans="17:18" x14ac:dyDescent="0.3">
      <c r="Q2771" t="str">
        <f t="shared" si="89"/>
        <v/>
      </c>
      <c r="R2771" s="54" t="str">
        <f t="shared" si="90"/>
        <v/>
      </c>
    </row>
    <row r="2772" spans="17:18" x14ac:dyDescent="0.3">
      <c r="Q2772" t="str">
        <f t="shared" si="89"/>
        <v/>
      </c>
      <c r="R2772" s="54" t="str">
        <f t="shared" si="90"/>
        <v/>
      </c>
    </row>
    <row r="2773" spans="17:18" x14ac:dyDescent="0.3">
      <c r="Q2773" t="str">
        <f t="shared" si="89"/>
        <v/>
      </c>
      <c r="R2773" s="54" t="str">
        <f t="shared" si="90"/>
        <v/>
      </c>
    </row>
    <row r="2774" spans="17:18" x14ac:dyDescent="0.3">
      <c r="Q2774" t="str">
        <f t="shared" si="89"/>
        <v/>
      </c>
      <c r="R2774" s="54" t="str">
        <f t="shared" si="90"/>
        <v/>
      </c>
    </row>
    <row r="2775" spans="17:18" x14ac:dyDescent="0.3">
      <c r="Q2775" t="str">
        <f t="shared" ref="Q2775:Q2838" si="91">IF(COUNTA(A2775:P2775)=0,"",IF(ISNUMBER(SEARCH("-AR-",E2789)),"Architectural",IF(ISNUMBER(SEARCH("-ST-",E2789)),"Structural",IF(ISNUMBER(SEARCH("-ME-",E2789)),"Mechanical",IF(ISNUMBER(SEARCH("-EL-",E2789)),"Electrical",IF(ISNUMBER(SEARCH("-GE-",E2789)),"General",IF(ISNUMBER(SEARCH("-AR-",D2789)),"Architectural",IF(ISNUMBER(SEARCH("-ST-",D2789)),"Structural",IF(ISNUMBER(SEARCH("-ME-",D2789)),"Mechanical",IF(ISNUMBER(SEARCH("-EL-",D2789)),"Electrical",IF(ISNUMBER(SEARCH("-GE-",D2789)),"General","Other")))))))))))</f>
        <v/>
      </c>
      <c r="R2775" s="54" t="str">
        <f t="shared" si="90"/>
        <v/>
      </c>
    </row>
    <row r="2776" spans="17:18" x14ac:dyDescent="0.3">
      <c r="Q2776" t="str">
        <f t="shared" si="91"/>
        <v/>
      </c>
      <c r="R2776" s="54" t="str">
        <f t="shared" si="90"/>
        <v/>
      </c>
    </row>
    <row r="2777" spans="17:18" x14ac:dyDescent="0.3">
      <c r="Q2777" t="str">
        <f t="shared" si="91"/>
        <v/>
      </c>
      <c r="R2777" s="54" t="str">
        <f t="shared" si="90"/>
        <v/>
      </c>
    </row>
    <row r="2778" spans="17:18" x14ac:dyDescent="0.3">
      <c r="Q2778" t="str">
        <f t="shared" si="91"/>
        <v/>
      </c>
      <c r="R2778" s="54" t="str">
        <f t="shared" si="90"/>
        <v/>
      </c>
    </row>
    <row r="2779" spans="17:18" x14ac:dyDescent="0.3">
      <c r="Q2779" t="str">
        <f t="shared" si="91"/>
        <v/>
      </c>
      <c r="R2779" s="54" t="str">
        <f t="shared" si="90"/>
        <v/>
      </c>
    </row>
    <row r="2780" spans="17:18" x14ac:dyDescent="0.3">
      <c r="Q2780" t="str">
        <f t="shared" si="91"/>
        <v/>
      </c>
      <c r="R2780" s="54" t="str">
        <f t="shared" si="90"/>
        <v/>
      </c>
    </row>
    <row r="2781" spans="17:18" x14ac:dyDescent="0.3">
      <c r="Q2781" t="str">
        <f t="shared" si="91"/>
        <v/>
      </c>
      <c r="R2781" s="54" t="str">
        <f t="shared" si="90"/>
        <v/>
      </c>
    </row>
    <row r="2782" spans="17:18" x14ac:dyDescent="0.3">
      <c r="Q2782" t="str">
        <f t="shared" si="91"/>
        <v/>
      </c>
      <c r="R2782" s="54" t="str">
        <f t="shared" si="90"/>
        <v/>
      </c>
    </row>
    <row r="2783" spans="17:18" x14ac:dyDescent="0.3">
      <c r="Q2783" t="str">
        <f t="shared" si="91"/>
        <v/>
      </c>
      <c r="R2783" s="54" t="str">
        <f t="shared" si="90"/>
        <v/>
      </c>
    </row>
    <row r="2784" spans="17:18" x14ac:dyDescent="0.3">
      <c r="Q2784" t="str">
        <f t="shared" si="91"/>
        <v/>
      </c>
      <c r="R2784" s="54" t="str">
        <f t="shared" si="90"/>
        <v/>
      </c>
    </row>
    <row r="2785" spans="17:18" x14ac:dyDescent="0.3">
      <c r="Q2785" t="str">
        <f t="shared" si="91"/>
        <v/>
      </c>
      <c r="R2785" s="54" t="str">
        <f t="shared" si="90"/>
        <v/>
      </c>
    </row>
    <row r="2786" spans="17:18" x14ac:dyDescent="0.3">
      <c r="Q2786" t="str">
        <f t="shared" si="91"/>
        <v/>
      </c>
      <c r="R2786" s="54" t="str">
        <f t="shared" si="90"/>
        <v/>
      </c>
    </row>
    <row r="2787" spans="17:18" x14ac:dyDescent="0.3">
      <c r="Q2787" t="str">
        <f t="shared" si="91"/>
        <v/>
      </c>
      <c r="R2787" s="54" t="str">
        <f t="shared" si="90"/>
        <v/>
      </c>
    </row>
    <row r="2788" spans="17:18" x14ac:dyDescent="0.3">
      <c r="Q2788" t="str">
        <f t="shared" si="91"/>
        <v/>
      </c>
      <c r="R2788" s="54" t="str">
        <f t="shared" si="90"/>
        <v/>
      </c>
    </row>
    <row r="2789" spans="17:18" x14ac:dyDescent="0.3">
      <c r="Q2789" t="str">
        <f t="shared" si="91"/>
        <v/>
      </c>
      <c r="R2789" s="54" t="str">
        <f t="shared" si="90"/>
        <v/>
      </c>
    </row>
    <row r="2790" spans="17:18" x14ac:dyDescent="0.3">
      <c r="Q2790" t="str">
        <f t="shared" si="91"/>
        <v/>
      </c>
      <c r="R2790" s="54" t="str">
        <f t="shared" si="90"/>
        <v/>
      </c>
    </row>
    <row r="2791" spans="17:18" x14ac:dyDescent="0.3">
      <c r="Q2791" t="str">
        <f t="shared" si="91"/>
        <v/>
      </c>
      <c r="R2791" s="54" t="str">
        <f t="shared" si="90"/>
        <v/>
      </c>
    </row>
    <row r="2792" spans="17:18" x14ac:dyDescent="0.3">
      <c r="Q2792" t="str">
        <f t="shared" si="91"/>
        <v/>
      </c>
      <c r="R2792" s="54" t="str">
        <f t="shared" si="90"/>
        <v/>
      </c>
    </row>
    <row r="2793" spans="17:18" x14ac:dyDescent="0.3">
      <c r="Q2793" t="str">
        <f t="shared" si="91"/>
        <v/>
      </c>
      <c r="R2793" s="54" t="str">
        <f t="shared" si="90"/>
        <v/>
      </c>
    </row>
    <row r="2794" spans="17:18" x14ac:dyDescent="0.3">
      <c r="Q2794" t="str">
        <f t="shared" si="91"/>
        <v/>
      </c>
      <c r="R2794" s="54" t="str">
        <f t="shared" si="90"/>
        <v/>
      </c>
    </row>
    <row r="2795" spans="17:18" x14ac:dyDescent="0.3">
      <c r="Q2795" t="str">
        <f t="shared" si="91"/>
        <v/>
      </c>
      <c r="R2795" s="54" t="str">
        <f t="shared" si="90"/>
        <v/>
      </c>
    </row>
    <row r="2796" spans="17:18" x14ac:dyDescent="0.3">
      <c r="Q2796" t="str">
        <f t="shared" si="91"/>
        <v/>
      </c>
      <c r="R2796" s="54" t="str">
        <f t="shared" si="90"/>
        <v/>
      </c>
    </row>
    <row r="2797" spans="17:18" x14ac:dyDescent="0.3">
      <c r="Q2797" t="str">
        <f t="shared" si="91"/>
        <v/>
      </c>
      <c r="R2797" s="54" t="str">
        <f t="shared" si="90"/>
        <v/>
      </c>
    </row>
    <row r="2798" spans="17:18" x14ac:dyDescent="0.3">
      <c r="Q2798" t="str">
        <f t="shared" si="91"/>
        <v/>
      </c>
      <c r="R2798" s="54" t="str">
        <f t="shared" si="90"/>
        <v/>
      </c>
    </row>
    <row r="2799" spans="17:18" x14ac:dyDescent="0.3">
      <c r="Q2799" t="str">
        <f t="shared" si="91"/>
        <v/>
      </c>
      <c r="R2799" s="54" t="str">
        <f t="shared" si="90"/>
        <v/>
      </c>
    </row>
    <row r="2800" spans="17:18" x14ac:dyDescent="0.3">
      <c r="Q2800" t="str">
        <f t="shared" si="91"/>
        <v/>
      </c>
      <c r="R2800" s="54" t="str">
        <f t="shared" si="90"/>
        <v/>
      </c>
    </row>
    <row r="2801" spans="17:18" x14ac:dyDescent="0.3">
      <c r="Q2801" t="str">
        <f t="shared" si="91"/>
        <v/>
      </c>
      <c r="R2801" s="54" t="str">
        <f t="shared" si="90"/>
        <v/>
      </c>
    </row>
    <row r="2802" spans="17:18" x14ac:dyDescent="0.3">
      <c r="Q2802" t="str">
        <f t="shared" si="91"/>
        <v/>
      </c>
      <c r="R2802" s="54" t="str">
        <f t="shared" si="90"/>
        <v/>
      </c>
    </row>
    <row r="2803" spans="17:18" x14ac:dyDescent="0.3">
      <c r="Q2803" t="str">
        <f t="shared" si="91"/>
        <v/>
      </c>
      <c r="R2803" s="54" t="str">
        <f t="shared" si="90"/>
        <v/>
      </c>
    </row>
    <row r="2804" spans="17:18" x14ac:dyDescent="0.3">
      <c r="Q2804" t="str">
        <f t="shared" si="91"/>
        <v/>
      </c>
      <c r="R2804" s="54" t="str">
        <f t="shared" si="90"/>
        <v/>
      </c>
    </row>
    <row r="2805" spans="17:18" x14ac:dyDescent="0.3">
      <c r="Q2805" t="str">
        <f t="shared" si="91"/>
        <v/>
      </c>
      <c r="R2805" s="54" t="str">
        <f t="shared" si="90"/>
        <v/>
      </c>
    </row>
    <row r="2806" spans="17:18" x14ac:dyDescent="0.3">
      <c r="Q2806" t="str">
        <f t="shared" si="91"/>
        <v/>
      </c>
      <c r="R2806" s="54" t="str">
        <f t="shared" si="90"/>
        <v/>
      </c>
    </row>
    <row r="2807" spans="17:18" x14ac:dyDescent="0.3">
      <c r="Q2807" t="str">
        <f t="shared" si="91"/>
        <v/>
      </c>
      <c r="R2807" s="54" t="str">
        <f t="shared" si="90"/>
        <v/>
      </c>
    </row>
    <row r="2808" spans="17:18" x14ac:dyDescent="0.3">
      <c r="Q2808" t="str">
        <f t="shared" si="91"/>
        <v/>
      </c>
      <c r="R2808" s="54" t="str">
        <f t="shared" si="90"/>
        <v/>
      </c>
    </row>
    <row r="2809" spans="17:18" x14ac:dyDescent="0.3">
      <c r="Q2809" t="str">
        <f t="shared" si="91"/>
        <v/>
      </c>
      <c r="R2809" s="54" t="str">
        <f t="shared" si="90"/>
        <v/>
      </c>
    </row>
    <row r="2810" spans="17:18" x14ac:dyDescent="0.3">
      <c r="Q2810" t="str">
        <f t="shared" si="91"/>
        <v/>
      </c>
      <c r="R2810" s="54" t="str">
        <f t="shared" si="90"/>
        <v/>
      </c>
    </row>
    <row r="2811" spans="17:18" x14ac:dyDescent="0.3">
      <c r="Q2811" t="str">
        <f t="shared" si="91"/>
        <v/>
      </c>
      <c r="R2811" s="54" t="str">
        <f t="shared" si="90"/>
        <v/>
      </c>
    </row>
    <row r="2812" spans="17:18" x14ac:dyDescent="0.3">
      <c r="Q2812" t="str">
        <f t="shared" si="91"/>
        <v/>
      </c>
      <c r="R2812" s="54" t="str">
        <f t="shared" si="90"/>
        <v/>
      </c>
    </row>
    <row r="2813" spans="17:18" x14ac:dyDescent="0.3">
      <c r="Q2813" t="str">
        <f t="shared" si="91"/>
        <v/>
      </c>
      <c r="R2813" s="54" t="str">
        <f t="shared" si="90"/>
        <v/>
      </c>
    </row>
    <row r="2814" spans="17:18" x14ac:dyDescent="0.3">
      <c r="Q2814" t="str">
        <f t="shared" si="91"/>
        <v/>
      </c>
      <c r="R2814" s="54" t="str">
        <f t="shared" si="90"/>
        <v/>
      </c>
    </row>
    <row r="2815" spans="17:18" x14ac:dyDescent="0.3">
      <c r="Q2815" t="str">
        <f t="shared" si="91"/>
        <v/>
      </c>
      <c r="R2815" s="54" t="str">
        <f t="shared" si="90"/>
        <v/>
      </c>
    </row>
    <row r="2816" spans="17:18" x14ac:dyDescent="0.3">
      <c r="Q2816" t="str">
        <f t="shared" si="91"/>
        <v/>
      </c>
      <c r="R2816" s="54" t="str">
        <f t="shared" si="90"/>
        <v/>
      </c>
    </row>
    <row r="2817" spans="17:18" x14ac:dyDescent="0.3">
      <c r="Q2817" t="str">
        <f t="shared" si="91"/>
        <v/>
      </c>
      <c r="R2817" s="54" t="str">
        <f t="shared" si="90"/>
        <v/>
      </c>
    </row>
    <row r="2818" spans="17:18" x14ac:dyDescent="0.3">
      <c r="Q2818" t="str">
        <f t="shared" si="91"/>
        <v/>
      </c>
      <c r="R2818" s="54" t="str">
        <f t="shared" si="90"/>
        <v/>
      </c>
    </row>
    <row r="2819" spans="17:18" x14ac:dyDescent="0.3">
      <c r="Q2819" t="str">
        <f t="shared" si="91"/>
        <v/>
      </c>
      <c r="R2819" s="54" t="str">
        <f t="shared" ref="R2819:R2882" si="92">IF(F2833="","",IFERROR(IF(ISNUMBER(F2833),F2833,DATEVALUE(F2833)),""))</f>
        <v/>
      </c>
    </row>
    <row r="2820" spans="17:18" x14ac:dyDescent="0.3">
      <c r="Q2820" t="str">
        <f t="shared" si="91"/>
        <v/>
      </c>
      <c r="R2820" s="54" t="str">
        <f t="shared" si="92"/>
        <v/>
      </c>
    </row>
    <row r="2821" spans="17:18" x14ac:dyDescent="0.3">
      <c r="Q2821" t="str">
        <f t="shared" si="91"/>
        <v/>
      </c>
      <c r="R2821" s="54" t="str">
        <f t="shared" si="92"/>
        <v/>
      </c>
    </row>
    <row r="2822" spans="17:18" x14ac:dyDescent="0.3">
      <c r="Q2822" t="str">
        <f t="shared" si="91"/>
        <v/>
      </c>
      <c r="R2822" s="54" t="str">
        <f t="shared" si="92"/>
        <v/>
      </c>
    </row>
    <row r="2823" spans="17:18" x14ac:dyDescent="0.3">
      <c r="Q2823" t="str">
        <f t="shared" si="91"/>
        <v/>
      </c>
      <c r="R2823" s="54" t="str">
        <f t="shared" si="92"/>
        <v/>
      </c>
    </row>
    <row r="2824" spans="17:18" x14ac:dyDescent="0.3">
      <c r="Q2824" t="str">
        <f t="shared" si="91"/>
        <v/>
      </c>
      <c r="R2824" s="54" t="str">
        <f t="shared" si="92"/>
        <v/>
      </c>
    </row>
    <row r="2825" spans="17:18" x14ac:dyDescent="0.3">
      <c r="Q2825" t="str">
        <f t="shared" si="91"/>
        <v/>
      </c>
      <c r="R2825" s="54" t="str">
        <f t="shared" si="92"/>
        <v/>
      </c>
    </row>
    <row r="2826" spans="17:18" x14ac:dyDescent="0.3">
      <c r="Q2826" t="str">
        <f t="shared" si="91"/>
        <v/>
      </c>
      <c r="R2826" s="54" t="str">
        <f t="shared" si="92"/>
        <v/>
      </c>
    </row>
    <row r="2827" spans="17:18" x14ac:dyDescent="0.3">
      <c r="Q2827" t="str">
        <f t="shared" si="91"/>
        <v/>
      </c>
      <c r="R2827" s="54" t="str">
        <f t="shared" si="92"/>
        <v/>
      </c>
    </row>
    <row r="2828" spans="17:18" x14ac:dyDescent="0.3">
      <c r="Q2828" t="str">
        <f t="shared" si="91"/>
        <v/>
      </c>
      <c r="R2828" s="54" t="str">
        <f t="shared" si="92"/>
        <v/>
      </c>
    </row>
    <row r="2829" spans="17:18" x14ac:dyDescent="0.3">
      <c r="Q2829" t="str">
        <f t="shared" si="91"/>
        <v/>
      </c>
      <c r="R2829" s="54" t="str">
        <f t="shared" si="92"/>
        <v/>
      </c>
    </row>
    <row r="2830" spans="17:18" x14ac:dyDescent="0.3">
      <c r="Q2830" t="str">
        <f t="shared" si="91"/>
        <v/>
      </c>
      <c r="R2830" s="54" t="str">
        <f t="shared" si="92"/>
        <v/>
      </c>
    </row>
    <row r="2831" spans="17:18" x14ac:dyDescent="0.3">
      <c r="Q2831" t="str">
        <f t="shared" si="91"/>
        <v/>
      </c>
      <c r="R2831" s="54" t="str">
        <f t="shared" si="92"/>
        <v/>
      </c>
    </row>
    <row r="2832" spans="17:18" x14ac:dyDescent="0.3">
      <c r="Q2832" t="str">
        <f t="shared" si="91"/>
        <v/>
      </c>
      <c r="R2832" s="54" t="str">
        <f t="shared" si="92"/>
        <v/>
      </c>
    </row>
    <row r="2833" spans="17:18" x14ac:dyDescent="0.3">
      <c r="Q2833" t="str">
        <f t="shared" si="91"/>
        <v/>
      </c>
      <c r="R2833" s="54" t="str">
        <f t="shared" si="92"/>
        <v/>
      </c>
    </row>
    <row r="2834" spans="17:18" x14ac:dyDescent="0.3">
      <c r="Q2834" t="str">
        <f t="shared" si="91"/>
        <v/>
      </c>
      <c r="R2834" s="54" t="str">
        <f t="shared" si="92"/>
        <v/>
      </c>
    </row>
    <row r="2835" spans="17:18" x14ac:dyDescent="0.3">
      <c r="Q2835" t="str">
        <f t="shared" si="91"/>
        <v/>
      </c>
      <c r="R2835" s="54" t="str">
        <f t="shared" si="92"/>
        <v/>
      </c>
    </row>
    <row r="2836" spans="17:18" x14ac:dyDescent="0.3">
      <c r="Q2836" t="str">
        <f t="shared" si="91"/>
        <v/>
      </c>
      <c r="R2836" s="54" t="str">
        <f t="shared" si="92"/>
        <v/>
      </c>
    </row>
    <row r="2837" spans="17:18" x14ac:dyDescent="0.3">
      <c r="Q2837" t="str">
        <f t="shared" si="91"/>
        <v/>
      </c>
      <c r="R2837" s="54" t="str">
        <f t="shared" si="92"/>
        <v/>
      </c>
    </row>
    <row r="2838" spans="17:18" x14ac:dyDescent="0.3">
      <c r="Q2838" t="str">
        <f t="shared" si="91"/>
        <v/>
      </c>
      <c r="R2838" s="54" t="str">
        <f t="shared" si="92"/>
        <v/>
      </c>
    </row>
    <row r="2839" spans="17:18" x14ac:dyDescent="0.3">
      <c r="Q2839" t="str">
        <f t="shared" ref="Q2839:Q2902" si="93">IF(COUNTA(A2839:P2839)=0,"",IF(ISNUMBER(SEARCH("-AR-",E2853)),"Architectural",IF(ISNUMBER(SEARCH("-ST-",E2853)),"Structural",IF(ISNUMBER(SEARCH("-ME-",E2853)),"Mechanical",IF(ISNUMBER(SEARCH("-EL-",E2853)),"Electrical",IF(ISNUMBER(SEARCH("-GE-",E2853)),"General",IF(ISNUMBER(SEARCH("-AR-",D2853)),"Architectural",IF(ISNUMBER(SEARCH("-ST-",D2853)),"Structural",IF(ISNUMBER(SEARCH("-ME-",D2853)),"Mechanical",IF(ISNUMBER(SEARCH("-EL-",D2853)),"Electrical",IF(ISNUMBER(SEARCH("-GE-",D2853)),"General","Other")))))))))))</f>
        <v/>
      </c>
      <c r="R2839" s="54" t="str">
        <f t="shared" si="92"/>
        <v/>
      </c>
    </row>
    <row r="2840" spans="17:18" x14ac:dyDescent="0.3">
      <c r="Q2840" t="str">
        <f t="shared" si="93"/>
        <v/>
      </c>
      <c r="R2840" s="54" t="str">
        <f t="shared" si="92"/>
        <v/>
      </c>
    </row>
    <row r="2841" spans="17:18" x14ac:dyDescent="0.3">
      <c r="Q2841" t="str">
        <f t="shared" si="93"/>
        <v/>
      </c>
      <c r="R2841" s="54" t="str">
        <f t="shared" si="92"/>
        <v/>
      </c>
    </row>
    <row r="2842" spans="17:18" x14ac:dyDescent="0.3">
      <c r="Q2842" t="str">
        <f t="shared" si="93"/>
        <v/>
      </c>
      <c r="R2842" s="54" t="str">
        <f t="shared" si="92"/>
        <v/>
      </c>
    </row>
    <row r="2843" spans="17:18" x14ac:dyDescent="0.3">
      <c r="Q2843" t="str">
        <f t="shared" si="93"/>
        <v/>
      </c>
      <c r="R2843" s="54" t="str">
        <f t="shared" si="92"/>
        <v/>
      </c>
    </row>
    <row r="2844" spans="17:18" x14ac:dyDescent="0.3">
      <c r="Q2844" t="str">
        <f t="shared" si="93"/>
        <v/>
      </c>
      <c r="R2844" s="54" t="str">
        <f t="shared" si="92"/>
        <v/>
      </c>
    </row>
    <row r="2845" spans="17:18" x14ac:dyDescent="0.3">
      <c r="Q2845" t="str">
        <f t="shared" si="93"/>
        <v/>
      </c>
      <c r="R2845" s="54" t="str">
        <f t="shared" si="92"/>
        <v/>
      </c>
    </row>
    <row r="2846" spans="17:18" x14ac:dyDescent="0.3">
      <c r="Q2846" t="str">
        <f t="shared" si="93"/>
        <v/>
      </c>
      <c r="R2846" s="54" t="str">
        <f t="shared" si="92"/>
        <v/>
      </c>
    </row>
    <row r="2847" spans="17:18" x14ac:dyDescent="0.3">
      <c r="Q2847" t="str">
        <f t="shared" si="93"/>
        <v/>
      </c>
      <c r="R2847" s="54" t="str">
        <f t="shared" si="92"/>
        <v/>
      </c>
    </row>
    <row r="2848" spans="17:18" x14ac:dyDescent="0.3">
      <c r="Q2848" t="str">
        <f t="shared" si="93"/>
        <v/>
      </c>
      <c r="R2848" s="54" t="str">
        <f t="shared" si="92"/>
        <v/>
      </c>
    </row>
    <row r="2849" spans="17:18" x14ac:dyDescent="0.3">
      <c r="Q2849" t="str">
        <f t="shared" si="93"/>
        <v/>
      </c>
      <c r="R2849" s="54" t="str">
        <f t="shared" si="92"/>
        <v/>
      </c>
    </row>
    <row r="2850" spans="17:18" x14ac:dyDescent="0.3">
      <c r="Q2850" t="str">
        <f t="shared" si="93"/>
        <v/>
      </c>
      <c r="R2850" s="54" t="str">
        <f t="shared" si="92"/>
        <v/>
      </c>
    </row>
    <row r="2851" spans="17:18" x14ac:dyDescent="0.3">
      <c r="Q2851" t="str">
        <f t="shared" si="93"/>
        <v/>
      </c>
      <c r="R2851" s="54" t="str">
        <f t="shared" si="92"/>
        <v/>
      </c>
    </row>
    <row r="2852" spans="17:18" x14ac:dyDescent="0.3">
      <c r="Q2852" t="str">
        <f t="shared" si="93"/>
        <v/>
      </c>
      <c r="R2852" s="54" t="str">
        <f t="shared" si="92"/>
        <v/>
      </c>
    </row>
    <row r="2853" spans="17:18" x14ac:dyDescent="0.3">
      <c r="Q2853" t="str">
        <f t="shared" si="93"/>
        <v/>
      </c>
      <c r="R2853" s="54" t="str">
        <f t="shared" si="92"/>
        <v/>
      </c>
    </row>
    <row r="2854" spans="17:18" x14ac:dyDescent="0.3">
      <c r="Q2854" t="str">
        <f t="shared" si="93"/>
        <v/>
      </c>
      <c r="R2854" s="54" t="str">
        <f t="shared" si="92"/>
        <v/>
      </c>
    </row>
    <row r="2855" spans="17:18" x14ac:dyDescent="0.3">
      <c r="Q2855" t="str">
        <f t="shared" si="93"/>
        <v/>
      </c>
      <c r="R2855" s="54" t="str">
        <f t="shared" si="92"/>
        <v/>
      </c>
    </row>
    <row r="2856" spans="17:18" x14ac:dyDescent="0.3">
      <c r="Q2856" t="str">
        <f t="shared" si="93"/>
        <v/>
      </c>
      <c r="R2856" s="54" t="str">
        <f t="shared" si="92"/>
        <v/>
      </c>
    </row>
    <row r="2857" spans="17:18" x14ac:dyDescent="0.3">
      <c r="Q2857" t="str">
        <f t="shared" si="93"/>
        <v/>
      </c>
      <c r="R2857" s="54" t="str">
        <f t="shared" si="92"/>
        <v/>
      </c>
    </row>
    <row r="2858" spans="17:18" x14ac:dyDescent="0.3">
      <c r="Q2858" t="str">
        <f t="shared" si="93"/>
        <v/>
      </c>
      <c r="R2858" s="54" t="str">
        <f t="shared" si="92"/>
        <v/>
      </c>
    </row>
    <row r="2859" spans="17:18" x14ac:dyDescent="0.3">
      <c r="Q2859" t="str">
        <f t="shared" si="93"/>
        <v/>
      </c>
      <c r="R2859" s="54" t="str">
        <f t="shared" si="92"/>
        <v/>
      </c>
    </row>
    <row r="2860" spans="17:18" x14ac:dyDescent="0.3">
      <c r="Q2860" t="str">
        <f t="shared" si="93"/>
        <v/>
      </c>
      <c r="R2860" s="54" t="str">
        <f t="shared" si="92"/>
        <v/>
      </c>
    </row>
    <row r="2861" spans="17:18" x14ac:dyDescent="0.3">
      <c r="Q2861" t="str">
        <f t="shared" si="93"/>
        <v/>
      </c>
      <c r="R2861" s="54" t="str">
        <f t="shared" si="92"/>
        <v/>
      </c>
    </row>
    <row r="2862" spans="17:18" x14ac:dyDescent="0.3">
      <c r="Q2862" t="str">
        <f t="shared" si="93"/>
        <v/>
      </c>
      <c r="R2862" s="54" t="str">
        <f t="shared" si="92"/>
        <v/>
      </c>
    </row>
    <row r="2863" spans="17:18" x14ac:dyDescent="0.3">
      <c r="Q2863" t="str">
        <f t="shared" si="93"/>
        <v/>
      </c>
      <c r="R2863" s="54" t="str">
        <f t="shared" si="92"/>
        <v/>
      </c>
    </row>
    <row r="2864" spans="17:18" x14ac:dyDescent="0.3">
      <c r="Q2864" t="str">
        <f t="shared" si="93"/>
        <v/>
      </c>
      <c r="R2864" s="54" t="str">
        <f t="shared" si="92"/>
        <v/>
      </c>
    </row>
    <row r="2865" spans="17:18" x14ac:dyDescent="0.3">
      <c r="Q2865" t="str">
        <f t="shared" si="93"/>
        <v/>
      </c>
      <c r="R2865" s="54" t="str">
        <f t="shared" si="92"/>
        <v/>
      </c>
    </row>
    <row r="2866" spans="17:18" x14ac:dyDescent="0.3">
      <c r="Q2866" t="str">
        <f t="shared" si="93"/>
        <v/>
      </c>
      <c r="R2866" s="54" t="str">
        <f t="shared" si="92"/>
        <v/>
      </c>
    </row>
    <row r="2867" spans="17:18" x14ac:dyDescent="0.3">
      <c r="Q2867" t="str">
        <f t="shared" si="93"/>
        <v/>
      </c>
      <c r="R2867" s="54" t="str">
        <f t="shared" si="92"/>
        <v/>
      </c>
    </row>
    <row r="2868" spans="17:18" x14ac:dyDescent="0.3">
      <c r="Q2868" t="str">
        <f t="shared" si="93"/>
        <v/>
      </c>
      <c r="R2868" s="54" t="str">
        <f t="shared" si="92"/>
        <v/>
      </c>
    </row>
    <row r="2869" spans="17:18" x14ac:dyDescent="0.3">
      <c r="Q2869" t="str">
        <f t="shared" si="93"/>
        <v/>
      </c>
      <c r="R2869" s="54" t="str">
        <f t="shared" si="92"/>
        <v/>
      </c>
    </row>
    <row r="2870" spans="17:18" x14ac:dyDescent="0.3">
      <c r="Q2870" t="str">
        <f t="shared" si="93"/>
        <v/>
      </c>
      <c r="R2870" s="54" t="str">
        <f t="shared" si="92"/>
        <v/>
      </c>
    </row>
    <row r="2871" spans="17:18" x14ac:dyDescent="0.3">
      <c r="Q2871" t="str">
        <f t="shared" si="93"/>
        <v/>
      </c>
      <c r="R2871" s="54" t="str">
        <f t="shared" si="92"/>
        <v/>
      </c>
    </row>
    <row r="2872" spans="17:18" x14ac:dyDescent="0.3">
      <c r="Q2872" t="str">
        <f t="shared" si="93"/>
        <v/>
      </c>
      <c r="R2872" s="54" t="str">
        <f t="shared" si="92"/>
        <v/>
      </c>
    </row>
    <row r="2873" spans="17:18" x14ac:dyDescent="0.3">
      <c r="Q2873" t="str">
        <f t="shared" si="93"/>
        <v/>
      </c>
      <c r="R2873" s="54" t="str">
        <f t="shared" si="92"/>
        <v/>
      </c>
    </row>
    <row r="2874" spans="17:18" x14ac:dyDescent="0.3">
      <c r="Q2874" t="str">
        <f t="shared" si="93"/>
        <v/>
      </c>
      <c r="R2874" s="54" t="str">
        <f t="shared" si="92"/>
        <v/>
      </c>
    </row>
    <row r="2875" spans="17:18" x14ac:dyDescent="0.3">
      <c r="Q2875" t="str">
        <f t="shared" si="93"/>
        <v/>
      </c>
      <c r="R2875" s="54" t="str">
        <f t="shared" si="92"/>
        <v/>
      </c>
    </row>
    <row r="2876" spans="17:18" x14ac:dyDescent="0.3">
      <c r="Q2876" t="str">
        <f t="shared" si="93"/>
        <v/>
      </c>
      <c r="R2876" s="54" t="str">
        <f t="shared" si="92"/>
        <v/>
      </c>
    </row>
    <row r="2877" spans="17:18" x14ac:dyDescent="0.3">
      <c r="Q2877" t="str">
        <f t="shared" si="93"/>
        <v/>
      </c>
      <c r="R2877" s="54" t="str">
        <f t="shared" si="92"/>
        <v/>
      </c>
    </row>
    <row r="2878" spans="17:18" x14ac:dyDescent="0.3">
      <c r="Q2878" t="str">
        <f t="shared" si="93"/>
        <v/>
      </c>
      <c r="R2878" s="54" t="str">
        <f t="shared" si="92"/>
        <v/>
      </c>
    </row>
    <row r="2879" spans="17:18" x14ac:dyDescent="0.3">
      <c r="Q2879" t="str">
        <f t="shared" si="93"/>
        <v/>
      </c>
      <c r="R2879" s="54" t="str">
        <f t="shared" si="92"/>
        <v/>
      </c>
    </row>
    <row r="2880" spans="17:18" x14ac:dyDescent="0.3">
      <c r="Q2880" t="str">
        <f t="shared" si="93"/>
        <v/>
      </c>
      <c r="R2880" s="54" t="str">
        <f t="shared" si="92"/>
        <v/>
      </c>
    </row>
    <row r="2881" spans="17:18" x14ac:dyDescent="0.3">
      <c r="Q2881" t="str">
        <f t="shared" si="93"/>
        <v/>
      </c>
      <c r="R2881" s="54" t="str">
        <f t="shared" si="92"/>
        <v/>
      </c>
    </row>
    <row r="2882" spans="17:18" x14ac:dyDescent="0.3">
      <c r="Q2882" t="str">
        <f t="shared" si="93"/>
        <v/>
      </c>
      <c r="R2882" s="54" t="str">
        <f t="shared" si="92"/>
        <v/>
      </c>
    </row>
    <row r="2883" spans="17:18" x14ac:dyDescent="0.3">
      <c r="Q2883" t="str">
        <f t="shared" si="93"/>
        <v/>
      </c>
      <c r="R2883" s="54" t="str">
        <f t="shared" ref="R2883:R2946" si="94">IF(F2897="","",IFERROR(IF(ISNUMBER(F2897),F2897,DATEVALUE(F2897)),""))</f>
        <v/>
      </c>
    </row>
    <row r="2884" spans="17:18" x14ac:dyDescent="0.3">
      <c r="Q2884" t="str">
        <f t="shared" si="93"/>
        <v/>
      </c>
      <c r="R2884" s="54" t="str">
        <f t="shared" si="94"/>
        <v/>
      </c>
    </row>
    <row r="2885" spans="17:18" x14ac:dyDescent="0.3">
      <c r="Q2885" t="str">
        <f t="shared" si="93"/>
        <v/>
      </c>
      <c r="R2885" s="54" t="str">
        <f t="shared" si="94"/>
        <v/>
      </c>
    </row>
    <row r="2886" spans="17:18" x14ac:dyDescent="0.3">
      <c r="Q2886" t="str">
        <f t="shared" si="93"/>
        <v/>
      </c>
      <c r="R2886" s="54" t="str">
        <f t="shared" si="94"/>
        <v/>
      </c>
    </row>
    <row r="2887" spans="17:18" x14ac:dyDescent="0.3">
      <c r="Q2887" t="str">
        <f t="shared" si="93"/>
        <v/>
      </c>
      <c r="R2887" s="54" t="str">
        <f t="shared" si="94"/>
        <v/>
      </c>
    </row>
    <row r="2888" spans="17:18" x14ac:dyDescent="0.3">
      <c r="Q2888" t="str">
        <f t="shared" si="93"/>
        <v/>
      </c>
      <c r="R2888" s="54" t="str">
        <f t="shared" si="94"/>
        <v/>
      </c>
    </row>
    <row r="2889" spans="17:18" x14ac:dyDescent="0.3">
      <c r="Q2889" t="str">
        <f t="shared" si="93"/>
        <v/>
      </c>
      <c r="R2889" s="54" t="str">
        <f t="shared" si="94"/>
        <v/>
      </c>
    </row>
    <row r="2890" spans="17:18" x14ac:dyDescent="0.3">
      <c r="Q2890" t="str">
        <f t="shared" si="93"/>
        <v/>
      </c>
      <c r="R2890" s="54" t="str">
        <f t="shared" si="94"/>
        <v/>
      </c>
    </row>
    <row r="2891" spans="17:18" x14ac:dyDescent="0.3">
      <c r="Q2891" t="str">
        <f t="shared" si="93"/>
        <v/>
      </c>
      <c r="R2891" s="54" t="str">
        <f t="shared" si="94"/>
        <v/>
      </c>
    </row>
    <row r="2892" spans="17:18" x14ac:dyDescent="0.3">
      <c r="Q2892" t="str">
        <f t="shared" si="93"/>
        <v/>
      </c>
      <c r="R2892" s="54" t="str">
        <f t="shared" si="94"/>
        <v/>
      </c>
    </row>
    <row r="2893" spans="17:18" x14ac:dyDescent="0.3">
      <c r="Q2893" t="str">
        <f t="shared" si="93"/>
        <v/>
      </c>
      <c r="R2893" s="54" t="str">
        <f t="shared" si="94"/>
        <v/>
      </c>
    </row>
    <row r="2894" spans="17:18" x14ac:dyDescent="0.3">
      <c r="Q2894" t="str">
        <f t="shared" si="93"/>
        <v/>
      </c>
      <c r="R2894" s="54" t="str">
        <f t="shared" si="94"/>
        <v/>
      </c>
    </row>
    <row r="2895" spans="17:18" x14ac:dyDescent="0.3">
      <c r="Q2895" t="str">
        <f t="shared" si="93"/>
        <v/>
      </c>
      <c r="R2895" s="54" t="str">
        <f t="shared" si="94"/>
        <v/>
      </c>
    </row>
    <row r="2896" spans="17:18" x14ac:dyDescent="0.3">
      <c r="Q2896" t="str">
        <f t="shared" si="93"/>
        <v/>
      </c>
      <c r="R2896" s="54" t="str">
        <f t="shared" si="94"/>
        <v/>
      </c>
    </row>
    <row r="2897" spans="17:18" x14ac:dyDescent="0.3">
      <c r="Q2897" t="str">
        <f t="shared" si="93"/>
        <v/>
      </c>
      <c r="R2897" s="54" t="str">
        <f t="shared" si="94"/>
        <v/>
      </c>
    </row>
    <row r="2898" spans="17:18" x14ac:dyDescent="0.3">
      <c r="Q2898" t="str">
        <f t="shared" si="93"/>
        <v/>
      </c>
      <c r="R2898" s="54" t="str">
        <f t="shared" si="94"/>
        <v/>
      </c>
    </row>
    <row r="2899" spans="17:18" x14ac:dyDescent="0.3">
      <c r="Q2899" t="str">
        <f t="shared" si="93"/>
        <v/>
      </c>
      <c r="R2899" s="54" t="str">
        <f t="shared" si="94"/>
        <v/>
      </c>
    </row>
    <row r="2900" spans="17:18" x14ac:dyDescent="0.3">
      <c r="Q2900" t="str">
        <f t="shared" si="93"/>
        <v/>
      </c>
      <c r="R2900" s="54" t="str">
        <f t="shared" si="94"/>
        <v/>
      </c>
    </row>
    <row r="2901" spans="17:18" x14ac:dyDescent="0.3">
      <c r="Q2901" t="str">
        <f t="shared" si="93"/>
        <v/>
      </c>
      <c r="R2901" s="54" t="str">
        <f t="shared" si="94"/>
        <v/>
      </c>
    </row>
    <row r="2902" spans="17:18" x14ac:dyDescent="0.3">
      <c r="Q2902" t="str">
        <f t="shared" si="93"/>
        <v/>
      </c>
      <c r="R2902" s="54" t="str">
        <f t="shared" si="94"/>
        <v/>
      </c>
    </row>
    <row r="2903" spans="17:18" x14ac:dyDescent="0.3">
      <c r="Q2903" t="str">
        <f t="shared" ref="Q2903:Q2966" si="95">IF(COUNTA(A2903:P2903)=0,"",IF(ISNUMBER(SEARCH("-AR-",E2917)),"Architectural",IF(ISNUMBER(SEARCH("-ST-",E2917)),"Structural",IF(ISNUMBER(SEARCH("-ME-",E2917)),"Mechanical",IF(ISNUMBER(SEARCH("-EL-",E2917)),"Electrical",IF(ISNUMBER(SEARCH("-GE-",E2917)),"General",IF(ISNUMBER(SEARCH("-AR-",D2917)),"Architectural",IF(ISNUMBER(SEARCH("-ST-",D2917)),"Structural",IF(ISNUMBER(SEARCH("-ME-",D2917)),"Mechanical",IF(ISNUMBER(SEARCH("-EL-",D2917)),"Electrical",IF(ISNUMBER(SEARCH("-GE-",D2917)),"General","Other")))))))))))</f>
        <v/>
      </c>
      <c r="R2903" s="54" t="str">
        <f t="shared" si="94"/>
        <v/>
      </c>
    </row>
    <row r="2904" spans="17:18" x14ac:dyDescent="0.3">
      <c r="Q2904" t="str">
        <f t="shared" si="95"/>
        <v/>
      </c>
      <c r="R2904" s="54" t="str">
        <f t="shared" si="94"/>
        <v/>
      </c>
    </row>
    <row r="2905" spans="17:18" x14ac:dyDescent="0.3">
      <c r="Q2905" t="str">
        <f t="shared" si="95"/>
        <v/>
      </c>
      <c r="R2905" s="54" t="str">
        <f t="shared" si="94"/>
        <v/>
      </c>
    </row>
    <row r="2906" spans="17:18" x14ac:dyDescent="0.3">
      <c r="Q2906" t="str">
        <f t="shared" si="95"/>
        <v/>
      </c>
      <c r="R2906" s="54" t="str">
        <f t="shared" si="94"/>
        <v/>
      </c>
    </row>
    <row r="2907" spans="17:18" x14ac:dyDescent="0.3">
      <c r="Q2907" t="str">
        <f t="shared" si="95"/>
        <v/>
      </c>
      <c r="R2907" s="54" t="str">
        <f t="shared" si="94"/>
        <v/>
      </c>
    </row>
    <row r="2908" spans="17:18" x14ac:dyDescent="0.3">
      <c r="Q2908" t="str">
        <f t="shared" si="95"/>
        <v/>
      </c>
      <c r="R2908" s="54" t="str">
        <f t="shared" si="94"/>
        <v/>
      </c>
    </row>
    <row r="2909" spans="17:18" x14ac:dyDescent="0.3">
      <c r="Q2909" t="str">
        <f t="shared" si="95"/>
        <v/>
      </c>
      <c r="R2909" s="54" t="str">
        <f t="shared" si="94"/>
        <v/>
      </c>
    </row>
    <row r="2910" spans="17:18" x14ac:dyDescent="0.3">
      <c r="Q2910" t="str">
        <f t="shared" si="95"/>
        <v/>
      </c>
      <c r="R2910" s="54" t="str">
        <f t="shared" si="94"/>
        <v/>
      </c>
    </row>
    <row r="2911" spans="17:18" x14ac:dyDescent="0.3">
      <c r="Q2911" t="str">
        <f t="shared" si="95"/>
        <v/>
      </c>
      <c r="R2911" s="54" t="str">
        <f t="shared" si="94"/>
        <v/>
      </c>
    </row>
    <row r="2912" spans="17:18" x14ac:dyDescent="0.3">
      <c r="Q2912" t="str">
        <f t="shared" si="95"/>
        <v/>
      </c>
      <c r="R2912" s="54" t="str">
        <f t="shared" si="94"/>
        <v/>
      </c>
    </row>
    <row r="2913" spans="17:18" x14ac:dyDescent="0.3">
      <c r="Q2913" t="str">
        <f t="shared" si="95"/>
        <v/>
      </c>
      <c r="R2913" s="54" t="str">
        <f t="shared" si="94"/>
        <v/>
      </c>
    </row>
    <row r="2914" spans="17:18" x14ac:dyDescent="0.3">
      <c r="Q2914" t="str">
        <f t="shared" si="95"/>
        <v/>
      </c>
      <c r="R2914" s="54" t="str">
        <f t="shared" si="94"/>
        <v/>
      </c>
    </row>
    <row r="2915" spans="17:18" x14ac:dyDescent="0.3">
      <c r="Q2915" t="str">
        <f t="shared" si="95"/>
        <v/>
      </c>
      <c r="R2915" s="54" t="str">
        <f t="shared" si="94"/>
        <v/>
      </c>
    </row>
    <row r="2916" spans="17:18" x14ac:dyDescent="0.3">
      <c r="Q2916" t="str">
        <f t="shared" si="95"/>
        <v/>
      </c>
      <c r="R2916" s="54" t="str">
        <f t="shared" si="94"/>
        <v/>
      </c>
    </row>
    <row r="2917" spans="17:18" x14ac:dyDescent="0.3">
      <c r="Q2917" t="str">
        <f t="shared" si="95"/>
        <v/>
      </c>
      <c r="R2917" s="54" t="str">
        <f t="shared" si="94"/>
        <v/>
      </c>
    </row>
    <row r="2918" spans="17:18" x14ac:dyDescent="0.3">
      <c r="Q2918" t="str">
        <f t="shared" si="95"/>
        <v/>
      </c>
      <c r="R2918" s="54" t="str">
        <f t="shared" si="94"/>
        <v/>
      </c>
    </row>
    <row r="2919" spans="17:18" x14ac:dyDescent="0.3">
      <c r="Q2919" t="str">
        <f t="shared" si="95"/>
        <v/>
      </c>
      <c r="R2919" s="54" t="str">
        <f t="shared" si="94"/>
        <v/>
      </c>
    </row>
    <row r="2920" spans="17:18" x14ac:dyDescent="0.3">
      <c r="Q2920" t="str">
        <f t="shared" si="95"/>
        <v/>
      </c>
      <c r="R2920" s="54" t="str">
        <f t="shared" si="94"/>
        <v/>
      </c>
    </row>
    <row r="2921" spans="17:18" x14ac:dyDescent="0.3">
      <c r="Q2921" t="str">
        <f t="shared" si="95"/>
        <v/>
      </c>
      <c r="R2921" s="54" t="str">
        <f t="shared" si="94"/>
        <v/>
      </c>
    </row>
    <row r="2922" spans="17:18" x14ac:dyDescent="0.3">
      <c r="Q2922" t="str">
        <f t="shared" si="95"/>
        <v/>
      </c>
      <c r="R2922" s="54" t="str">
        <f t="shared" si="94"/>
        <v/>
      </c>
    </row>
    <row r="2923" spans="17:18" x14ac:dyDescent="0.3">
      <c r="Q2923" t="str">
        <f t="shared" si="95"/>
        <v/>
      </c>
      <c r="R2923" s="54" t="str">
        <f t="shared" si="94"/>
        <v/>
      </c>
    </row>
    <row r="2924" spans="17:18" x14ac:dyDescent="0.3">
      <c r="Q2924" t="str">
        <f t="shared" si="95"/>
        <v/>
      </c>
      <c r="R2924" s="54" t="str">
        <f t="shared" si="94"/>
        <v/>
      </c>
    </row>
    <row r="2925" spans="17:18" x14ac:dyDescent="0.3">
      <c r="Q2925" t="str">
        <f t="shared" si="95"/>
        <v/>
      </c>
      <c r="R2925" s="54" t="str">
        <f t="shared" si="94"/>
        <v/>
      </c>
    </row>
    <row r="2926" spans="17:18" x14ac:dyDescent="0.3">
      <c r="Q2926" t="str">
        <f t="shared" si="95"/>
        <v/>
      </c>
      <c r="R2926" s="54" t="str">
        <f t="shared" si="94"/>
        <v/>
      </c>
    </row>
    <row r="2927" spans="17:18" x14ac:dyDescent="0.3">
      <c r="Q2927" t="str">
        <f t="shared" si="95"/>
        <v/>
      </c>
      <c r="R2927" s="54" t="str">
        <f t="shared" si="94"/>
        <v/>
      </c>
    </row>
    <row r="2928" spans="17:18" x14ac:dyDescent="0.3">
      <c r="Q2928" t="str">
        <f t="shared" si="95"/>
        <v/>
      </c>
      <c r="R2928" s="54" t="str">
        <f t="shared" si="94"/>
        <v/>
      </c>
    </row>
    <row r="2929" spans="17:18" x14ac:dyDescent="0.3">
      <c r="Q2929" t="str">
        <f t="shared" si="95"/>
        <v/>
      </c>
      <c r="R2929" s="54" t="str">
        <f t="shared" si="94"/>
        <v/>
      </c>
    </row>
    <row r="2930" spans="17:18" x14ac:dyDescent="0.3">
      <c r="Q2930" t="str">
        <f t="shared" si="95"/>
        <v/>
      </c>
      <c r="R2930" s="54" t="str">
        <f t="shared" si="94"/>
        <v/>
      </c>
    </row>
    <row r="2931" spans="17:18" x14ac:dyDescent="0.3">
      <c r="Q2931" t="str">
        <f t="shared" si="95"/>
        <v/>
      </c>
      <c r="R2931" s="54" t="str">
        <f t="shared" si="94"/>
        <v/>
      </c>
    </row>
    <row r="2932" spans="17:18" x14ac:dyDescent="0.3">
      <c r="Q2932" t="str">
        <f t="shared" si="95"/>
        <v/>
      </c>
      <c r="R2932" s="54" t="str">
        <f t="shared" si="94"/>
        <v/>
      </c>
    </row>
    <row r="2933" spans="17:18" x14ac:dyDescent="0.3">
      <c r="Q2933" t="str">
        <f t="shared" si="95"/>
        <v/>
      </c>
      <c r="R2933" s="54" t="str">
        <f t="shared" si="94"/>
        <v/>
      </c>
    </row>
    <row r="2934" spans="17:18" x14ac:dyDescent="0.3">
      <c r="Q2934" t="str">
        <f t="shared" si="95"/>
        <v/>
      </c>
      <c r="R2934" s="54" t="str">
        <f t="shared" si="94"/>
        <v/>
      </c>
    </row>
    <row r="2935" spans="17:18" x14ac:dyDescent="0.3">
      <c r="Q2935" t="str">
        <f t="shared" si="95"/>
        <v/>
      </c>
      <c r="R2935" s="54" t="str">
        <f t="shared" si="94"/>
        <v/>
      </c>
    </row>
    <row r="2936" spans="17:18" x14ac:dyDescent="0.3">
      <c r="Q2936" t="str">
        <f t="shared" si="95"/>
        <v/>
      </c>
      <c r="R2936" s="54" t="str">
        <f t="shared" si="94"/>
        <v/>
      </c>
    </row>
    <row r="2937" spans="17:18" x14ac:dyDescent="0.3">
      <c r="Q2937" t="str">
        <f t="shared" si="95"/>
        <v/>
      </c>
      <c r="R2937" s="54" t="str">
        <f t="shared" si="94"/>
        <v/>
      </c>
    </row>
    <row r="2938" spans="17:18" x14ac:dyDescent="0.3">
      <c r="Q2938" t="str">
        <f t="shared" si="95"/>
        <v/>
      </c>
      <c r="R2938" s="54" t="str">
        <f t="shared" si="94"/>
        <v/>
      </c>
    </row>
    <row r="2939" spans="17:18" x14ac:dyDescent="0.3">
      <c r="Q2939" t="str">
        <f t="shared" si="95"/>
        <v/>
      </c>
      <c r="R2939" s="54" t="str">
        <f t="shared" si="94"/>
        <v/>
      </c>
    </row>
    <row r="2940" spans="17:18" x14ac:dyDescent="0.3">
      <c r="Q2940" t="str">
        <f t="shared" si="95"/>
        <v/>
      </c>
      <c r="R2940" s="54" t="str">
        <f t="shared" si="94"/>
        <v/>
      </c>
    </row>
    <row r="2941" spans="17:18" x14ac:dyDescent="0.3">
      <c r="Q2941" t="str">
        <f t="shared" si="95"/>
        <v/>
      </c>
      <c r="R2941" s="54" t="str">
        <f t="shared" si="94"/>
        <v/>
      </c>
    </row>
    <row r="2942" spans="17:18" x14ac:dyDescent="0.3">
      <c r="Q2942" t="str">
        <f t="shared" si="95"/>
        <v/>
      </c>
      <c r="R2942" s="54" t="str">
        <f t="shared" si="94"/>
        <v/>
      </c>
    </row>
    <row r="2943" spans="17:18" x14ac:dyDescent="0.3">
      <c r="Q2943" t="str">
        <f t="shared" si="95"/>
        <v/>
      </c>
      <c r="R2943" s="54" t="str">
        <f t="shared" si="94"/>
        <v/>
      </c>
    </row>
    <row r="2944" spans="17:18" x14ac:dyDescent="0.3">
      <c r="Q2944" t="str">
        <f t="shared" si="95"/>
        <v/>
      </c>
      <c r="R2944" s="54" t="str">
        <f t="shared" si="94"/>
        <v/>
      </c>
    </row>
    <row r="2945" spans="17:18" x14ac:dyDescent="0.3">
      <c r="Q2945" t="str">
        <f t="shared" si="95"/>
        <v/>
      </c>
      <c r="R2945" s="54" t="str">
        <f t="shared" si="94"/>
        <v/>
      </c>
    </row>
    <row r="2946" spans="17:18" x14ac:dyDescent="0.3">
      <c r="Q2946" t="str">
        <f t="shared" si="95"/>
        <v/>
      </c>
      <c r="R2946" s="54" t="str">
        <f t="shared" si="94"/>
        <v/>
      </c>
    </row>
    <row r="2947" spans="17:18" x14ac:dyDescent="0.3">
      <c r="Q2947" t="str">
        <f t="shared" si="95"/>
        <v/>
      </c>
      <c r="R2947" s="54" t="str">
        <f t="shared" ref="R2947:R3010" si="96">IF(F2961="","",IFERROR(IF(ISNUMBER(F2961),F2961,DATEVALUE(F2961)),""))</f>
        <v/>
      </c>
    </row>
    <row r="2948" spans="17:18" x14ac:dyDescent="0.3">
      <c r="Q2948" t="str">
        <f t="shared" si="95"/>
        <v/>
      </c>
      <c r="R2948" s="54" t="str">
        <f t="shared" si="96"/>
        <v/>
      </c>
    </row>
    <row r="2949" spans="17:18" x14ac:dyDescent="0.3">
      <c r="Q2949" t="str">
        <f t="shared" si="95"/>
        <v/>
      </c>
      <c r="R2949" s="54" t="str">
        <f t="shared" si="96"/>
        <v/>
      </c>
    </row>
    <row r="2950" spans="17:18" x14ac:dyDescent="0.3">
      <c r="Q2950" t="str">
        <f t="shared" si="95"/>
        <v/>
      </c>
      <c r="R2950" s="54" t="str">
        <f t="shared" si="96"/>
        <v/>
      </c>
    </row>
    <row r="2951" spans="17:18" x14ac:dyDescent="0.3">
      <c r="Q2951" t="str">
        <f t="shared" si="95"/>
        <v/>
      </c>
      <c r="R2951" s="54" t="str">
        <f t="shared" si="96"/>
        <v/>
      </c>
    </row>
    <row r="2952" spans="17:18" x14ac:dyDescent="0.3">
      <c r="Q2952" t="str">
        <f t="shared" si="95"/>
        <v/>
      </c>
      <c r="R2952" s="54" t="str">
        <f t="shared" si="96"/>
        <v/>
      </c>
    </row>
    <row r="2953" spans="17:18" x14ac:dyDescent="0.3">
      <c r="Q2953" t="str">
        <f t="shared" si="95"/>
        <v/>
      </c>
      <c r="R2953" s="54" t="str">
        <f t="shared" si="96"/>
        <v/>
      </c>
    </row>
    <row r="2954" spans="17:18" x14ac:dyDescent="0.3">
      <c r="Q2954" t="str">
        <f t="shared" si="95"/>
        <v/>
      </c>
      <c r="R2954" s="54" t="str">
        <f t="shared" si="96"/>
        <v/>
      </c>
    </row>
    <row r="2955" spans="17:18" x14ac:dyDescent="0.3">
      <c r="Q2955" t="str">
        <f t="shared" si="95"/>
        <v/>
      </c>
      <c r="R2955" s="54" t="str">
        <f t="shared" si="96"/>
        <v/>
      </c>
    </row>
    <row r="2956" spans="17:18" x14ac:dyDescent="0.3">
      <c r="Q2956" t="str">
        <f t="shared" si="95"/>
        <v/>
      </c>
      <c r="R2956" s="54" t="str">
        <f t="shared" si="96"/>
        <v/>
      </c>
    </row>
    <row r="2957" spans="17:18" x14ac:dyDescent="0.3">
      <c r="Q2957" t="str">
        <f t="shared" si="95"/>
        <v/>
      </c>
      <c r="R2957" s="54" t="str">
        <f t="shared" si="96"/>
        <v/>
      </c>
    </row>
    <row r="2958" spans="17:18" x14ac:dyDescent="0.3">
      <c r="Q2958" t="str">
        <f t="shared" si="95"/>
        <v/>
      </c>
      <c r="R2958" s="54" t="str">
        <f t="shared" si="96"/>
        <v/>
      </c>
    </row>
    <row r="2959" spans="17:18" x14ac:dyDescent="0.3">
      <c r="Q2959" t="str">
        <f t="shared" si="95"/>
        <v/>
      </c>
      <c r="R2959" s="54" t="str">
        <f t="shared" si="96"/>
        <v/>
      </c>
    </row>
    <row r="2960" spans="17:18" x14ac:dyDescent="0.3">
      <c r="Q2960" t="str">
        <f t="shared" si="95"/>
        <v/>
      </c>
      <c r="R2960" s="54" t="str">
        <f t="shared" si="96"/>
        <v/>
      </c>
    </row>
    <row r="2961" spans="17:18" x14ac:dyDescent="0.3">
      <c r="Q2961" t="str">
        <f t="shared" si="95"/>
        <v/>
      </c>
      <c r="R2961" s="54" t="str">
        <f t="shared" si="96"/>
        <v/>
      </c>
    </row>
    <row r="2962" spans="17:18" x14ac:dyDescent="0.3">
      <c r="Q2962" t="str">
        <f t="shared" si="95"/>
        <v/>
      </c>
      <c r="R2962" s="54" t="str">
        <f t="shared" si="96"/>
        <v/>
      </c>
    </row>
    <row r="2963" spans="17:18" x14ac:dyDescent="0.3">
      <c r="Q2963" t="str">
        <f t="shared" si="95"/>
        <v/>
      </c>
      <c r="R2963" s="54" t="str">
        <f t="shared" si="96"/>
        <v/>
      </c>
    </row>
    <row r="2964" spans="17:18" x14ac:dyDescent="0.3">
      <c r="Q2964" t="str">
        <f t="shared" si="95"/>
        <v/>
      </c>
      <c r="R2964" s="54" t="str">
        <f t="shared" si="96"/>
        <v/>
      </c>
    </row>
    <row r="2965" spans="17:18" x14ac:dyDescent="0.3">
      <c r="Q2965" t="str">
        <f t="shared" si="95"/>
        <v/>
      </c>
      <c r="R2965" s="54" t="str">
        <f t="shared" si="96"/>
        <v/>
      </c>
    </row>
    <row r="2966" spans="17:18" x14ac:dyDescent="0.3">
      <c r="Q2966" t="str">
        <f t="shared" si="95"/>
        <v/>
      </c>
      <c r="R2966" s="54" t="str">
        <f t="shared" si="96"/>
        <v/>
      </c>
    </row>
    <row r="2967" spans="17:18" x14ac:dyDescent="0.3">
      <c r="Q2967" t="str">
        <f t="shared" ref="Q2967:Q3030" si="97">IF(COUNTA(A2967:P2967)=0,"",IF(ISNUMBER(SEARCH("-AR-",E2981)),"Architectural",IF(ISNUMBER(SEARCH("-ST-",E2981)),"Structural",IF(ISNUMBER(SEARCH("-ME-",E2981)),"Mechanical",IF(ISNUMBER(SEARCH("-EL-",E2981)),"Electrical",IF(ISNUMBER(SEARCH("-GE-",E2981)),"General",IF(ISNUMBER(SEARCH("-AR-",D2981)),"Architectural",IF(ISNUMBER(SEARCH("-ST-",D2981)),"Structural",IF(ISNUMBER(SEARCH("-ME-",D2981)),"Mechanical",IF(ISNUMBER(SEARCH("-EL-",D2981)),"Electrical",IF(ISNUMBER(SEARCH("-GE-",D2981)),"General","Other")))))))))))</f>
        <v/>
      </c>
      <c r="R2967" s="54" t="str">
        <f t="shared" si="96"/>
        <v/>
      </c>
    </row>
    <row r="2968" spans="17:18" x14ac:dyDescent="0.3">
      <c r="Q2968" t="str">
        <f t="shared" si="97"/>
        <v/>
      </c>
      <c r="R2968" s="54" t="str">
        <f t="shared" si="96"/>
        <v/>
      </c>
    </row>
    <row r="2969" spans="17:18" x14ac:dyDescent="0.3">
      <c r="Q2969" t="str">
        <f t="shared" si="97"/>
        <v/>
      </c>
      <c r="R2969" s="54" t="str">
        <f t="shared" si="96"/>
        <v/>
      </c>
    </row>
    <row r="2970" spans="17:18" x14ac:dyDescent="0.3">
      <c r="Q2970" t="str">
        <f t="shared" si="97"/>
        <v/>
      </c>
      <c r="R2970" s="54" t="str">
        <f t="shared" si="96"/>
        <v/>
      </c>
    </row>
    <row r="2971" spans="17:18" x14ac:dyDescent="0.3">
      <c r="Q2971" t="str">
        <f t="shared" si="97"/>
        <v/>
      </c>
      <c r="R2971" s="54" t="str">
        <f t="shared" si="96"/>
        <v/>
      </c>
    </row>
    <row r="2972" spans="17:18" x14ac:dyDescent="0.3">
      <c r="Q2972" t="str">
        <f t="shared" si="97"/>
        <v/>
      </c>
      <c r="R2972" s="54" t="str">
        <f t="shared" si="96"/>
        <v/>
      </c>
    </row>
    <row r="2973" spans="17:18" x14ac:dyDescent="0.3">
      <c r="Q2973" t="str">
        <f t="shared" si="97"/>
        <v/>
      </c>
      <c r="R2973" s="54" t="str">
        <f t="shared" si="96"/>
        <v/>
      </c>
    </row>
    <row r="2974" spans="17:18" x14ac:dyDescent="0.3">
      <c r="Q2974" t="str">
        <f t="shared" si="97"/>
        <v/>
      </c>
      <c r="R2974" s="54" t="str">
        <f t="shared" si="96"/>
        <v/>
      </c>
    </row>
    <row r="2975" spans="17:18" x14ac:dyDescent="0.3">
      <c r="Q2975" t="str">
        <f t="shared" si="97"/>
        <v/>
      </c>
      <c r="R2975" s="54" t="str">
        <f t="shared" si="96"/>
        <v/>
      </c>
    </row>
    <row r="2976" spans="17:18" x14ac:dyDescent="0.3">
      <c r="Q2976" t="str">
        <f t="shared" si="97"/>
        <v/>
      </c>
      <c r="R2976" s="54" t="str">
        <f t="shared" si="96"/>
        <v/>
      </c>
    </row>
    <row r="2977" spans="17:18" x14ac:dyDescent="0.3">
      <c r="Q2977" t="str">
        <f t="shared" si="97"/>
        <v/>
      </c>
      <c r="R2977" s="54" t="str">
        <f t="shared" si="96"/>
        <v/>
      </c>
    </row>
    <row r="2978" spans="17:18" x14ac:dyDescent="0.3">
      <c r="Q2978" t="str">
        <f t="shared" si="97"/>
        <v/>
      </c>
      <c r="R2978" s="54" t="str">
        <f t="shared" si="96"/>
        <v/>
      </c>
    </row>
    <row r="2979" spans="17:18" x14ac:dyDescent="0.3">
      <c r="Q2979" t="str">
        <f t="shared" si="97"/>
        <v/>
      </c>
      <c r="R2979" s="54" t="str">
        <f t="shared" si="96"/>
        <v/>
      </c>
    </row>
    <row r="2980" spans="17:18" x14ac:dyDescent="0.3">
      <c r="Q2980" t="str">
        <f t="shared" si="97"/>
        <v/>
      </c>
      <c r="R2980" s="54" t="str">
        <f t="shared" si="96"/>
        <v/>
      </c>
    </row>
    <row r="2981" spans="17:18" x14ac:dyDescent="0.3">
      <c r="Q2981" t="str">
        <f t="shared" si="97"/>
        <v/>
      </c>
      <c r="R2981" s="54" t="str">
        <f t="shared" si="96"/>
        <v/>
      </c>
    </row>
    <row r="2982" spans="17:18" x14ac:dyDescent="0.3">
      <c r="Q2982" t="str">
        <f t="shared" si="97"/>
        <v/>
      </c>
      <c r="R2982" s="54" t="str">
        <f t="shared" si="96"/>
        <v/>
      </c>
    </row>
    <row r="2983" spans="17:18" x14ac:dyDescent="0.3">
      <c r="Q2983" t="str">
        <f t="shared" si="97"/>
        <v/>
      </c>
      <c r="R2983" s="54" t="str">
        <f t="shared" si="96"/>
        <v/>
      </c>
    </row>
    <row r="2984" spans="17:18" x14ac:dyDescent="0.3">
      <c r="Q2984" t="str">
        <f t="shared" si="97"/>
        <v/>
      </c>
      <c r="R2984" s="54" t="str">
        <f t="shared" si="96"/>
        <v/>
      </c>
    </row>
    <row r="2985" spans="17:18" x14ac:dyDescent="0.3">
      <c r="Q2985" t="str">
        <f t="shared" si="97"/>
        <v/>
      </c>
      <c r="R2985" s="54" t="str">
        <f t="shared" si="96"/>
        <v/>
      </c>
    </row>
    <row r="2986" spans="17:18" x14ac:dyDescent="0.3">
      <c r="Q2986" t="str">
        <f t="shared" si="97"/>
        <v/>
      </c>
      <c r="R2986" s="54" t="str">
        <f t="shared" si="96"/>
        <v/>
      </c>
    </row>
    <row r="2987" spans="17:18" x14ac:dyDescent="0.3">
      <c r="Q2987" t="str">
        <f t="shared" si="97"/>
        <v/>
      </c>
      <c r="R2987" s="54" t="str">
        <f t="shared" si="96"/>
        <v/>
      </c>
    </row>
    <row r="2988" spans="17:18" x14ac:dyDescent="0.3">
      <c r="Q2988" t="str">
        <f t="shared" si="97"/>
        <v/>
      </c>
      <c r="R2988" s="54" t="str">
        <f t="shared" si="96"/>
        <v/>
      </c>
    </row>
    <row r="2989" spans="17:18" x14ac:dyDescent="0.3">
      <c r="Q2989" t="str">
        <f t="shared" si="97"/>
        <v/>
      </c>
      <c r="R2989" s="54" t="str">
        <f t="shared" si="96"/>
        <v/>
      </c>
    </row>
    <row r="2990" spans="17:18" x14ac:dyDescent="0.3">
      <c r="Q2990" t="str">
        <f t="shared" si="97"/>
        <v/>
      </c>
      <c r="R2990" s="54" t="str">
        <f t="shared" si="96"/>
        <v/>
      </c>
    </row>
    <row r="2991" spans="17:18" x14ac:dyDescent="0.3">
      <c r="Q2991" t="str">
        <f t="shared" si="97"/>
        <v/>
      </c>
      <c r="R2991" s="54" t="str">
        <f t="shared" si="96"/>
        <v/>
      </c>
    </row>
    <row r="2992" spans="17:18" x14ac:dyDescent="0.3">
      <c r="Q2992" t="str">
        <f t="shared" si="97"/>
        <v/>
      </c>
      <c r="R2992" s="54" t="str">
        <f t="shared" si="96"/>
        <v/>
      </c>
    </row>
    <row r="2993" spans="17:18" x14ac:dyDescent="0.3">
      <c r="Q2993" t="str">
        <f t="shared" si="97"/>
        <v/>
      </c>
      <c r="R2993" s="54" t="str">
        <f t="shared" si="96"/>
        <v/>
      </c>
    </row>
    <row r="2994" spans="17:18" x14ac:dyDescent="0.3">
      <c r="Q2994" t="str">
        <f t="shared" si="97"/>
        <v/>
      </c>
      <c r="R2994" s="54" t="str">
        <f t="shared" si="96"/>
        <v/>
      </c>
    </row>
    <row r="2995" spans="17:18" x14ac:dyDescent="0.3">
      <c r="Q2995" t="str">
        <f t="shared" si="97"/>
        <v/>
      </c>
      <c r="R2995" s="54" t="str">
        <f t="shared" si="96"/>
        <v/>
      </c>
    </row>
    <row r="2996" spans="17:18" x14ac:dyDescent="0.3">
      <c r="Q2996" t="str">
        <f t="shared" si="97"/>
        <v/>
      </c>
      <c r="R2996" s="54" t="str">
        <f t="shared" si="96"/>
        <v/>
      </c>
    </row>
    <row r="2997" spans="17:18" x14ac:dyDescent="0.3">
      <c r="Q2997" t="str">
        <f t="shared" si="97"/>
        <v/>
      </c>
      <c r="R2997" s="54" t="str">
        <f t="shared" si="96"/>
        <v/>
      </c>
    </row>
    <row r="2998" spans="17:18" x14ac:dyDescent="0.3">
      <c r="Q2998" t="str">
        <f t="shared" si="97"/>
        <v/>
      </c>
      <c r="R2998" s="54" t="str">
        <f t="shared" si="96"/>
        <v/>
      </c>
    </row>
    <row r="2999" spans="17:18" x14ac:dyDescent="0.3">
      <c r="Q2999" t="str">
        <f t="shared" si="97"/>
        <v/>
      </c>
      <c r="R2999" s="54" t="str">
        <f t="shared" si="96"/>
        <v/>
      </c>
    </row>
    <row r="3000" spans="17:18" x14ac:dyDescent="0.3">
      <c r="Q3000" t="str">
        <f t="shared" si="97"/>
        <v/>
      </c>
      <c r="R3000" s="54" t="str">
        <f t="shared" si="96"/>
        <v/>
      </c>
    </row>
    <row r="3001" spans="17:18" x14ac:dyDescent="0.3">
      <c r="Q3001" t="str">
        <f t="shared" si="97"/>
        <v/>
      </c>
      <c r="R3001" s="54" t="str">
        <f t="shared" si="96"/>
        <v/>
      </c>
    </row>
    <row r="3002" spans="17:18" x14ac:dyDescent="0.3">
      <c r="Q3002" t="str">
        <f t="shared" si="97"/>
        <v/>
      </c>
      <c r="R3002" s="54" t="str">
        <f t="shared" si="96"/>
        <v/>
      </c>
    </row>
    <row r="3003" spans="17:18" x14ac:dyDescent="0.3">
      <c r="Q3003" t="str">
        <f t="shared" si="97"/>
        <v/>
      </c>
      <c r="R3003" s="54" t="str">
        <f t="shared" si="96"/>
        <v/>
      </c>
    </row>
    <row r="3004" spans="17:18" x14ac:dyDescent="0.3">
      <c r="Q3004" t="str">
        <f t="shared" si="97"/>
        <v/>
      </c>
      <c r="R3004" s="54" t="str">
        <f t="shared" si="96"/>
        <v/>
      </c>
    </row>
    <row r="3005" spans="17:18" x14ac:dyDescent="0.3">
      <c r="Q3005" t="str">
        <f t="shared" si="97"/>
        <v/>
      </c>
      <c r="R3005" s="54" t="str">
        <f t="shared" si="96"/>
        <v/>
      </c>
    </row>
    <row r="3006" spans="17:18" x14ac:dyDescent="0.3">
      <c r="Q3006" t="str">
        <f t="shared" si="97"/>
        <v/>
      </c>
      <c r="R3006" s="54" t="str">
        <f t="shared" si="96"/>
        <v/>
      </c>
    </row>
    <row r="3007" spans="17:18" x14ac:dyDescent="0.3">
      <c r="Q3007" t="str">
        <f t="shared" si="97"/>
        <v/>
      </c>
      <c r="R3007" s="54" t="str">
        <f t="shared" si="96"/>
        <v/>
      </c>
    </row>
    <row r="3008" spans="17:18" x14ac:dyDescent="0.3">
      <c r="Q3008" t="str">
        <f t="shared" si="97"/>
        <v/>
      </c>
      <c r="R3008" s="54" t="str">
        <f t="shared" si="96"/>
        <v/>
      </c>
    </row>
    <row r="3009" spans="17:18" x14ac:dyDescent="0.3">
      <c r="Q3009" t="str">
        <f t="shared" si="97"/>
        <v/>
      </c>
      <c r="R3009" s="54" t="str">
        <f t="shared" si="96"/>
        <v/>
      </c>
    </row>
    <row r="3010" spans="17:18" x14ac:dyDescent="0.3">
      <c r="Q3010" t="str">
        <f t="shared" si="97"/>
        <v/>
      </c>
      <c r="R3010" s="54" t="str">
        <f t="shared" si="96"/>
        <v/>
      </c>
    </row>
    <row r="3011" spans="17:18" x14ac:dyDescent="0.3">
      <c r="Q3011" t="str">
        <f t="shared" si="97"/>
        <v/>
      </c>
      <c r="R3011" s="54" t="str">
        <f t="shared" ref="R3011:R3074" si="98">IF(F3025="","",IFERROR(IF(ISNUMBER(F3025),F3025,DATEVALUE(F3025)),""))</f>
        <v/>
      </c>
    </row>
    <row r="3012" spans="17:18" x14ac:dyDescent="0.3">
      <c r="Q3012" t="str">
        <f t="shared" si="97"/>
        <v/>
      </c>
      <c r="R3012" s="54" t="str">
        <f t="shared" si="98"/>
        <v/>
      </c>
    </row>
    <row r="3013" spans="17:18" x14ac:dyDescent="0.3">
      <c r="Q3013" t="str">
        <f t="shared" si="97"/>
        <v/>
      </c>
      <c r="R3013" s="54" t="str">
        <f t="shared" si="98"/>
        <v/>
      </c>
    </row>
    <row r="3014" spans="17:18" x14ac:dyDescent="0.3">
      <c r="Q3014" t="str">
        <f t="shared" si="97"/>
        <v/>
      </c>
      <c r="R3014" s="54" t="str">
        <f t="shared" si="98"/>
        <v/>
      </c>
    </row>
    <row r="3015" spans="17:18" x14ac:dyDescent="0.3">
      <c r="Q3015" t="str">
        <f t="shared" si="97"/>
        <v/>
      </c>
      <c r="R3015" s="54" t="str">
        <f t="shared" si="98"/>
        <v/>
      </c>
    </row>
    <row r="3016" spans="17:18" x14ac:dyDescent="0.3">
      <c r="Q3016" t="str">
        <f t="shared" si="97"/>
        <v/>
      </c>
      <c r="R3016" s="54" t="str">
        <f t="shared" si="98"/>
        <v/>
      </c>
    </row>
    <row r="3017" spans="17:18" x14ac:dyDescent="0.3">
      <c r="Q3017" t="str">
        <f t="shared" si="97"/>
        <v/>
      </c>
      <c r="R3017" s="54" t="str">
        <f t="shared" si="98"/>
        <v/>
      </c>
    </row>
    <row r="3018" spans="17:18" x14ac:dyDescent="0.3">
      <c r="Q3018" t="str">
        <f t="shared" si="97"/>
        <v/>
      </c>
      <c r="R3018" s="54" t="str">
        <f t="shared" si="98"/>
        <v/>
      </c>
    </row>
    <row r="3019" spans="17:18" x14ac:dyDescent="0.3">
      <c r="Q3019" t="str">
        <f t="shared" si="97"/>
        <v/>
      </c>
      <c r="R3019" s="54" t="str">
        <f t="shared" si="98"/>
        <v/>
      </c>
    </row>
    <row r="3020" spans="17:18" x14ac:dyDescent="0.3">
      <c r="Q3020" t="str">
        <f t="shared" si="97"/>
        <v/>
      </c>
      <c r="R3020" s="54" t="str">
        <f t="shared" si="98"/>
        <v/>
      </c>
    </row>
    <row r="3021" spans="17:18" x14ac:dyDescent="0.3">
      <c r="Q3021" t="str">
        <f t="shared" si="97"/>
        <v/>
      </c>
      <c r="R3021" s="54" t="str">
        <f t="shared" si="98"/>
        <v/>
      </c>
    </row>
    <row r="3022" spans="17:18" x14ac:dyDescent="0.3">
      <c r="Q3022" t="str">
        <f t="shared" si="97"/>
        <v/>
      </c>
      <c r="R3022" s="54" t="str">
        <f t="shared" si="98"/>
        <v/>
      </c>
    </row>
    <row r="3023" spans="17:18" x14ac:dyDescent="0.3">
      <c r="Q3023" t="str">
        <f t="shared" si="97"/>
        <v/>
      </c>
      <c r="R3023" s="54" t="str">
        <f t="shared" si="98"/>
        <v/>
      </c>
    </row>
    <row r="3024" spans="17:18" x14ac:dyDescent="0.3">
      <c r="Q3024" t="str">
        <f t="shared" si="97"/>
        <v/>
      </c>
      <c r="R3024" s="54" t="str">
        <f t="shared" si="98"/>
        <v/>
      </c>
    </row>
    <row r="3025" spans="17:18" x14ac:dyDescent="0.3">
      <c r="Q3025" t="str">
        <f t="shared" si="97"/>
        <v/>
      </c>
      <c r="R3025" s="54" t="str">
        <f t="shared" si="98"/>
        <v/>
      </c>
    </row>
    <row r="3026" spans="17:18" x14ac:dyDescent="0.3">
      <c r="Q3026" t="str">
        <f t="shared" si="97"/>
        <v/>
      </c>
      <c r="R3026" s="54" t="str">
        <f t="shared" si="98"/>
        <v/>
      </c>
    </row>
    <row r="3027" spans="17:18" x14ac:dyDescent="0.3">
      <c r="Q3027" t="str">
        <f t="shared" si="97"/>
        <v/>
      </c>
      <c r="R3027" s="54" t="str">
        <f t="shared" si="98"/>
        <v/>
      </c>
    </row>
    <row r="3028" spans="17:18" x14ac:dyDescent="0.3">
      <c r="Q3028" t="str">
        <f t="shared" si="97"/>
        <v/>
      </c>
      <c r="R3028" s="54" t="str">
        <f t="shared" si="98"/>
        <v/>
      </c>
    </row>
    <row r="3029" spans="17:18" x14ac:dyDescent="0.3">
      <c r="Q3029" t="str">
        <f t="shared" si="97"/>
        <v/>
      </c>
      <c r="R3029" s="54" t="str">
        <f t="shared" si="98"/>
        <v/>
      </c>
    </row>
    <row r="3030" spans="17:18" x14ac:dyDescent="0.3">
      <c r="Q3030" t="str">
        <f t="shared" si="97"/>
        <v/>
      </c>
      <c r="R3030" s="54" t="str">
        <f t="shared" si="98"/>
        <v/>
      </c>
    </row>
    <row r="3031" spans="17:18" x14ac:dyDescent="0.3">
      <c r="Q3031" t="str">
        <f t="shared" ref="Q3031:Q3094" si="99">IF(COUNTA(A3031:P3031)=0,"",IF(ISNUMBER(SEARCH("-AR-",E3045)),"Architectural",IF(ISNUMBER(SEARCH("-ST-",E3045)),"Structural",IF(ISNUMBER(SEARCH("-ME-",E3045)),"Mechanical",IF(ISNUMBER(SEARCH("-EL-",E3045)),"Electrical",IF(ISNUMBER(SEARCH("-GE-",E3045)),"General",IF(ISNUMBER(SEARCH("-AR-",D3045)),"Architectural",IF(ISNUMBER(SEARCH("-ST-",D3045)),"Structural",IF(ISNUMBER(SEARCH("-ME-",D3045)),"Mechanical",IF(ISNUMBER(SEARCH("-EL-",D3045)),"Electrical",IF(ISNUMBER(SEARCH("-GE-",D3045)),"General","Other")))))))))))</f>
        <v/>
      </c>
      <c r="R3031" s="54" t="str">
        <f t="shared" si="98"/>
        <v/>
      </c>
    </row>
    <row r="3032" spans="17:18" x14ac:dyDescent="0.3">
      <c r="Q3032" t="str">
        <f t="shared" si="99"/>
        <v/>
      </c>
      <c r="R3032" s="54" t="str">
        <f t="shared" si="98"/>
        <v/>
      </c>
    </row>
    <row r="3033" spans="17:18" x14ac:dyDescent="0.3">
      <c r="Q3033" t="str">
        <f t="shared" si="99"/>
        <v/>
      </c>
      <c r="R3033" s="54" t="str">
        <f t="shared" si="98"/>
        <v/>
      </c>
    </row>
    <row r="3034" spans="17:18" x14ac:dyDescent="0.3">
      <c r="Q3034" t="str">
        <f t="shared" si="99"/>
        <v/>
      </c>
      <c r="R3034" s="54" t="str">
        <f t="shared" si="98"/>
        <v/>
      </c>
    </row>
    <row r="3035" spans="17:18" x14ac:dyDescent="0.3">
      <c r="Q3035" t="str">
        <f t="shared" si="99"/>
        <v/>
      </c>
      <c r="R3035" s="54" t="str">
        <f t="shared" si="98"/>
        <v/>
      </c>
    </row>
    <row r="3036" spans="17:18" x14ac:dyDescent="0.3">
      <c r="Q3036" t="str">
        <f t="shared" si="99"/>
        <v/>
      </c>
      <c r="R3036" s="54" t="str">
        <f t="shared" si="98"/>
        <v/>
      </c>
    </row>
    <row r="3037" spans="17:18" x14ac:dyDescent="0.3">
      <c r="Q3037" t="str">
        <f t="shared" si="99"/>
        <v/>
      </c>
      <c r="R3037" s="54" t="str">
        <f t="shared" si="98"/>
        <v/>
      </c>
    </row>
    <row r="3038" spans="17:18" x14ac:dyDescent="0.3">
      <c r="Q3038" t="str">
        <f t="shared" si="99"/>
        <v/>
      </c>
      <c r="R3038" s="54" t="str">
        <f t="shared" si="98"/>
        <v/>
      </c>
    </row>
    <row r="3039" spans="17:18" x14ac:dyDescent="0.3">
      <c r="Q3039" t="str">
        <f t="shared" si="99"/>
        <v/>
      </c>
      <c r="R3039" s="54" t="str">
        <f t="shared" si="98"/>
        <v/>
      </c>
    </row>
    <row r="3040" spans="17:18" x14ac:dyDescent="0.3">
      <c r="Q3040" t="str">
        <f t="shared" si="99"/>
        <v/>
      </c>
      <c r="R3040" s="54" t="str">
        <f t="shared" si="98"/>
        <v/>
      </c>
    </row>
    <row r="3041" spans="17:18" x14ac:dyDescent="0.3">
      <c r="Q3041" t="str">
        <f t="shared" si="99"/>
        <v/>
      </c>
      <c r="R3041" s="54" t="str">
        <f t="shared" si="98"/>
        <v/>
      </c>
    </row>
    <row r="3042" spans="17:18" x14ac:dyDescent="0.3">
      <c r="Q3042" t="str">
        <f t="shared" si="99"/>
        <v/>
      </c>
      <c r="R3042" s="54" t="str">
        <f t="shared" si="98"/>
        <v/>
      </c>
    </row>
    <row r="3043" spans="17:18" x14ac:dyDescent="0.3">
      <c r="Q3043" t="str">
        <f t="shared" si="99"/>
        <v/>
      </c>
      <c r="R3043" s="54" t="str">
        <f t="shared" si="98"/>
        <v/>
      </c>
    </row>
    <row r="3044" spans="17:18" x14ac:dyDescent="0.3">
      <c r="Q3044" t="str">
        <f t="shared" si="99"/>
        <v/>
      </c>
      <c r="R3044" s="54" t="str">
        <f t="shared" si="98"/>
        <v/>
      </c>
    </row>
    <row r="3045" spans="17:18" x14ac:dyDescent="0.3">
      <c r="Q3045" t="str">
        <f t="shared" si="99"/>
        <v/>
      </c>
      <c r="R3045" s="54" t="str">
        <f t="shared" si="98"/>
        <v/>
      </c>
    </row>
    <row r="3046" spans="17:18" x14ac:dyDescent="0.3">
      <c r="Q3046" t="str">
        <f t="shared" si="99"/>
        <v/>
      </c>
      <c r="R3046" s="54" t="str">
        <f t="shared" si="98"/>
        <v/>
      </c>
    </row>
    <row r="3047" spans="17:18" x14ac:dyDescent="0.3">
      <c r="Q3047" t="str">
        <f t="shared" si="99"/>
        <v/>
      </c>
      <c r="R3047" s="54" t="str">
        <f t="shared" si="98"/>
        <v/>
      </c>
    </row>
    <row r="3048" spans="17:18" x14ac:dyDescent="0.3">
      <c r="Q3048" t="str">
        <f t="shared" si="99"/>
        <v/>
      </c>
      <c r="R3048" s="54" t="str">
        <f t="shared" si="98"/>
        <v/>
      </c>
    </row>
    <row r="3049" spans="17:18" x14ac:dyDescent="0.3">
      <c r="Q3049" t="str">
        <f t="shared" si="99"/>
        <v/>
      </c>
      <c r="R3049" s="54" t="str">
        <f t="shared" si="98"/>
        <v/>
      </c>
    </row>
    <row r="3050" spans="17:18" x14ac:dyDescent="0.3">
      <c r="Q3050" t="str">
        <f t="shared" si="99"/>
        <v/>
      </c>
      <c r="R3050" s="54" t="str">
        <f t="shared" si="98"/>
        <v/>
      </c>
    </row>
    <row r="3051" spans="17:18" x14ac:dyDescent="0.3">
      <c r="Q3051" t="str">
        <f t="shared" si="99"/>
        <v/>
      </c>
      <c r="R3051" s="54" t="str">
        <f t="shared" si="98"/>
        <v/>
      </c>
    </row>
    <row r="3052" spans="17:18" x14ac:dyDescent="0.3">
      <c r="Q3052" t="str">
        <f t="shared" si="99"/>
        <v/>
      </c>
      <c r="R3052" s="54" t="str">
        <f t="shared" si="98"/>
        <v/>
      </c>
    </row>
    <row r="3053" spans="17:18" x14ac:dyDescent="0.3">
      <c r="Q3053" t="str">
        <f t="shared" si="99"/>
        <v/>
      </c>
      <c r="R3053" s="54" t="str">
        <f t="shared" si="98"/>
        <v/>
      </c>
    </row>
    <row r="3054" spans="17:18" x14ac:dyDescent="0.3">
      <c r="Q3054" t="str">
        <f t="shared" si="99"/>
        <v/>
      </c>
      <c r="R3054" s="54" t="str">
        <f t="shared" si="98"/>
        <v/>
      </c>
    </row>
    <row r="3055" spans="17:18" x14ac:dyDescent="0.3">
      <c r="Q3055" t="str">
        <f t="shared" si="99"/>
        <v/>
      </c>
      <c r="R3055" s="54" t="str">
        <f t="shared" si="98"/>
        <v/>
      </c>
    </row>
    <row r="3056" spans="17:18" x14ac:dyDescent="0.3">
      <c r="Q3056" t="str">
        <f t="shared" si="99"/>
        <v/>
      </c>
      <c r="R3056" s="54" t="str">
        <f t="shared" si="98"/>
        <v/>
      </c>
    </row>
    <row r="3057" spans="17:18" x14ac:dyDescent="0.3">
      <c r="Q3057" t="str">
        <f t="shared" si="99"/>
        <v/>
      </c>
      <c r="R3057" s="54" t="str">
        <f t="shared" si="98"/>
        <v/>
      </c>
    </row>
    <row r="3058" spans="17:18" x14ac:dyDescent="0.3">
      <c r="Q3058" t="str">
        <f t="shared" si="99"/>
        <v/>
      </c>
      <c r="R3058" s="54" t="str">
        <f t="shared" si="98"/>
        <v/>
      </c>
    </row>
    <row r="3059" spans="17:18" x14ac:dyDescent="0.3">
      <c r="Q3059" t="str">
        <f t="shared" si="99"/>
        <v/>
      </c>
      <c r="R3059" s="54" t="str">
        <f t="shared" si="98"/>
        <v/>
      </c>
    </row>
    <row r="3060" spans="17:18" x14ac:dyDescent="0.3">
      <c r="Q3060" t="str">
        <f t="shared" si="99"/>
        <v/>
      </c>
      <c r="R3060" s="54" t="str">
        <f t="shared" si="98"/>
        <v/>
      </c>
    </row>
    <row r="3061" spans="17:18" x14ac:dyDescent="0.3">
      <c r="Q3061" t="str">
        <f t="shared" si="99"/>
        <v/>
      </c>
      <c r="R3061" s="54" t="str">
        <f t="shared" si="98"/>
        <v/>
      </c>
    </row>
    <row r="3062" spans="17:18" x14ac:dyDescent="0.3">
      <c r="Q3062" t="str">
        <f t="shared" si="99"/>
        <v/>
      </c>
      <c r="R3062" s="54" t="str">
        <f t="shared" si="98"/>
        <v/>
      </c>
    </row>
    <row r="3063" spans="17:18" x14ac:dyDescent="0.3">
      <c r="Q3063" t="str">
        <f t="shared" si="99"/>
        <v/>
      </c>
      <c r="R3063" s="54" t="str">
        <f t="shared" si="98"/>
        <v/>
      </c>
    </row>
    <row r="3064" spans="17:18" x14ac:dyDescent="0.3">
      <c r="Q3064" t="str">
        <f t="shared" si="99"/>
        <v/>
      </c>
      <c r="R3064" s="54" t="str">
        <f t="shared" si="98"/>
        <v/>
      </c>
    </row>
    <row r="3065" spans="17:18" x14ac:dyDescent="0.3">
      <c r="Q3065" t="str">
        <f t="shared" si="99"/>
        <v/>
      </c>
      <c r="R3065" s="54" t="str">
        <f t="shared" si="98"/>
        <v/>
      </c>
    </row>
    <row r="3066" spans="17:18" x14ac:dyDescent="0.3">
      <c r="Q3066" t="str">
        <f t="shared" si="99"/>
        <v/>
      </c>
      <c r="R3066" s="54" t="str">
        <f t="shared" si="98"/>
        <v/>
      </c>
    </row>
    <row r="3067" spans="17:18" x14ac:dyDescent="0.3">
      <c r="Q3067" t="str">
        <f t="shared" si="99"/>
        <v/>
      </c>
      <c r="R3067" s="54" t="str">
        <f t="shared" si="98"/>
        <v/>
      </c>
    </row>
    <row r="3068" spans="17:18" x14ac:dyDescent="0.3">
      <c r="Q3068" t="str">
        <f t="shared" si="99"/>
        <v/>
      </c>
      <c r="R3068" s="54" t="str">
        <f t="shared" si="98"/>
        <v/>
      </c>
    </row>
    <row r="3069" spans="17:18" x14ac:dyDescent="0.3">
      <c r="Q3069" t="str">
        <f t="shared" si="99"/>
        <v/>
      </c>
      <c r="R3069" s="54" t="str">
        <f t="shared" si="98"/>
        <v/>
      </c>
    </row>
    <row r="3070" spans="17:18" x14ac:dyDescent="0.3">
      <c r="Q3070" t="str">
        <f t="shared" si="99"/>
        <v/>
      </c>
      <c r="R3070" s="54" t="str">
        <f t="shared" si="98"/>
        <v/>
      </c>
    </row>
    <row r="3071" spans="17:18" x14ac:dyDescent="0.3">
      <c r="Q3071" t="str">
        <f t="shared" si="99"/>
        <v/>
      </c>
      <c r="R3071" s="54" t="str">
        <f t="shared" si="98"/>
        <v/>
      </c>
    </row>
    <row r="3072" spans="17:18" x14ac:dyDescent="0.3">
      <c r="Q3072" t="str">
        <f t="shared" si="99"/>
        <v/>
      </c>
      <c r="R3072" s="54" t="str">
        <f t="shared" si="98"/>
        <v/>
      </c>
    </row>
    <row r="3073" spans="17:18" x14ac:dyDescent="0.3">
      <c r="Q3073" t="str">
        <f t="shared" si="99"/>
        <v/>
      </c>
      <c r="R3073" s="54" t="str">
        <f t="shared" si="98"/>
        <v/>
      </c>
    </row>
    <row r="3074" spans="17:18" x14ac:dyDescent="0.3">
      <c r="Q3074" t="str">
        <f t="shared" si="99"/>
        <v/>
      </c>
      <c r="R3074" s="54" t="str">
        <f t="shared" si="98"/>
        <v/>
      </c>
    </row>
    <row r="3075" spans="17:18" x14ac:dyDescent="0.3">
      <c r="Q3075" t="str">
        <f t="shared" si="99"/>
        <v/>
      </c>
      <c r="R3075" s="54" t="str">
        <f t="shared" ref="R3075:R3138" si="100">IF(F3089="","",IFERROR(IF(ISNUMBER(F3089),F3089,DATEVALUE(F3089)),""))</f>
        <v/>
      </c>
    </row>
    <row r="3076" spans="17:18" x14ac:dyDescent="0.3">
      <c r="Q3076" t="str">
        <f t="shared" si="99"/>
        <v/>
      </c>
      <c r="R3076" s="54" t="str">
        <f t="shared" si="100"/>
        <v/>
      </c>
    </row>
    <row r="3077" spans="17:18" x14ac:dyDescent="0.3">
      <c r="Q3077" t="str">
        <f t="shared" si="99"/>
        <v/>
      </c>
      <c r="R3077" s="54" t="str">
        <f t="shared" si="100"/>
        <v/>
      </c>
    </row>
    <row r="3078" spans="17:18" x14ac:dyDescent="0.3">
      <c r="Q3078" t="str">
        <f t="shared" si="99"/>
        <v/>
      </c>
      <c r="R3078" s="54" t="str">
        <f t="shared" si="100"/>
        <v/>
      </c>
    </row>
    <row r="3079" spans="17:18" x14ac:dyDescent="0.3">
      <c r="Q3079" t="str">
        <f t="shared" si="99"/>
        <v/>
      </c>
      <c r="R3079" s="54" t="str">
        <f t="shared" si="100"/>
        <v/>
      </c>
    </row>
    <row r="3080" spans="17:18" x14ac:dyDescent="0.3">
      <c r="Q3080" t="str">
        <f t="shared" si="99"/>
        <v/>
      </c>
      <c r="R3080" s="54" t="str">
        <f t="shared" si="100"/>
        <v/>
      </c>
    </row>
    <row r="3081" spans="17:18" x14ac:dyDescent="0.3">
      <c r="Q3081" t="str">
        <f t="shared" si="99"/>
        <v/>
      </c>
      <c r="R3081" s="54" t="str">
        <f t="shared" si="100"/>
        <v/>
      </c>
    </row>
    <row r="3082" spans="17:18" x14ac:dyDescent="0.3">
      <c r="Q3082" t="str">
        <f t="shared" si="99"/>
        <v/>
      </c>
      <c r="R3082" s="54" t="str">
        <f t="shared" si="100"/>
        <v/>
      </c>
    </row>
    <row r="3083" spans="17:18" x14ac:dyDescent="0.3">
      <c r="Q3083" t="str">
        <f t="shared" si="99"/>
        <v/>
      </c>
      <c r="R3083" s="54" t="str">
        <f t="shared" si="100"/>
        <v/>
      </c>
    </row>
    <row r="3084" spans="17:18" x14ac:dyDescent="0.3">
      <c r="Q3084" t="str">
        <f t="shared" si="99"/>
        <v/>
      </c>
      <c r="R3084" s="54" t="str">
        <f t="shared" si="100"/>
        <v/>
      </c>
    </row>
    <row r="3085" spans="17:18" x14ac:dyDescent="0.3">
      <c r="Q3085" t="str">
        <f t="shared" si="99"/>
        <v/>
      </c>
      <c r="R3085" s="54" t="str">
        <f t="shared" si="100"/>
        <v/>
      </c>
    </row>
    <row r="3086" spans="17:18" x14ac:dyDescent="0.3">
      <c r="Q3086" t="str">
        <f t="shared" si="99"/>
        <v/>
      </c>
      <c r="R3086" s="54" t="str">
        <f t="shared" si="100"/>
        <v/>
      </c>
    </row>
    <row r="3087" spans="17:18" x14ac:dyDescent="0.3">
      <c r="Q3087" t="str">
        <f t="shared" si="99"/>
        <v/>
      </c>
      <c r="R3087" s="54" t="str">
        <f t="shared" si="100"/>
        <v/>
      </c>
    </row>
    <row r="3088" spans="17:18" x14ac:dyDescent="0.3">
      <c r="Q3088" t="str">
        <f t="shared" si="99"/>
        <v/>
      </c>
      <c r="R3088" s="54" t="str">
        <f t="shared" si="100"/>
        <v/>
      </c>
    </row>
    <row r="3089" spans="17:18" x14ac:dyDescent="0.3">
      <c r="Q3089" t="str">
        <f t="shared" si="99"/>
        <v/>
      </c>
      <c r="R3089" s="54" t="str">
        <f t="shared" si="100"/>
        <v/>
      </c>
    </row>
    <row r="3090" spans="17:18" x14ac:dyDescent="0.3">
      <c r="Q3090" t="str">
        <f t="shared" si="99"/>
        <v/>
      </c>
      <c r="R3090" s="54" t="str">
        <f t="shared" si="100"/>
        <v/>
      </c>
    </row>
    <row r="3091" spans="17:18" x14ac:dyDescent="0.3">
      <c r="Q3091" t="str">
        <f t="shared" si="99"/>
        <v/>
      </c>
      <c r="R3091" s="54" t="str">
        <f t="shared" si="100"/>
        <v/>
      </c>
    </row>
    <row r="3092" spans="17:18" x14ac:dyDescent="0.3">
      <c r="Q3092" t="str">
        <f t="shared" si="99"/>
        <v/>
      </c>
      <c r="R3092" s="54" t="str">
        <f t="shared" si="100"/>
        <v/>
      </c>
    </row>
    <row r="3093" spans="17:18" x14ac:dyDescent="0.3">
      <c r="Q3093" t="str">
        <f t="shared" si="99"/>
        <v/>
      </c>
      <c r="R3093" s="54" t="str">
        <f t="shared" si="100"/>
        <v/>
      </c>
    </row>
    <row r="3094" spans="17:18" x14ac:dyDescent="0.3">
      <c r="Q3094" t="str">
        <f t="shared" si="99"/>
        <v/>
      </c>
      <c r="R3094" s="54" t="str">
        <f t="shared" si="100"/>
        <v/>
      </c>
    </row>
    <row r="3095" spans="17:18" x14ac:dyDescent="0.3">
      <c r="Q3095" t="str">
        <f t="shared" ref="Q3095:Q3158" si="101">IF(COUNTA(A3095:P3095)=0,"",IF(ISNUMBER(SEARCH("-AR-",E3109)),"Architectural",IF(ISNUMBER(SEARCH("-ST-",E3109)),"Structural",IF(ISNUMBER(SEARCH("-ME-",E3109)),"Mechanical",IF(ISNUMBER(SEARCH("-EL-",E3109)),"Electrical",IF(ISNUMBER(SEARCH("-GE-",E3109)),"General",IF(ISNUMBER(SEARCH("-AR-",D3109)),"Architectural",IF(ISNUMBER(SEARCH("-ST-",D3109)),"Structural",IF(ISNUMBER(SEARCH("-ME-",D3109)),"Mechanical",IF(ISNUMBER(SEARCH("-EL-",D3109)),"Electrical",IF(ISNUMBER(SEARCH("-GE-",D3109)),"General","Other")))))))))))</f>
        <v/>
      </c>
      <c r="R3095" s="54" t="str">
        <f t="shared" si="100"/>
        <v/>
      </c>
    </row>
    <row r="3096" spans="17:18" x14ac:dyDescent="0.3">
      <c r="Q3096" t="str">
        <f t="shared" si="101"/>
        <v/>
      </c>
      <c r="R3096" s="54" t="str">
        <f t="shared" si="100"/>
        <v/>
      </c>
    </row>
    <row r="3097" spans="17:18" x14ac:dyDescent="0.3">
      <c r="Q3097" t="str">
        <f t="shared" si="101"/>
        <v/>
      </c>
      <c r="R3097" s="54" t="str">
        <f t="shared" si="100"/>
        <v/>
      </c>
    </row>
    <row r="3098" spans="17:18" x14ac:dyDescent="0.3">
      <c r="Q3098" t="str">
        <f t="shared" si="101"/>
        <v/>
      </c>
      <c r="R3098" s="54" t="str">
        <f t="shared" si="100"/>
        <v/>
      </c>
    </row>
    <row r="3099" spans="17:18" x14ac:dyDescent="0.3">
      <c r="Q3099" t="str">
        <f t="shared" si="101"/>
        <v/>
      </c>
      <c r="R3099" s="54" t="str">
        <f t="shared" si="100"/>
        <v/>
      </c>
    </row>
    <row r="3100" spans="17:18" x14ac:dyDescent="0.3">
      <c r="Q3100" t="str">
        <f t="shared" si="101"/>
        <v/>
      </c>
      <c r="R3100" s="54" t="str">
        <f t="shared" si="100"/>
        <v/>
      </c>
    </row>
    <row r="3101" spans="17:18" x14ac:dyDescent="0.3">
      <c r="Q3101" t="str">
        <f t="shared" si="101"/>
        <v/>
      </c>
      <c r="R3101" s="54" t="str">
        <f t="shared" si="100"/>
        <v/>
      </c>
    </row>
    <row r="3102" spans="17:18" x14ac:dyDescent="0.3">
      <c r="Q3102" t="str">
        <f t="shared" si="101"/>
        <v/>
      </c>
      <c r="R3102" s="54" t="str">
        <f t="shared" si="100"/>
        <v/>
      </c>
    </row>
    <row r="3103" spans="17:18" x14ac:dyDescent="0.3">
      <c r="Q3103" t="str">
        <f t="shared" si="101"/>
        <v/>
      </c>
      <c r="R3103" s="54" t="str">
        <f t="shared" si="100"/>
        <v/>
      </c>
    </row>
    <row r="3104" spans="17:18" x14ac:dyDescent="0.3">
      <c r="Q3104" t="str">
        <f t="shared" si="101"/>
        <v/>
      </c>
      <c r="R3104" s="54" t="str">
        <f t="shared" si="100"/>
        <v/>
      </c>
    </row>
    <row r="3105" spans="17:18" x14ac:dyDescent="0.3">
      <c r="Q3105" t="str">
        <f t="shared" si="101"/>
        <v/>
      </c>
      <c r="R3105" s="54" t="str">
        <f t="shared" si="100"/>
        <v/>
      </c>
    </row>
    <row r="3106" spans="17:18" x14ac:dyDescent="0.3">
      <c r="Q3106" t="str">
        <f t="shared" si="101"/>
        <v/>
      </c>
      <c r="R3106" s="54" t="str">
        <f t="shared" si="100"/>
        <v/>
      </c>
    </row>
    <row r="3107" spans="17:18" x14ac:dyDescent="0.3">
      <c r="Q3107" t="str">
        <f t="shared" si="101"/>
        <v/>
      </c>
      <c r="R3107" s="54" t="str">
        <f t="shared" si="100"/>
        <v/>
      </c>
    </row>
    <row r="3108" spans="17:18" x14ac:dyDescent="0.3">
      <c r="Q3108" t="str">
        <f t="shared" si="101"/>
        <v/>
      </c>
      <c r="R3108" s="54" t="str">
        <f t="shared" si="100"/>
        <v/>
      </c>
    </row>
    <row r="3109" spans="17:18" x14ac:dyDescent="0.3">
      <c r="Q3109" t="str">
        <f t="shared" si="101"/>
        <v/>
      </c>
      <c r="R3109" s="54" t="str">
        <f t="shared" si="100"/>
        <v/>
      </c>
    </row>
    <row r="3110" spans="17:18" x14ac:dyDescent="0.3">
      <c r="Q3110" t="str">
        <f t="shared" si="101"/>
        <v/>
      </c>
      <c r="R3110" s="54" t="str">
        <f t="shared" si="100"/>
        <v/>
      </c>
    </row>
    <row r="3111" spans="17:18" x14ac:dyDescent="0.3">
      <c r="Q3111" t="str">
        <f t="shared" si="101"/>
        <v/>
      </c>
      <c r="R3111" s="54" t="str">
        <f t="shared" si="100"/>
        <v/>
      </c>
    </row>
    <row r="3112" spans="17:18" x14ac:dyDescent="0.3">
      <c r="Q3112" t="str">
        <f t="shared" si="101"/>
        <v/>
      </c>
      <c r="R3112" s="54" t="str">
        <f t="shared" si="100"/>
        <v/>
      </c>
    </row>
    <row r="3113" spans="17:18" x14ac:dyDescent="0.3">
      <c r="Q3113" t="str">
        <f t="shared" si="101"/>
        <v/>
      </c>
      <c r="R3113" s="54" t="str">
        <f t="shared" si="100"/>
        <v/>
      </c>
    </row>
    <row r="3114" spans="17:18" x14ac:dyDescent="0.3">
      <c r="Q3114" t="str">
        <f t="shared" si="101"/>
        <v/>
      </c>
      <c r="R3114" s="54" t="str">
        <f t="shared" si="100"/>
        <v/>
      </c>
    </row>
    <row r="3115" spans="17:18" x14ac:dyDescent="0.3">
      <c r="Q3115" t="str">
        <f t="shared" si="101"/>
        <v/>
      </c>
      <c r="R3115" s="54" t="str">
        <f t="shared" si="100"/>
        <v/>
      </c>
    </row>
    <row r="3116" spans="17:18" x14ac:dyDescent="0.3">
      <c r="Q3116" t="str">
        <f t="shared" si="101"/>
        <v/>
      </c>
      <c r="R3116" s="54" t="str">
        <f t="shared" si="100"/>
        <v/>
      </c>
    </row>
    <row r="3117" spans="17:18" x14ac:dyDescent="0.3">
      <c r="Q3117" t="str">
        <f t="shared" si="101"/>
        <v/>
      </c>
      <c r="R3117" s="54" t="str">
        <f t="shared" si="100"/>
        <v/>
      </c>
    </row>
    <row r="3118" spans="17:18" x14ac:dyDescent="0.3">
      <c r="Q3118" t="str">
        <f t="shared" si="101"/>
        <v/>
      </c>
      <c r="R3118" s="54" t="str">
        <f t="shared" si="100"/>
        <v/>
      </c>
    </row>
    <row r="3119" spans="17:18" x14ac:dyDescent="0.3">
      <c r="Q3119" t="str">
        <f t="shared" si="101"/>
        <v/>
      </c>
      <c r="R3119" s="54" t="str">
        <f t="shared" si="100"/>
        <v/>
      </c>
    </row>
    <row r="3120" spans="17:18" x14ac:dyDescent="0.3">
      <c r="Q3120" t="str">
        <f t="shared" si="101"/>
        <v/>
      </c>
      <c r="R3120" s="54" t="str">
        <f t="shared" si="100"/>
        <v/>
      </c>
    </row>
    <row r="3121" spans="17:18" x14ac:dyDescent="0.3">
      <c r="Q3121" t="str">
        <f t="shared" si="101"/>
        <v/>
      </c>
      <c r="R3121" s="54" t="str">
        <f t="shared" si="100"/>
        <v/>
      </c>
    </row>
    <row r="3122" spans="17:18" x14ac:dyDescent="0.3">
      <c r="Q3122" t="str">
        <f t="shared" si="101"/>
        <v/>
      </c>
      <c r="R3122" s="54" t="str">
        <f t="shared" si="100"/>
        <v/>
      </c>
    </row>
    <row r="3123" spans="17:18" x14ac:dyDescent="0.3">
      <c r="Q3123" t="str">
        <f t="shared" si="101"/>
        <v/>
      </c>
      <c r="R3123" s="54" t="str">
        <f t="shared" si="100"/>
        <v/>
      </c>
    </row>
    <row r="3124" spans="17:18" x14ac:dyDescent="0.3">
      <c r="Q3124" t="str">
        <f t="shared" si="101"/>
        <v/>
      </c>
      <c r="R3124" s="54" t="str">
        <f t="shared" si="100"/>
        <v/>
      </c>
    </row>
    <row r="3125" spans="17:18" x14ac:dyDescent="0.3">
      <c r="Q3125" t="str">
        <f t="shared" si="101"/>
        <v/>
      </c>
      <c r="R3125" s="54" t="str">
        <f t="shared" si="100"/>
        <v/>
      </c>
    </row>
    <row r="3126" spans="17:18" x14ac:dyDescent="0.3">
      <c r="Q3126" t="str">
        <f t="shared" si="101"/>
        <v/>
      </c>
      <c r="R3126" s="54" t="str">
        <f t="shared" si="100"/>
        <v/>
      </c>
    </row>
    <row r="3127" spans="17:18" x14ac:dyDescent="0.3">
      <c r="Q3127" t="str">
        <f t="shared" si="101"/>
        <v/>
      </c>
      <c r="R3127" s="54" t="str">
        <f t="shared" si="100"/>
        <v/>
      </c>
    </row>
    <row r="3128" spans="17:18" x14ac:dyDescent="0.3">
      <c r="Q3128" t="str">
        <f t="shared" si="101"/>
        <v/>
      </c>
      <c r="R3128" s="54" t="str">
        <f t="shared" si="100"/>
        <v/>
      </c>
    </row>
    <row r="3129" spans="17:18" x14ac:dyDescent="0.3">
      <c r="Q3129" t="str">
        <f t="shared" si="101"/>
        <v/>
      </c>
      <c r="R3129" s="54" t="str">
        <f t="shared" si="100"/>
        <v/>
      </c>
    </row>
    <row r="3130" spans="17:18" x14ac:dyDescent="0.3">
      <c r="Q3130" t="str">
        <f t="shared" si="101"/>
        <v/>
      </c>
      <c r="R3130" s="54" t="str">
        <f t="shared" si="100"/>
        <v/>
      </c>
    </row>
    <row r="3131" spans="17:18" x14ac:dyDescent="0.3">
      <c r="Q3131" t="str">
        <f t="shared" si="101"/>
        <v/>
      </c>
      <c r="R3131" s="54" t="str">
        <f t="shared" si="100"/>
        <v/>
      </c>
    </row>
    <row r="3132" spans="17:18" x14ac:dyDescent="0.3">
      <c r="Q3132" t="str">
        <f t="shared" si="101"/>
        <v/>
      </c>
      <c r="R3132" s="54" t="str">
        <f t="shared" si="100"/>
        <v/>
      </c>
    </row>
    <row r="3133" spans="17:18" x14ac:dyDescent="0.3">
      <c r="Q3133" t="str">
        <f t="shared" si="101"/>
        <v/>
      </c>
      <c r="R3133" s="54" t="str">
        <f t="shared" si="100"/>
        <v/>
      </c>
    </row>
    <row r="3134" spans="17:18" x14ac:dyDescent="0.3">
      <c r="Q3134" t="str">
        <f t="shared" si="101"/>
        <v/>
      </c>
      <c r="R3134" s="54" t="str">
        <f t="shared" si="100"/>
        <v/>
      </c>
    </row>
    <row r="3135" spans="17:18" x14ac:dyDescent="0.3">
      <c r="Q3135" t="str">
        <f t="shared" si="101"/>
        <v/>
      </c>
      <c r="R3135" s="54" t="str">
        <f t="shared" si="100"/>
        <v/>
      </c>
    </row>
    <row r="3136" spans="17:18" x14ac:dyDescent="0.3">
      <c r="Q3136" t="str">
        <f t="shared" si="101"/>
        <v/>
      </c>
      <c r="R3136" s="54" t="str">
        <f t="shared" si="100"/>
        <v/>
      </c>
    </row>
    <row r="3137" spans="17:18" x14ac:dyDescent="0.3">
      <c r="Q3137" t="str">
        <f t="shared" si="101"/>
        <v/>
      </c>
      <c r="R3137" s="54" t="str">
        <f t="shared" si="100"/>
        <v/>
      </c>
    </row>
    <row r="3138" spans="17:18" x14ac:dyDescent="0.3">
      <c r="Q3138" t="str">
        <f t="shared" si="101"/>
        <v/>
      </c>
      <c r="R3138" s="54" t="str">
        <f t="shared" si="100"/>
        <v/>
      </c>
    </row>
    <row r="3139" spans="17:18" x14ac:dyDescent="0.3">
      <c r="Q3139" t="str">
        <f t="shared" si="101"/>
        <v/>
      </c>
      <c r="R3139" s="54" t="str">
        <f t="shared" ref="R3139:R3202" si="102">IF(F3153="","",IFERROR(IF(ISNUMBER(F3153),F3153,DATEVALUE(F3153)),""))</f>
        <v/>
      </c>
    </row>
    <row r="3140" spans="17:18" x14ac:dyDescent="0.3">
      <c r="Q3140" t="str">
        <f t="shared" si="101"/>
        <v/>
      </c>
      <c r="R3140" s="54" t="str">
        <f t="shared" si="102"/>
        <v/>
      </c>
    </row>
    <row r="3141" spans="17:18" x14ac:dyDescent="0.3">
      <c r="Q3141" t="str">
        <f t="shared" si="101"/>
        <v/>
      </c>
      <c r="R3141" s="54" t="str">
        <f t="shared" si="102"/>
        <v/>
      </c>
    </row>
    <row r="3142" spans="17:18" x14ac:dyDescent="0.3">
      <c r="Q3142" t="str">
        <f t="shared" si="101"/>
        <v/>
      </c>
      <c r="R3142" s="54" t="str">
        <f t="shared" si="102"/>
        <v/>
      </c>
    </row>
    <row r="3143" spans="17:18" x14ac:dyDescent="0.3">
      <c r="Q3143" t="str">
        <f t="shared" si="101"/>
        <v/>
      </c>
      <c r="R3143" s="54" t="str">
        <f t="shared" si="102"/>
        <v/>
      </c>
    </row>
    <row r="3144" spans="17:18" x14ac:dyDescent="0.3">
      <c r="Q3144" t="str">
        <f t="shared" si="101"/>
        <v/>
      </c>
      <c r="R3144" s="54" t="str">
        <f t="shared" si="102"/>
        <v/>
      </c>
    </row>
    <row r="3145" spans="17:18" x14ac:dyDescent="0.3">
      <c r="Q3145" t="str">
        <f t="shared" si="101"/>
        <v/>
      </c>
      <c r="R3145" s="54" t="str">
        <f t="shared" si="102"/>
        <v/>
      </c>
    </row>
    <row r="3146" spans="17:18" x14ac:dyDescent="0.3">
      <c r="Q3146" t="str">
        <f t="shared" si="101"/>
        <v/>
      </c>
      <c r="R3146" s="54" t="str">
        <f t="shared" si="102"/>
        <v/>
      </c>
    </row>
    <row r="3147" spans="17:18" x14ac:dyDescent="0.3">
      <c r="Q3147" t="str">
        <f t="shared" si="101"/>
        <v/>
      </c>
      <c r="R3147" s="54" t="str">
        <f t="shared" si="102"/>
        <v/>
      </c>
    </row>
    <row r="3148" spans="17:18" x14ac:dyDescent="0.3">
      <c r="Q3148" t="str">
        <f t="shared" si="101"/>
        <v/>
      </c>
      <c r="R3148" s="54" t="str">
        <f t="shared" si="102"/>
        <v/>
      </c>
    </row>
    <row r="3149" spans="17:18" x14ac:dyDescent="0.3">
      <c r="Q3149" t="str">
        <f t="shared" si="101"/>
        <v/>
      </c>
      <c r="R3149" s="54" t="str">
        <f t="shared" si="102"/>
        <v/>
      </c>
    </row>
    <row r="3150" spans="17:18" x14ac:dyDescent="0.3">
      <c r="Q3150" t="str">
        <f t="shared" si="101"/>
        <v/>
      </c>
      <c r="R3150" s="54" t="str">
        <f t="shared" si="102"/>
        <v/>
      </c>
    </row>
    <row r="3151" spans="17:18" x14ac:dyDescent="0.3">
      <c r="Q3151" t="str">
        <f t="shared" si="101"/>
        <v/>
      </c>
      <c r="R3151" s="54" t="str">
        <f t="shared" si="102"/>
        <v/>
      </c>
    </row>
    <row r="3152" spans="17:18" x14ac:dyDescent="0.3">
      <c r="Q3152" t="str">
        <f t="shared" si="101"/>
        <v/>
      </c>
      <c r="R3152" s="54" t="str">
        <f t="shared" si="102"/>
        <v/>
      </c>
    </row>
    <row r="3153" spans="17:18" x14ac:dyDescent="0.3">
      <c r="Q3153" t="str">
        <f t="shared" si="101"/>
        <v/>
      </c>
      <c r="R3153" s="54" t="str">
        <f t="shared" si="102"/>
        <v/>
      </c>
    </row>
    <row r="3154" spans="17:18" x14ac:dyDescent="0.3">
      <c r="Q3154" t="str">
        <f t="shared" si="101"/>
        <v/>
      </c>
      <c r="R3154" s="54" t="str">
        <f t="shared" si="102"/>
        <v/>
      </c>
    </row>
    <row r="3155" spans="17:18" x14ac:dyDescent="0.3">
      <c r="Q3155" t="str">
        <f t="shared" si="101"/>
        <v/>
      </c>
      <c r="R3155" s="54" t="str">
        <f t="shared" si="102"/>
        <v/>
      </c>
    </row>
    <row r="3156" spans="17:18" x14ac:dyDescent="0.3">
      <c r="Q3156" t="str">
        <f t="shared" si="101"/>
        <v/>
      </c>
      <c r="R3156" s="54" t="str">
        <f t="shared" si="102"/>
        <v/>
      </c>
    </row>
    <row r="3157" spans="17:18" x14ac:dyDescent="0.3">
      <c r="Q3157" t="str">
        <f t="shared" si="101"/>
        <v/>
      </c>
      <c r="R3157" s="54" t="str">
        <f t="shared" si="102"/>
        <v/>
      </c>
    </row>
    <row r="3158" spans="17:18" x14ac:dyDescent="0.3">
      <c r="Q3158" t="str">
        <f t="shared" si="101"/>
        <v/>
      </c>
      <c r="R3158" s="54" t="str">
        <f t="shared" si="102"/>
        <v/>
      </c>
    </row>
    <row r="3159" spans="17:18" x14ac:dyDescent="0.3">
      <c r="Q3159" t="str">
        <f t="shared" ref="Q3159:Q3222" si="103">IF(COUNTA(A3159:P3159)=0,"",IF(ISNUMBER(SEARCH("-AR-",E3173)),"Architectural",IF(ISNUMBER(SEARCH("-ST-",E3173)),"Structural",IF(ISNUMBER(SEARCH("-ME-",E3173)),"Mechanical",IF(ISNUMBER(SEARCH("-EL-",E3173)),"Electrical",IF(ISNUMBER(SEARCH("-GE-",E3173)),"General",IF(ISNUMBER(SEARCH("-AR-",D3173)),"Architectural",IF(ISNUMBER(SEARCH("-ST-",D3173)),"Structural",IF(ISNUMBER(SEARCH("-ME-",D3173)),"Mechanical",IF(ISNUMBER(SEARCH("-EL-",D3173)),"Electrical",IF(ISNUMBER(SEARCH("-GE-",D3173)),"General","Other")))))))))))</f>
        <v/>
      </c>
      <c r="R3159" s="54" t="str">
        <f t="shared" si="102"/>
        <v/>
      </c>
    </row>
    <row r="3160" spans="17:18" x14ac:dyDescent="0.3">
      <c r="Q3160" t="str">
        <f t="shared" si="103"/>
        <v/>
      </c>
      <c r="R3160" s="54" t="str">
        <f t="shared" si="102"/>
        <v/>
      </c>
    </row>
    <row r="3161" spans="17:18" x14ac:dyDescent="0.3">
      <c r="Q3161" t="str">
        <f t="shared" si="103"/>
        <v/>
      </c>
      <c r="R3161" s="54" t="str">
        <f t="shared" si="102"/>
        <v/>
      </c>
    </row>
    <row r="3162" spans="17:18" x14ac:dyDescent="0.3">
      <c r="Q3162" t="str">
        <f t="shared" si="103"/>
        <v/>
      </c>
      <c r="R3162" s="54" t="str">
        <f t="shared" si="102"/>
        <v/>
      </c>
    </row>
    <row r="3163" spans="17:18" x14ac:dyDescent="0.3">
      <c r="Q3163" t="str">
        <f t="shared" si="103"/>
        <v/>
      </c>
      <c r="R3163" s="54" t="str">
        <f t="shared" si="102"/>
        <v/>
      </c>
    </row>
    <row r="3164" spans="17:18" x14ac:dyDescent="0.3">
      <c r="Q3164" t="str">
        <f t="shared" si="103"/>
        <v/>
      </c>
      <c r="R3164" s="54" t="str">
        <f t="shared" si="102"/>
        <v/>
      </c>
    </row>
    <row r="3165" spans="17:18" x14ac:dyDescent="0.3">
      <c r="Q3165" t="str">
        <f t="shared" si="103"/>
        <v/>
      </c>
      <c r="R3165" s="54" t="str">
        <f t="shared" si="102"/>
        <v/>
      </c>
    </row>
    <row r="3166" spans="17:18" x14ac:dyDescent="0.3">
      <c r="Q3166" t="str">
        <f t="shared" si="103"/>
        <v/>
      </c>
      <c r="R3166" s="54" t="str">
        <f t="shared" si="102"/>
        <v/>
      </c>
    </row>
    <row r="3167" spans="17:18" x14ac:dyDescent="0.3">
      <c r="Q3167" t="str">
        <f t="shared" si="103"/>
        <v/>
      </c>
      <c r="R3167" s="54" t="str">
        <f t="shared" si="102"/>
        <v/>
      </c>
    </row>
    <row r="3168" spans="17:18" x14ac:dyDescent="0.3">
      <c r="Q3168" t="str">
        <f t="shared" si="103"/>
        <v/>
      </c>
      <c r="R3168" s="54" t="str">
        <f t="shared" si="102"/>
        <v/>
      </c>
    </row>
    <row r="3169" spans="17:18" x14ac:dyDescent="0.3">
      <c r="Q3169" t="str">
        <f t="shared" si="103"/>
        <v/>
      </c>
      <c r="R3169" s="54" t="str">
        <f t="shared" si="102"/>
        <v/>
      </c>
    </row>
    <row r="3170" spans="17:18" x14ac:dyDescent="0.3">
      <c r="Q3170" t="str">
        <f t="shared" si="103"/>
        <v/>
      </c>
      <c r="R3170" s="54" t="str">
        <f t="shared" si="102"/>
        <v/>
      </c>
    </row>
    <row r="3171" spans="17:18" x14ac:dyDescent="0.3">
      <c r="Q3171" t="str">
        <f t="shared" si="103"/>
        <v/>
      </c>
      <c r="R3171" s="54" t="str">
        <f t="shared" si="102"/>
        <v/>
      </c>
    </row>
    <row r="3172" spans="17:18" x14ac:dyDescent="0.3">
      <c r="Q3172" t="str">
        <f t="shared" si="103"/>
        <v/>
      </c>
      <c r="R3172" s="54" t="str">
        <f t="shared" si="102"/>
        <v/>
      </c>
    </row>
    <row r="3173" spans="17:18" x14ac:dyDescent="0.3">
      <c r="Q3173" t="str">
        <f t="shared" si="103"/>
        <v/>
      </c>
      <c r="R3173" s="54" t="str">
        <f t="shared" si="102"/>
        <v/>
      </c>
    </row>
    <row r="3174" spans="17:18" x14ac:dyDescent="0.3">
      <c r="Q3174" t="str">
        <f t="shared" si="103"/>
        <v/>
      </c>
      <c r="R3174" s="54" t="str">
        <f t="shared" si="102"/>
        <v/>
      </c>
    </row>
    <row r="3175" spans="17:18" x14ac:dyDescent="0.3">
      <c r="Q3175" t="str">
        <f t="shared" si="103"/>
        <v/>
      </c>
      <c r="R3175" s="54" t="str">
        <f t="shared" si="102"/>
        <v/>
      </c>
    </row>
    <row r="3176" spans="17:18" x14ac:dyDescent="0.3">
      <c r="Q3176" t="str">
        <f t="shared" si="103"/>
        <v/>
      </c>
      <c r="R3176" s="54" t="str">
        <f t="shared" si="102"/>
        <v/>
      </c>
    </row>
    <row r="3177" spans="17:18" x14ac:dyDescent="0.3">
      <c r="Q3177" t="str">
        <f t="shared" si="103"/>
        <v/>
      </c>
      <c r="R3177" s="54" t="str">
        <f t="shared" si="102"/>
        <v/>
      </c>
    </row>
    <row r="3178" spans="17:18" x14ac:dyDescent="0.3">
      <c r="Q3178" t="str">
        <f t="shared" si="103"/>
        <v/>
      </c>
      <c r="R3178" s="54" t="str">
        <f t="shared" si="102"/>
        <v/>
      </c>
    </row>
    <row r="3179" spans="17:18" x14ac:dyDescent="0.3">
      <c r="Q3179" t="str">
        <f t="shared" si="103"/>
        <v/>
      </c>
      <c r="R3179" s="54" t="str">
        <f t="shared" si="102"/>
        <v/>
      </c>
    </row>
    <row r="3180" spans="17:18" x14ac:dyDescent="0.3">
      <c r="Q3180" t="str">
        <f t="shared" si="103"/>
        <v/>
      </c>
      <c r="R3180" s="54" t="str">
        <f t="shared" si="102"/>
        <v/>
      </c>
    </row>
    <row r="3181" spans="17:18" x14ac:dyDescent="0.3">
      <c r="Q3181" t="str">
        <f t="shared" si="103"/>
        <v/>
      </c>
      <c r="R3181" s="54" t="str">
        <f t="shared" si="102"/>
        <v/>
      </c>
    </row>
    <row r="3182" spans="17:18" x14ac:dyDescent="0.3">
      <c r="Q3182" t="str">
        <f t="shared" si="103"/>
        <v/>
      </c>
      <c r="R3182" s="54" t="str">
        <f t="shared" si="102"/>
        <v/>
      </c>
    </row>
    <row r="3183" spans="17:18" x14ac:dyDescent="0.3">
      <c r="Q3183" t="str">
        <f t="shared" si="103"/>
        <v/>
      </c>
      <c r="R3183" s="54" t="str">
        <f t="shared" si="102"/>
        <v/>
      </c>
    </row>
    <row r="3184" spans="17:18" x14ac:dyDescent="0.3">
      <c r="Q3184" t="str">
        <f t="shared" si="103"/>
        <v/>
      </c>
      <c r="R3184" s="54" t="str">
        <f t="shared" si="102"/>
        <v/>
      </c>
    </row>
    <row r="3185" spans="17:18" x14ac:dyDescent="0.3">
      <c r="Q3185" t="str">
        <f t="shared" si="103"/>
        <v/>
      </c>
      <c r="R3185" s="54" t="str">
        <f t="shared" si="102"/>
        <v/>
      </c>
    </row>
    <row r="3186" spans="17:18" x14ac:dyDescent="0.3">
      <c r="Q3186" t="str">
        <f t="shared" si="103"/>
        <v/>
      </c>
      <c r="R3186" s="54" t="str">
        <f t="shared" si="102"/>
        <v/>
      </c>
    </row>
    <row r="3187" spans="17:18" x14ac:dyDescent="0.3">
      <c r="Q3187" t="str">
        <f t="shared" si="103"/>
        <v/>
      </c>
      <c r="R3187" s="54" t="str">
        <f t="shared" si="102"/>
        <v/>
      </c>
    </row>
    <row r="3188" spans="17:18" x14ac:dyDescent="0.3">
      <c r="Q3188" t="str">
        <f t="shared" si="103"/>
        <v/>
      </c>
      <c r="R3188" s="54" t="str">
        <f t="shared" si="102"/>
        <v/>
      </c>
    </row>
    <row r="3189" spans="17:18" x14ac:dyDescent="0.3">
      <c r="Q3189" t="str">
        <f t="shared" si="103"/>
        <v/>
      </c>
      <c r="R3189" s="54" t="str">
        <f t="shared" si="102"/>
        <v/>
      </c>
    </row>
    <row r="3190" spans="17:18" x14ac:dyDescent="0.3">
      <c r="Q3190" t="str">
        <f t="shared" si="103"/>
        <v/>
      </c>
      <c r="R3190" s="54" t="str">
        <f t="shared" si="102"/>
        <v/>
      </c>
    </row>
    <row r="3191" spans="17:18" x14ac:dyDescent="0.3">
      <c r="Q3191" t="str">
        <f t="shared" si="103"/>
        <v/>
      </c>
      <c r="R3191" s="54" t="str">
        <f t="shared" si="102"/>
        <v/>
      </c>
    </row>
    <row r="3192" spans="17:18" x14ac:dyDescent="0.3">
      <c r="Q3192" t="str">
        <f t="shared" si="103"/>
        <v/>
      </c>
      <c r="R3192" s="54" t="str">
        <f t="shared" si="102"/>
        <v/>
      </c>
    </row>
    <row r="3193" spans="17:18" x14ac:dyDescent="0.3">
      <c r="Q3193" t="str">
        <f t="shared" si="103"/>
        <v/>
      </c>
      <c r="R3193" s="54" t="str">
        <f t="shared" si="102"/>
        <v/>
      </c>
    </row>
    <row r="3194" spans="17:18" x14ac:dyDescent="0.3">
      <c r="Q3194" t="str">
        <f t="shared" si="103"/>
        <v/>
      </c>
      <c r="R3194" s="54" t="str">
        <f t="shared" si="102"/>
        <v/>
      </c>
    </row>
    <row r="3195" spans="17:18" x14ac:dyDescent="0.3">
      <c r="Q3195" t="str">
        <f t="shared" si="103"/>
        <v/>
      </c>
      <c r="R3195" s="54" t="str">
        <f t="shared" si="102"/>
        <v/>
      </c>
    </row>
    <row r="3196" spans="17:18" x14ac:dyDescent="0.3">
      <c r="Q3196" t="str">
        <f t="shared" si="103"/>
        <v/>
      </c>
      <c r="R3196" s="54" t="str">
        <f t="shared" si="102"/>
        <v/>
      </c>
    </row>
    <row r="3197" spans="17:18" x14ac:dyDescent="0.3">
      <c r="Q3197" t="str">
        <f t="shared" si="103"/>
        <v/>
      </c>
      <c r="R3197" s="54" t="str">
        <f t="shared" si="102"/>
        <v/>
      </c>
    </row>
    <row r="3198" spans="17:18" x14ac:dyDescent="0.3">
      <c r="Q3198" t="str">
        <f t="shared" si="103"/>
        <v/>
      </c>
      <c r="R3198" s="54" t="str">
        <f t="shared" si="102"/>
        <v/>
      </c>
    </row>
    <row r="3199" spans="17:18" x14ac:dyDescent="0.3">
      <c r="Q3199" t="str">
        <f t="shared" si="103"/>
        <v/>
      </c>
      <c r="R3199" s="54" t="str">
        <f t="shared" si="102"/>
        <v/>
      </c>
    </row>
    <row r="3200" spans="17:18" x14ac:dyDescent="0.3">
      <c r="Q3200" t="str">
        <f t="shared" si="103"/>
        <v/>
      </c>
      <c r="R3200" s="54" t="str">
        <f t="shared" si="102"/>
        <v/>
      </c>
    </row>
    <row r="3201" spans="17:18" x14ac:dyDescent="0.3">
      <c r="Q3201" t="str">
        <f t="shared" si="103"/>
        <v/>
      </c>
      <c r="R3201" s="54" t="str">
        <f t="shared" si="102"/>
        <v/>
      </c>
    </row>
    <row r="3202" spans="17:18" x14ac:dyDescent="0.3">
      <c r="Q3202" t="str">
        <f t="shared" si="103"/>
        <v/>
      </c>
      <c r="R3202" s="54" t="str">
        <f t="shared" si="102"/>
        <v/>
      </c>
    </row>
    <row r="3203" spans="17:18" x14ac:dyDescent="0.3">
      <c r="Q3203" t="str">
        <f t="shared" si="103"/>
        <v/>
      </c>
      <c r="R3203" s="54" t="str">
        <f t="shared" ref="R3203:R3266" si="104">IF(F3217="","",IFERROR(IF(ISNUMBER(F3217),F3217,DATEVALUE(F3217)),""))</f>
        <v/>
      </c>
    </row>
    <row r="3204" spans="17:18" x14ac:dyDescent="0.3">
      <c r="Q3204" t="str">
        <f t="shared" si="103"/>
        <v/>
      </c>
      <c r="R3204" s="54" t="str">
        <f t="shared" si="104"/>
        <v/>
      </c>
    </row>
    <row r="3205" spans="17:18" x14ac:dyDescent="0.3">
      <c r="Q3205" t="str">
        <f t="shared" si="103"/>
        <v/>
      </c>
      <c r="R3205" s="54" t="str">
        <f t="shared" si="104"/>
        <v/>
      </c>
    </row>
    <row r="3206" spans="17:18" x14ac:dyDescent="0.3">
      <c r="Q3206" t="str">
        <f t="shared" si="103"/>
        <v/>
      </c>
      <c r="R3206" s="54" t="str">
        <f t="shared" si="104"/>
        <v/>
      </c>
    </row>
    <row r="3207" spans="17:18" x14ac:dyDescent="0.3">
      <c r="Q3207" t="str">
        <f t="shared" si="103"/>
        <v/>
      </c>
      <c r="R3207" s="54" t="str">
        <f t="shared" si="104"/>
        <v/>
      </c>
    </row>
    <row r="3208" spans="17:18" x14ac:dyDescent="0.3">
      <c r="Q3208" t="str">
        <f t="shared" si="103"/>
        <v/>
      </c>
      <c r="R3208" s="54" t="str">
        <f t="shared" si="104"/>
        <v/>
      </c>
    </row>
    <row r="3209" spans="17:18" x14ac:dyDescent="0.3">
      <c r="Q3209" t="str">
        <f t="shared" si="103"/>
        <v/>
      </c>
      <c r="R3209" s="54" t="str">
        <f t="shared" si="104"/>
        <v/>
      </c>
    </row>
    <row r="3210" spans="17:18" x14ac:dyDescent="0.3">
      <c r="Q3210" t="str">
        <f t="shared" si="103"/>
        <v/>
      </c>
      <c r="R3210" s="54" t="str">
        <f t="shared" si="104"/>
        <v/>
      </c>
    </row>
    <row r="3211" spans="17:18" x14ac:dyDescent="0.3">
      <c r="Q3211" t="str">
        <f t="shared" si="103"/>
        <v/>
      </c>
      <c r="R3211" s="54" t="str">
        <f t="shared" si="104"/>
        <v/>
      </c>
    </row>
    <row r="3212" spans="17:18" x14ac:dyDescent="0.3">
      <c r="Q3212" t="str">
        <f t="shared" si="103"/>
        <v/>
      </c>
      <c r="R3212" s="54" t="str">
        <f t="shared" si="104"/>
        <v/>
      </c>
    </row>
    <row r="3213" spans="17:18" x14ac:dyDescent="0.3">
      <c r="Q3213" t="str">
        <f t="shared" si="103"/>
        <v/>
      </c>
      <c r="R3213" s="54" t="str">
        <f t="shared" si="104"/>
        <v/>
      </c>
    </row>
    <row r="3214" spans="17:18" x14ac:dyDescent="0.3">
      <c r="Q3214" t="str">
        <f t="shared" si="103"/>
        <v/>
      </c>
      <c r="R3214" s="54" t="str">
        <f t="shared" si="104"/>
        <v/>
      </c>
    </row>
    <row r="3215" spans="17:18" x14ac:dyDescent="0.3">
      <c r="Q3215" t="str">
        <f t="shared" si="103"/>
        <v/>
      </c>
      <c r="R3215" s="54" t="str">
        <f t="shared" si="104"/>
        <v/>
      </c>
    </row>
    <row r="3216" spans="17:18" x14ac:dyDescent="0.3">
      <c r="Q3216" t="str">
        <f t="shared" si="103"/>
        <v/>
      </c>
      <c r="R3216" s="54" t="str">
        <f t="shared" si="104"/>
        <v/>
      </c>
    </row>
    <row r="3217" spans="17:18" x14ac:dyDescent="0.3">
      <c r="Q3217" t="str">
        <f t="shared" si="103"/>
        <v/>
      </c>
      <c r="R3217" s="54" t="str">
        <f t="shared" si="104"/>
        <v/>
      </c>
    </row>
    <row r="3218" spans="17:18" x14ac:dyDescent="0.3">
      <c r="Q3218" t="str">
        <f t="shared" si="103"/>
        <v/>
      </c>
      <c r="R3218" s="54" t="str">
        <f t="shared" si="104"/>
        <v/>
      </c>
    </row>
    <row r="3219" spans="17:18" x14ac:dyDescent="0.3">
      <c r="Q3219" t="str">
        <f t="shared" si="103"/>
        <v/>
      </c>
      <c r="R3219" s="54" t="str">
        <f t="shared" si="104"/>
        <v/>
      </c>
    </row>
    <row r="3220" spans="17:18" x14ac:dyDescent="0.3">
      <c r="Q3220" t="str">
        <f t="shared" si="103"/>
        <v/>
      </c>
      <c r="R3220" s="54" t="str">
        <f t="shared" si="104"/>
        <v/>
      </c>
    </row>
    <row r="3221" spans="17:18" x14ac:dyDescent="0.3">
      <c r="Q3221" t="str">
        <f t="shared" si="103"/>
        <v/>
      </c>
      <c r="R3221" s="54" t="str">
        <f t="shared" si="104"/>
        <v/>
      </c>
    </row>
    <row r="3222" spans="17:18" x14ac:dyDescent="0.3">
      <c r="Q3222" t="str">
        <f t="shared" si="103"/>
        <v/>
      </c>
      <c r="R3222" s="54" t="str">
        <f t="shared" si="104"/>
        <v/>
      </c>
    </row>
    <row r="3223" spans="17:18" x14ac:dyDescent="0.3">
      <c r="Q3223" t="str">
        <f t="shared" ref="Q3223:Q3286" si="105">IF(COUNTA(A3223:P3223)=0,"",IF(ISNUMBER(SEARCH("-AR-",E3237)),"Architectural",IF(ISNUMBER(SEARCH("-ST-",E3237)),"Structural",IF(ISNUMBER(SEARCH("-ME-",E3237)),"Mechanical",IF(ISNUMBER(SEARCH("-EL-",E3237)),"Electrical",IF(ISNUMBER(SEARCH("-GE-",E3237)),"General",IF(ISNUMBER(SEARCH("-AR-",D3237)),"Architectural",IF(ISNUMBER(SEARCH("-ST-",D3237)),"Structural",IF(ISNUMBER(SEARCH("-ME-",D3237)),"Mechanical",IF(ISNUMBER(SEARCH("-EL-",D3237)),"Electrical",IF(ISNUMBER(SEARCH("-GE-",D3237)),"General","Other")))))))))))</f>
        <v/>
      </c>
      <c r="R3223" s="54" t="str">
        <f t="shared" si="104"/>
        <v/>
      </c>
    </row>
    <row r="3224" spans="17:18" x14ac:dyDescent="0.3">
      <c r="Q3224" t="str">
        <f t="shared" si="105"/>
        <v/>
      </c>
      <c r="R3224" s="54" t="str">
        <f t="shared" si="104"/>
        <v/>
      </c>
    </row>
    <row r="3225" spans="17:18" x14ac:dyDescent="0.3">
      <c r="Q3225" t="str">
        <f t="shared" si="105"/>
        <v/>
      </c>
      <c r="R3225" s="54" t="str">
        <f t="shared" si="104"/>
        <v/>
      </c>
    </row>
    <row r="3226" spans="17:18" x14ac:dyDescent="0.3">
      <c r="Q3226" t="str">
        <f t="shared" si="105"/>
        <v/>
      </c>
      <c r="R3226" s="54" t="str">
        <f t="shared" si="104"/>
        <v/>
      </c>
    </row>
    <row r="3227" spans="17:18" x14ac:dyDescent="0.3">
      <c r="Q3227" t="str">
        <f t="shared" si="105"/>
        <v/>
      </c>
      <c r="R3227" s="54" t="str">
        <f t="shared" si="104"/>
        <v/>
      </c>
    </row>
    <row r="3228" spans="17:18" x14ac:dyDescent="0.3">
      <c r="Q3228" t="str">
        <f t="shared" si="105"/>
        <v/>
      </c>
      <c r="R3228" s="54" t="str">
        <f t="shared" si="104"/>
        <v/>
      </c>
    </row>
    <row r="3229" spans="17:18" x14ac:dyDescent="0.3">
      <c r="Q3229" t="str">
        <f t="shared" si="105"/>
        <v/>
      </c>
      <c r="R3229" s="54" t="str">
        <f t="shared" si="104"/>
        <v/>
      </c>
    </row>
    <row r="3230" spans="17:18" x14ac:dyDescent="0.3">
      <c r="Q3230" t="str">
        <f t="shared" si="105"/>
        <v/>
      </c>
      <c r="R3230" s="54" t="str">
        <f t="shared" si="104"/>
        <v/>
      </c>
    </row>
    <row r="3231" spans="17:18" x14ac:dyDescent="0.3">
      <c r="Q3231" t="str">
        <f t="shared" si="105"/>
        <v/>
      </c>
      <c r="R3231" s="54" t="str">
        <f t="shared" si="104"/>
        <v/>
      </c>
    </row>
    <row r="3232" spans="17:18" x14ac:dyDescent="0.3">
      <c r="Q3232" t="str">
        <f t="shared" si="105"/>
        <v/>
      </c>
      <c r="R3232" s="54" t="str">
        <f t="shared" si="104"/>
        <v/>
      </c>
    </row>
    <row r="3233" spans="17:18" x14ac:dyDescent="0.3">
      <c r="Q3233" t="str">
        <f t="shared" si="105"/>
        <v/>
      </c>
      <c r="R3233" s="54" t="str">
        <f t="shared" si="104"/>
        <v/>
      </c>
    </row>
    <row r="3234" spans="17:18" x14ac:dyDescent="0.3">
      <c r="Q3234" t="str">
        <f t="shared" si="105"/>
        <v/>
      </c>
      <c r="R3234" s="54" t="str">
        <f t="shared" si="104"/>
        <v/>
      </c>
    </row>
    <row r="3235" spans="17:18" x14ac:dyDescent="0.3">
      <c r="Q3235" t="str">
        <f t="shared" si="105"/>
        <v/>
      </c>
      <c r="R3235" s="54" t="str">
        <f t="shared" si="104"/>
        <v/>
      </c>
    </row>
    <row r="3236" spans="17:18" x14ac:dyDescent="0.3">
      <c r="Q3236" t="str">
        <f t="shared" si="105"/>
        <v/>
      </c>
      <c r="R3236" s="54" t="str">
        <f t="shared" si="104"/>
        <v/>
      </c>
    </row>
    <row r="3237" spans="17:18" x14ac:dyDescent="0.3">
      <c r="Q3237" t="str">
        <f t="shared" si="105"/>
        <v/>
      </c>
      <c r="R3237" s="54" t="str">
        <f t="shared" si="104"/>
        <v/>
      </c>
    </row>
    <row r="3238" spans="17:18" x14ac:dyDescent="0.3">
      <c r="Q3238" t="str">
        <f t="shared" si="105"/>
        <v/>
      </c>
      <c r="R3238" s="54" t="str">
        <f t="shared" si="104"/>
        <v/>
      </c>
    </row>
    <row r="3239" spans="17:18" x14ac:dyDescent="0.3">
      <c r="Q3239" t="str">
        <f t="shared" si="105"/>
        <v/>
      </c>
      <c r="R3239" s="54" t="str">
        <f t="shared" si="104"/>
        <v/>
      </c>
    </row>
    <row r="3240" spans="17:18" x14ac:dyDescent="0.3">
      <c r="Q3240" t="str">
        <f t="shared" si="105"/>
        <v/>
      </c>
      <c r="R3240" s="54" t="str">
        <f t="shared" si="104"/>
        <v/>
      </c>
    </row>
    <row r="3241" spans="17:18" x14ac:dyDescent="0.3">
      <c r="Q3241" t="str">
        <f t="shared" si="105"/>
        <v/>
      </c>
      <c r="R3241" s="54" t="str">
        <f t="shared" si="104"/>
        <v/>
      </c>
    </row>
    <row r="3242" spans="17:18" x14ac:dyDescent="0.3">
      <c r="Q3242" t="str">
        <f t="shared" si="105"/>
        <v/>
      </c>
      <c r="R3242" s="54" t="str">
        <f t="shared" si="104"/>
        <v/>
      </c>
    </row>
    <row r="3243" spans="17:18" x14ac:dyDescent="0.3">
      <c r="Q3243" t="str">
        <f t="shared" si="105"/>
        <v/>
      </c>
      <c r="R3243" s="54" t="str">
        <f t="shared" si="104"/>
        <v/>
      </c>
    </row>
    <row r="3244" spans="17:18" x14ac:dyDescent="0.3">
      <c r="Q3244" t="str">
        <f t="shared" si="105"/>
        <v/>
      </c>
      <c r="R3244" s="54" t="str">
        <f t="shared" si="104"/>
        <v/>
      </c>
    </row>
    <row r="3245" spans="17:18" x14ac:dyDescent="0.3">
      <c r="Q3245" t="str">
        <f t="shared" si="105"/>
        <v/>
      </c>
      <c r="R3245" s="54" t="str">
        <f t="shared" si="104"/>
        <v/>
      </c>
    </row>
    <row r="3246" spans="17:18" x14ac:dyDescent="0.3">
      <c r="Q3246" t="str">
        <f t="shared" si="105"/>
        <v/>
      </c>
      <c r="R3246" s="54" t="str">
        <f t="shared" si="104"/>
        <v/>
      </c>
    </row>
    <row r="3247" spans="17:18" x14ac:dyDescent="0.3">
      <c r="Q3247" t="str">
        <f t="shared" si="105"/>
        <v/>
      </c>
      <c r="R3247" s="54" t="str">
        <f t="shared" si="104"/>
        <v/>
      </c>
    </row>
    <row r="3248" spans="17:18" x14ac:dyDescent="0.3">
      <c r="Q3248" t="str">
        <f t="shared" si="105"/>
        <v/>
      </c>
      <c r="R3248" s="54" t="str">
        <f t="shared" si="104"/>
        <v/>
      </c>
    </row>
    <row r="3249" spans="17:18" x14ac:dyDescent="0.3">
      <c r="Q3249" t="str">
        <f t="shared" si="105"/>
        <v/>
      </c>
      <c r="R3249" s="54" t="str">
        <f t="shared" si="104"/>
        <v/>
      </c>
    </row>
    <row r="3250" spans="17:18" x14ac:dyDescent="0.3">
      <c r="Q3250" t="str">
        <f t="shared" si="105"/>
        <v/>
      </c>
      <c r="R3250" s="54" t="str">
        <f t="shared" si="104"/>
        <v/>
      </c>
    </row>
    <row r="3251" spans="17:18" x14ac:dyDescent="0.3">
      <c r="Q3251" t="str">
        <f t="shared" si="105"/>
        <v/>
      </c>
      <c r="R3251" s="54" t="str">
        <f t="shared" si="104"/>
        <v/>
      </c>
    </row>
    <row r="3252" spans="17:18" x14ac:dyDescent="0.3">
      <c r="Q3252" t="str">
        <f t="shared" si="105"/>
        <v/>
      </c>
      <c r="R3252" s="54" t="str">
        <f t="shared" si="104"/>
        <v/>
      </c>
    </row>
    <row r="3253" spans="17:18" x14ac:dyDescent="0.3">
      <c r="Q3253" t="str">
        <f t="shared" si="105"/>
        <v/>
      </c>
      <c r="R3253" s="54" t="str">
        <f t="shared" si="104"/>
        <v/>
      </c>
    </row>
    <row r="3254" spans="17:18" x14ac:dyDescent="0.3">
      <c r="Q3254" t="str">
        <f t="shared" si="105"/>
        <v/>
      </c>
      <c r="R3254" s="54" t="str">
        <f t="shared" si="104"/>
        <v/>
      </c>
    </row>
    <row r="3255" spans="17:18" x14ac:dyDescent="0.3">
      <c r="Q3255" t="str">
        <f t="shared" si="105"/>
        <v/>
      </c>
      <c r="R3255" s="54" t="str">
        <f t="shared" si="104"/>
        <v/>
      </c>
    </row>
    <row r="3256" spans="17:18" x14ac:dyDescent="0.3">
      <c r="Q3256" t="str">
        <f t="shared" si="105"/>
        <v/>
      </c>
      <c r="R3256" s="54" t="str">
        <f t="shared" si="104"/>
        <v/>
      </c>
    </row>
    <row r="3257" spans="17:18" x14ac:dyDescent="0.3">
      <c r="Q3257" t="str">
        <f t="shared" si="105"/>
        <v/>
      </c>
      <c r="R3257" s="54" t="str">
        <f t="shared" si="104"/>
        <v/>
      </c>
    </row>
    <row r="3258" spans="17:18" x14ac:dyDescent="0.3">
      <c r="Q3258" t="str">
        <f t="shared" si="105"/>
        <v/>
      </c>
      <c r="R3258" s="54" t="str">
        <f t="shared" si="104"/>
        <v/>
      </c>
    </row>
    <row r="3259" spans="17:18" x14ac:dyDescent="0.3">
      <c r="Q3259" t="str">
        <f t="shared" si="105"/>
        <v/>
      </c>
      <c r="R3259" s="54" t="str">
        <f t="shared" si="104"/>
        <v/>
      </c>
    </row>
    <row r="3260" spans="17:18" x14ac:dyDescent="0.3">
      <c r="Q3260" t="str">
        <f t="shared" si="105"/>
        <v/>
      </c>
      <c r="R3260" s="54" t="str">
        <f t="shared" si="104"/>
        <v/>
      </c>
    </row>
    <row r="3261" spans="17:18" x14ac:dyDescent="0.3">
      <c r="Q3261" t="str">
        <f t="shared" si="105"/>
        <v/>
      </c>
      <c r="R3261" s="54" t="str">
        <f t="shared" si="104"/>
        <v/>
      </c>
    </row>
    <row r="3262" spans="17:18" x14ac:dyDescent="0.3">
      <c r="Q3262" t="str">
        <f t="shared" si="105"/>
        <v/>
      </c>
      <c r="R3262" s="54" t="str">
        <f t="shared" si="104"/>
        <v/>
      </c>
    </row>
    <row r="3263" spans="17:18" x14ac:dyDescent="0.3">
      <c r="Q3263" t="str">
        <f t="shared" si="105"/>
        <v/>
      </c>
      <c r="R3263" s="54" t="str">
        <f t="shared" si="104"/>
        <v/>
      </c>
    </row>
    <row r="3264" spans="17:18" x14ac:dyDescent="0.3">
      <c r="Q3264" t="str">
        <f t="shared" si="105"/>
        <v/>
      </c>
      <c r="R3264" s="54" t="str">
        <f t="shared" si="104"/>
        <v/>
      </c>
    </row>
    <row r="3265" spans="17:18" x14ac:dyDescent="0.3">
      <c r="Q3265" t="str">
        <f t="shared" si="105"/>
        <v/>
      </c>
      <c r="R3265" s="54" t="str">
        <f t="shared" si="104"/>
        <v/>
      </c>
    </row>
    <row r="3266" spans="17:18" x14ac:dyDescent="0.3">
      <c r="Q3266" t="str">
        <f t="shared" si="105"/>
        <v/>
      </c>
      <c r="R3266" s="54" t="str">
        <f t="shared" si="104"/>
        <v/>
      </c>
    </row>
    <row r="3267" spans="17:18" x14ac:dyDescent="0.3">
      <c r="Q3267" t="str">
        <f t="shared" si="105"/>
        <v/>
      </c>
      <c r="R3267" s="54" t="str">
        <f t="shared" ref="R3267:R3330" si="106">IF(F3281="","",IFERROR(IF(ISNUMBER(F3281),F3281,DATEVALUE(F3281)),""))</f>
        <v/>
      </c>
    </row>
    <row r="3268" spans="17:18" x14ac:dyDescent="0.3">
      <c r="Q3268" t="str">
        <f t="shared" si="105"/>
        <v/>
      </c>
      <c r="R3268" s="54" t="str">
        <f t="shared" si="106"/>
        <v/>
      </c>
    </row>
    <row r="3269" spans="17:18" x14ac:dyDescent="0.3">
      <c r="Q3269" t="str">
        <f t="shared" si="105"/>
        <v/>
      </c>
      <c r="R3269" s="54" t="str">
        <f t="shared" si="106"/>
        <v/>
      </c>
    </row>
    <row r="3270" spans="17:18" x14ac:dyDescent="0.3">
      <c r="Q3270" t="str">
        <f t="shared" si="105"/>
        <v/>
      </c>
      <c r="R3270" s="54" t="str">
        <f t="shared" si="106"/>
        <v/>
      </c>
    </row>
    <row r="3271" spans="17:18" x14ac:dyDescent="0.3">
      <c r="Q3271" t="str">
        <f t="shared" si="105"/>
        <v/>
      </c>
      <c r="R3271" s="54" t="str">
        <f t="shared" si="106"/>
        <v/>
      </c>
    </row>
    <row r="3272" spans="17:18" x14ac:dyDescent="0.3">
      <c r="Q3272" t="str">
        <f t="shared" si="105"/>
        <v/>
      </c>
      <c r="R3272" s="54" t="str">
        <f t="shared" si="106"/>
        <v/>
      </c>
    </row>
    <row r="3273" spans="17:18" x14ac:dyDescent="0.3">
      <c r="Q3273" t="str">
        <f t="shared" si="105"/>
        <v/>
      </c>
      <c r="R3273" s="54" t="str">
        <f t="shared" si="106"/>
        <v/>
      </c>
    </row>
    <row r="3274" spans="17:18" x14ac:dyDescent="0.3">
      <c r="Q3274" t="str">
        <f t="shared" si="105"/>
        <v/>
      </c>
      <c r="R3274" s="54" t="str">
        <f t="shared" si="106"/>
        <v/>
      </c>
    </row>
    <row r="3275" spans="17:18" x14ac:dyDescent="0.3">
      <c r="Q3275" t="str">
        <f t="shared" si="105"/>
        <v/>
      </c>
      <c r="R3275" s="54" t="str">
        <f t="shared" si="106"/>
        <v/>
      </c>
    </row>
    <row r="3276" spans="17:18" x14ac:dyDescent="0.3">
      <c r="Q3276" t="str">
        <f t="shared" si="105"/>
        <v/>
      </c>
      <c r="R3276" s="54" t="str">
        <f t="shared" si="106"/>
        <v/>
      </c>
    </row>
    <row r="3277" spans="17:18" x14ac:dyDescent="0.3">
      <c r="Q3277" t="str">
        <f t="shared" si="105"/>
        <v/>
      </c>
      <c r="R3277" s="54" t="str">
        <f t="shared" si="106"/>
        <v/>
      </c>
    </row>
    <row r="3278" spans="17:18" x14ac:dyDescent="0.3">
      <c r="Q3278" t="str">
        <f t="shared" si="105"/>
        <v/>
      </c>
      <c r="R3278" s="54" t="str">
        <f t="shared" si="106"/>
        <v/>
      </c>
    </row>
    <row r="3279" spans="17:18" x14ac:dyDescent="0.3">
      <c r="Q3279" t="str">
        <f t="shared" si="105"/>
        <v/>
      </c>
      <c r="R3279" s="54" t="str">
        <f t="shared" si="106"/>
        <v/>
      </c>
    </row>
    <row r="3280" spans="17:18" x14ac:dyDescent="0.3">
      <c r="Q3280" t="str">
        <f t="shared" si="105"/>
        <v/>
      </c>
      <c r="R3280" s="54" t="str">
        <f t="shared" si="106"/>
        <v/>
      </c>
    </row>
    <row r="3281" spans="17:18" x14ac:dyDescent="0.3">
      <c r="Q3281" t="str">
        <f t="shared" si="105"/>
        <v/>
      </c>
      <c r="R3281" s="54" t="str">
        <f t="shared" si="106"/>
        <v/>
      </c>
    </row>
    <row r="3282" spans="17:18" x14ac:dyDescent="0.3">
      <c r="Q3282" t="str">
        <f t="shared" si="105"/>
        <v/>
      </c>
      <c r="R3282" s="54" t="str">
        <f t="shared" si="106"/>
        <v/>
      </c>
    </row>
    <row r="3283" spans="17:18" x14ac:dyDescent="0.3">
      <c r="Q3283" t="str">
        <f t="shared" si="105"/>
        <v/>
      </c>
      <c r="R3283" s="54" t="str">
        <f t="shared" si="106"/>
        <v/>
      </c>
    </row>
    <row r="3284" spans="17:18" x14ac:dyDescent="0.3">
      <c r="Q3284" t="str">
        <f t="shared" si="105"/>
        <v/>
      </c>
      <c r="R3284" s="54" t="str">
        <f t="shared" si="106"/>
        <v/>
      </c>
    </row>
    <row r="3285" spans="17:18" x14ac:dyDescent="0.3">
      <c r="Q3285" t="str">
        <f t="shared" si="105"/>
        <v/>
      </c>
      <c r="R3285" s="54" t="str">
        <f t="shared" si="106"/>
        <v/>
      </c>
    </row>
    <row r="3286" spans="17:18" x14ac:dyDescent="0.3">
      <c r="Q3286" t="str">
        <f t="shared" si="105"/>
        <v/>
      </c>
      <c r="R3286" s="54" t="str">
        <f t="shared" si="106"/>
        <v/>
      </c>
    </row>
    <row r="3287" spans="17:18" x14ac:dyDescent="0.3">
      <c r="Q3287" t="str">
        <f t="shared" ref="Q3287:Q3350" si="107">IF(COUNTA(A3287:P3287)=0,"",IF(ISNUMBER(SEARCH("-AR-",E3301)),"Architectural",IF(ISNUMBER(SEARCH("-ST-",E3301)),"Structural",IF(ISNUMBER(SEARCH("-ME-",E3301)),"Mechanical",IF(ISNUMBER(SEARCH("-EL-",E3301)),"Electrical",IF(ISNUMBER(SEARCH("-GE-",E3301)),"General",IF(ISNUMBER(SEARCH("-AR-",D3301)),"Architectural",IF(ISNUMBER(SEARCH("-ST-",D3301)),"Structural",IF(ISNUMBER(SEARCH("-ME-",D3301)),"Mechanical",IF(ISNUMBER(SEARCH("-EL-",D3301)),"Electrical",IF(ISNUMBER(SEARCH("-GE-",D3301)),"General","Other")))))))))))</f>
        <v/>
      </c>
      <c r="R3287" s="54" t="str">
        <f t="shared" si="106"/>
        <v/>
      </c>
    </row>
    <row r="3288" spans="17:18" x14ac:dyDescent="0.3">
      <c r="Q3288" t="str">
        <f t="shared" si="107"/>
        <v/>
      </c>
      <c r="R3288" s="54" t="str">
        <f t="shared" si="106"/>
        <v/>
      </c>
    </row>
    <row r="3289" spans="17:18" x14ac:dyDescent="0.3">
      <c r="Q3289" t="str">
        <f t="shared" si="107"/>
        <v/>
      </c>
      <c r="R3289" s="54" t="str">
        <f t="shared" si="106"/>
        <v/>
      </c>
    </row>
    <row r="3290" spans="17:18" x14ac:dyDescent="0.3">
      <c r="Q3290" t="str">
        <f t="shared" si="107"/>
        <v/>
      </c>
      <c r="R3290" s="54" t="str">
        <f t="shared" si="106"/>
        <v/>
      </c>
    </row>
    <row r="3291" spans="17:18" x14ac:dyDescent="0.3">
      <c r="Q3291" t="str">
        <f t="shared" si="107"/>
        <v/>
      </c>
      <c r="R3291" s="54" t="str">
        <f t="shared" si="106"/>
        <v/>
      </c>
    </row>
    <row r="3292" spans="17:18" x14ac:dyDescent="0.3">
      <c r="Q3292" t="str">
        <f t="shared" si="107"/>
        <v/>
      </c>
      <c r="R3292" s="54" t="str">
        <f t="shared" si="106"/>
        <v/>
      </c>
    </row>
    <row r="3293" spans="17:18" x14ac:dyDescent="0.3">
      <c r="Q3293" t="str">
        <f t="shared" si="107"/>
        <v/>
      </c>
      <c r="R3293" s="54" t="str">
        <f t="shared" si="106"/>
        <v/>
      </c>
    </row>
    <row r="3294" spans="17:18" x14ac:dyDescent="0.3">
      <c r="Q3294" t="str">
        <f t="shared" si="107"/>
        <v/>
      </c>
      <c r="R3294" s="54" t="str">
        <f t="shared" si="106"/>
        <v/>
      </c>
    </row>
    <row r="3295" spans="17:18" x14ac:dyDescent="0.3">
      <c r="Q3295" t="str">
        <f t="shared" si="107"/>
        <v/>
      </c>
      <c r="R3295" s="54" t="str">
        <f t="shared" si="106"/>
        <v/>
      </c>
    </row>
    <row r="3296" spans="17:18" x14ac:dyDescent="0.3">
      <c r="Q3296" t="str">
        <f t="shared" si="107"/>
        <v/>
      </c>
      <c r="R3296" s="54" t="str">
        <f t="shared" si="106"/>
        <v/>
      </c>
    </row>
    <row r="3297" spans="17:18" x14ac:dyDescent="0.3">
      <c r="Q3297" t="str">
        <f t="shared" si="107"/>
        <v/>
      </c>
      <c r="R3297" s="54" t="str">
        <f t="shared" si="106"/>
        <v/>
      </c>
    </row>
    <row r="3298" spans="17:18" x14ac:dyDescent="0.3">
      <c r="Q3298" t="str">
        <f t="shared" si="107"/>
        <v/>
      </c>
      <c r="R3298" s="54" t="str">
        <f t="shared" si="106"/>
        <v/>
      </c>
    </row>
    <row r="3299" spans="17:18" x14ac:dyDescent="0.3">
      <c r="Q3299" t="str">
        <f t="shared" si="107"/>
        <v/>
      </c>
      <c r="R3299" s="54" t="str">
        <f t="shared" si="106"/>
        <v/>
      </c>
    </row>
    <row r="3300" spans="17:18" x14ac:dyDescent="0.3">
      <c r="Q3300" t="str">
        <f t="shared" si="107"/>
        <v/>
      </c>
      <c r="R3300" s="54" t="str">
        <f t="shared" si="106"/>
        <v/>
      </c>
    </row>
    <row r="3301" spans="17:18" x14ac:dyDescent="0.3">
      <c r="Q3301" t="str">
        <f t="shared" si="107"/>
        <v/>
      </c>
      <c r="R3301" s="54" t="str">
        <f t="shared" si="106"/>
        <v/>
      </c>
    </row>
    <row r="3302" spans="17:18" x14ac:dyDescent="0.3">
      <c r="Q3302" t="str">
        <f t="shared" si="107"/>
        <v/>
      </c>
      <c r="R3302" s="54" t="str">
        <f t="shared" si="106"/>
        <v/>
      </c>
    </row>
    <row r="3303" spans="17:18" x14ac:dyDescent="0.3">
      <c r="Q3303" t="str">
        <f t="shared" si="107"/>
        <v/>
      </c>
      <c r="R3303" s="54" t="str">
        <f t="shared" si="106"/>
        <v/>
      </c>
    </row>
    <row r="3304" spans="17:18" x14ac:dyDescent="0.3">
      <c r="Q3304" t="str">
        <f t="shared" si="107"/>
        <v/>
      </c>
      <c r="R3304" s="54" t="str">
        <f t="shared" si="106"/>
        <v/>
      </c>
    </row>
    <row r="3305" spans="17:18" x14ac:dyDescent="0.3">
      <c r="Q3305" t="str">
        <f t="shared" si="107"/>
        <v/>
      </c>
      <c r="R3305" s="54" t="str">
        <f t="shared" si="106"/>
        <v/>
      </c>
    </row>
    <row r="3306" spans="17:18" x14ac:dyDescent="0.3">
      <c r="Q3306" t="str">
        <f t="shared" si="107"/>
        <v/>
      </c>
      <c r="R3306" s="54" t="str">
        <f t="shared" si="106"/>
        <v/>
      </c>
    </row>
    <row r="3307" spans="17:18" x14ac:dyDescent="0.3">
      <c r="Q3307" t="str">
        <f t="shared" si="107"/>
        <v/>
      </c>
      <c r="R3307" s="54" t="str">
        <f t="shared" si="106"/>
        <v/>
      </c>
    </row>
    <row r="3308" spans="17:18" x14ac:dyDescent="0.3">
      <c r="Q3308" t="str">
        <f t="shared" si="107"/>
        <v/>
      </c>
      <c r="R3308" s="54" t="str">
        <f t="shared" si="106"/>
        <v/>
      </c>
    </row>
    <row r="3309" spans="17:18" x14ac:dyDescent="0.3">
      <c r="Q3309" t="str">
        <f t="shared" si="107"/>
        <v/>
      </c>
      <c r="R3309" s="54" t="str">
        <f t="shared" si="106"/>
        <v/>
      </c>
    </row>
    <row r="3310" spans="17:18" x14ac:dyDescent="0.3">
      <c r="Q3310" t="str">
        <f t="shared" si="107"/>
        <v/>
      </c>
      <c r="R3310" s="54" t="str">
        <f t="shared" si="106"/>
        <v/>
      </c>
    </row>
    <row r="3311" spans="17:18" x14ac:dyDescent="0.3">
      <c r="Q3311" t="str">
        <f t="shared" si="107"/>
        <v/>
      </c>
      <c r="R3311" s="54" t="str">
        <f t="shared" si="106"/>
        <v/>
      </c>
    </row>
    <row r="3312" spans="17:18" x14ac:dyDescent="0.3">
      <c r="Q3312" t="str">
        <f t="shared" si="107"/>
        <v/>
      </c>
      <c r="R3312" s="54" t="str">
        <f t="shared" si="106"/>
        <v/>
      </c>
    </row>
    <row r="3313" spans="17:18" x14ac:dyDescent="0.3">
      <c r="Q3313" t="str">
        <f t="shared" si="107"/>
        <v/>
      </c>
      <c r="R3313" s="54" t="str">
        <f t="shared" si="106"/>
        <v/>
      </c>
    </row>
    <row r="3314" spans="17:18" x14ac:dyDescent="0.3">
      <c r="Q3314" t="str">
        <f t="shared" si="107"/>
        <v/>
      </c>
      <c r="R3314" s="54" t="str">
        <f t="shared" si="106"/>
        <v/>
      </c>
    </row>
    <row r="3315" spans="17:18" x14ac:dyDescent="0.3">
      <c r="Q3315" t="str">
        <f t="shared" si="107"/>
        <v/>
      </c>
      <c r="R3315" s="54" t="str">
        <f t="shared" si="106"/>
        <v/>
      </c>
    </row>
    <row r="3316" spans="17:18" x14ac:dyDescent="0.3">
      <c r="Q3316" t="str">
        <f t="shared" si="107"/>
        <v/>
      </c>
      <c r="R3316" s="54" t="str">
        <f t="shared" si="106"/>
        <v/>
      </c>
    </row>
    <row r="3317" spans="17:18" x14ac:dyDescent="0.3">
      <c r="Q3317" t="str">
        <f t="shared" si="107"/>
        <v/>
      </c>
      <c r="R3317" s="54" t="str">
        <f t="shared" si="106"/>
        <v/>
      </c>
    </row>
    <row r="3318" spans="17:18" x14ac:dyDescent="0.3">
      <c r="Q3318" t="str">
        <f t="shared" si="107"/>
        <v/>
      </c>
      <c r="R3318" s="54" t="str">
        <f t="shared" si="106"/>
        <v/>
      </c>
    </row>
    <row r="3319" spans="17:18" x14ac:dyDescent="0.3">
      <c r="Q3319" t="str">
        <f t="shared" si="107"/>
        <v/>
      </c>
      <c r="R3319" s="54" t="str">
        <f t="shared" si="106"/>
        <v/>
      </c>
    </row>
    <row r="3320" spans="17:18" x14ac:dyDescent="0.3">
      <c r="Q3320" t="str">
        <f t="shared" si="107"/>
        <v/>
      </c>
      <c r="R3320" s="54" t="str">
        <f t="shared" si="106"/>
        <v/>
      </c>
    </row>
    <row r="3321" spans="17:18" x14ac:dyDescent="0.3">
      <c r="Q3321" t="str">
        <f t="shared" si="107"/>
        <v/>
      </c>
      <c r="R3321" s="54" t="str">
        <f t="shared" si="106"/>
        <v/>
      </c>
    </row>
    <row r="3322" spans="17:18" x14ac:dyDescent="0.3">
      <c r="Q3322" t="str">
        <f t="shared" si="107"/>
        <v/>
      </c>
      <c r="R3322" s="54" t="str">
        <f t="shared" si="106"/>
        <v/>
      </c>
    </row>
    <row r="3323" spans="17:18" x14ac:dyDescent="0.3">
      <c r="Q3323" t="str">
        <f t="shared" si="107"/>
        <v/>
      </c>
      <c r="R3323" s="54" t="str">
        <f t="shared" si="106"/>
        <v/>
      </c>
    </row>
    <row r="3324" spans="17:18" x14ac:dyDescent="0.3">
      <c r="Q3324" t="str">
        <f t="shared" si="107"/>
        <v/>
      </c>
      <c r="R3324" s="54" t="str">
        <f t="shared" si="106"/>
        <v/>
      </c>
    </row>
    <row r="3325" spans="17:18" x14ac:dyDescent="0.3">
      <c r="Q3325" t="str">
        <f t="shared" si="107"/>
        <v/>
      </c>
      <c r="R3325" s="54" t="str">
        <f t="shared" si="106"/>
        <v/>
      </c>
    </row>
    <row r="3326" spans="17:18" x14ac:dyDescent="0.3">
      <c r="Q3326" t="str">
        <f t="shared" si="107"/>
        <v/>
      </c>
      <c r="R3326" s="54" t="str">
        <f t="shared" si="106"/>
        <v/>
      </c>
    </row>
    <row r="3327" spans="17:18" x14ac:dyDescent="0.3">
      <c r="Q3327" t="str">
        <f t="shared" si="107"/>
        <v/>
      </c>
      <c r="R3327" s="54" t="str">
        <f t="shared" si="106"/>
        <v/>
      </c>
    </row>
    <row r="3328" spans="17:18" x14ac:dyDescent="0.3">
      <c r="Q3328" t="str">
        <f t="shared" si="107"/>
        <v/>
      </c>
      <c r="R3328" s="54" t="str">
        <f t="shared" si="106"/>
        <v/>
      </c>
    </row>
    <row r="3329" spans="17:18" x14ac:dyDescent="0.3">
      <c r="Q3329" t="str">
        <f t="shared" si="107"/>
        <v/>
      </c>
      <c r="R3329" s="54" t="str">
        <f t="shared" si="106"/>
        <v/>
      </c>
    </row>
    <row r="3330" spans="17:18" x14ac:dyDescent="0.3">
      <c r="Q3330" t="str">
        <f t="shared" si="107"/>
        <v/>
      </c>
      <c r="R3330" s="54" t="str">
        <f t="shared" si="106"/>
        <v/>
      </c>
    </row>
    <row r="3331" spans="17:18" x14ac:dyDescent="0.3">
      <c r="Q3331" t="str">
        <f t="shared" si="107"/>
        <v/>
      </c>
      <c r="R3331" s="54" t="str">
        <f t="shared" ref="R3331:R3394" si="108">IF(F3345="","",IFERROR(IF(ISNUMBER(F3345),F3345,DATEVALUE(F3345)),""))</f>
        <v/>
      </c>
    </row>
    <row r="3332" spans="17:18" x14ac:dyDescent="0.3">
      <c r="Q3332" t="str">
        <f t="shared" si="107"/>
        <v/>
      </c>
      <c r="R3332" s="54" t="str">
        <f t="shared" si="108"/>
        <v/>
      </c>
    </row>
    <row r="3333" spans="17:18" x14ac:dyDescent="0.3">
      <c r="Q3333" t="str">
        <f t="shared" si="107"/>
        <v/>
      </c>
      <c r="R3333" s="54" t="str">
        <f t="shared" si="108"/>
        <v/>
      </c>
    </row>
    <row r="3334" spans="17:18" x14ac:dyDescent="0.3">
      <c r="Q3334" t="str">
        <f t="shared" si="107"/>
        <v/>
      </c>
      <c r="R3334" s="54" t="str">
        <f t="shared" si="108"/>
        <v/>
      </c>
    </row>
    <row r="3335" spans="17:18" x14ac:dyDescent="0.3">
      <c r="Q3335" t="str">
        <f t="shared" si="107"/>
        <v/>
      </c>
      <c r="R3335" s="54" t="str">
        <f t="shared" si="108"/>
        <v/>
      </c>
    </row>
    <row r="3336" spans="17:18" x14ac:dyDescent="0.3">
      <c r="Q3336" t="str">
        <f t="shared" si="107"/>
        <v/>
      </c>
      <c r="R3336" s="54" t="str">
        <f t="shared" si="108"/>
        <v/>
      </c>
    </row>
    <row r="3337" spans="17:18" x14ac:dyDescent="0.3">
      <c r="Q3337" t="str">
        <f t="shared" si="107"/>
        <v/>
      </c>
      <c r="R3337" s="54" t="str">
        <f t="shared" si="108"/>
        <v/>
      </c>
    </row>
    <row r="3338" spans="17:18" x14ac:dyDescent="0.3">
      <c r="Q3338" t="str">
        <f t="shared" si="107"/>
        <v/>
      </c>
      <c r="R3338" s="54" t="str">
        <f t="shared" si="108"/>
        <v/>
      </c>
    </row>
    <row r="3339" spans="17:18" x14ac:dyDescent="0.3">
      <c r="Q3339" t="str">
        <f t="shared" si="107"/>
        <v/>
      </c>
      <c r="R3339" s="54" t="str">
        <f t="shared" si="108"/>
        <v/>
      </c>
    </row>
    <row r="3340" spans="17:18" x14ac:dyDescent="0.3">
      <c r="Q3340" t="str">
        <f t="shared" si="107"/>
        <v/>
      </c>
      <c r="R3340" s="54" t="str">
        <f t="shared" si="108"/>
        <v/>
      </c>
    </row>
    <row r="3341" spans="17:18" x14ac:dyDescent="0.3">
      <c r="Q3341" t="str">
        <f t="shared" si="107"/>
        <v/>
      </c>
      <c r="R3341" s="54" t="str">
        <f t="shared" si="108"/>
        <v/>
      </c>
    </row>
    <row r="3342" spans="17:18" x14ac:dyDescent="0.3">
      <c r="Q3342" t="str">
        <f t="shared" si="107"/>
        <v/>
      </c>
      <c r="R3342" s="54" t="str">
        <f t="shared" si="108"/>
        <v/>
      </c>
    </row>
    <row r="3343" spans="17:18" x14ac:dyDescent="0.3">
      <c r="Q3343" t="str">
        <f t="shared" si="107"/>
        <v/>
      </c>
      <c r="R3343" s="54" t="str">
        <f t="shared" si="108"/>
        <v/>
      </c>
    </row>
    <row r="3344" spans="17:18" x14ac:dyDescent="0.3">
      <c r="Q3344" t="str">
        <f t="shared" si="107"/>
        <v/>
      </c>
      <c r="R3344" s="54" t="str">
        <f t="shared" si="108"/>
        <v/>
      </c>
    </row>
    <row r="3345" spans="17:18" x14ac:dyDescent="0.3">
      <c r="Q3345" t="str">
        <f t="shared" si="107"/>
        <v/>
      </c>
      <c r="R3345" s="54" t="str">
        <f t="shared" si="108"/>
        <v/>
      </c>
    </row>
    <row r="3346" spans="17:18" x14ac:dyDescent="0.3">
      <c r="Q3346" t="str">
        <f t="shared" si="107"/>
        <v/>
      </c>
      <c r="R3346" s="54" t="str">
        <f t="shared" si="108"/>
        <v/>
      </c>
    </row>
    <row r="3347" spans="17:18" x14ac:dyDescent="0.3">
      <c r="Q3347" t="str">
        <f t="shared" si="107"/>
        <v/>
      </c>
      <c r="R3347" s="54" t="str">
        <f t="shared" si="108"/>
        <v/>
      </c>
    </row>
    <row r="3348" spans="17:18" x14ac:dyDescent="0.3">
      <c r="Q3348" t="str">
        <f t="shared" si="107"/>
        <v/>
      </c>
      <c r="R3348" s="54" t="str">
        <f t="shared" si="108"/>
        <v/>
      </c>
    </row>
    <row r="3349" spans="17:18" x14ac:dyDescent="0.3">
      <c r="Q3349" t="str">
        <f t="shared" si="107"/>
        <v/>
      </c>
      <c r="R3349" s="54" t="str">
        <f t="shared" si="108"/>
        <v/>
      </c>
    </row>
    <row r="3350" spans="17:18" x14ac:dyDescent="0.3">
      <c r="Q3350" t="str">
        <f t="shared" si="107"/>
        <v/>
      </c>
      <c r="R3350" s="54" t="str">
        <f t="shared" si="108"/>
        <v/>
      </c>
    </row>
    <row r="3351" spans="17:18" x14ac:dyDescent="0.3">
      <c r="Q3351" t="str">
        <f t="shared" ref="Q3351:Q3414" si="109">IF(COUNTA(A3351:P3351)=0,"",IF(ISNUMBER(SEARCH("-AR-",E3365)),"Architectural",IF(ISNUMBER(SEARCH("-ST-",E3365)),"Structural",IF(ISNUMBER(SEARCH("-ME-",E3365)),"Mechanical",IF(ISNUMBER(SEARCH("-EL-",E3365)),"Electrical",IF(ISNUMBER(SEARCH("-GE-",E3365)),"General",IF(ISNUMBER(SEARCH("-AR-",D3365)),"Architectural",IF(ISNUMBER(SEARCH("-ST-",D3365)),"Structural",IF(ISNUMBER(SEARCH("-ME-",D3365)),"Mechanical",IF(ISNUMBER(SEARCH("-EL-",D3365)),"Electrical",IF(ISNUMBER(SEARCH("-GE-",D3365)),"General","Other")))))))))))</f>
        <v/>
      </c>
      <c r="R3351" s="54" t="str">
        <f t="shared" si="108"/>
        <v/>
      </c>
    </row>
    <row r="3352" spans="17:18" x14ac:dyDescent="0.3">
      <c r="Q3352" t="str">
        <f t="shared" si="109"/>
        <v/>
      </c>
      <c r="R3352" s="54" t="str">
        <f t="shared" si="108"/>
        <v/>
      </c>
    </row>
    <row r="3353" spans="17:18" x14ac:dyDescent="0.3">
      <c r="Q3353" t="str">
        <f t="shared" si="109"/>
        <v/>
      </c>
      <c r="R3353" s="54" t="str">
        <f t="shared" si="108"/>
        <v/>
      </c>
    </row>
    <row r="3354" spans="17:18" x14ac:dyDescent="0.3">
      <c r="Q3354" t="str">
        <f t="shared" si="109"/>
        <v/>
      </c>
      <c r="R3354" s="54" t="str">
        <f t="shared" si="108"/>
        <v/>
      </c>
    </row>
    <row r="3355" spans="17:18" x14ac:dyDescent="0.3">
      <c r="Q3355" t="str">
        <f t="shared" si="109"/>
        <v/>
      </c>
      <c r="R3355" s="54" t="str">
        <f t="shared" si="108"/>
        <v/>
      </c>
    </row>
    <row r="3356" spans="17:18" x14ac:dyDescent="0.3">
      <c r="Q3356" t="str">
        <f t="shared" si="109"/>
        <v/>
      </c>
      <c r="R3356" s="54" t="str">
        <f t="shared" si="108"/>
        <v/>
      </c>
    </row>
    <row r="3357" spans="17:18" x14ac:dyDescent="0.3">
      <c r="Q3357" t="str">
        <f t="shared" si="109"/>
        <v/>
      </c>
      <c r="R3357" s="54" t="str">
        <f t="shared" si="108"/>
        <v/>
      </c>
    </row>
    <row r="3358" spans="17:18" x14ac:dyDescent="0.3">
      <c r="Q3358" t="str">
        <f t="shared" si="109"/>
        <v/>
      </c>
      <c r="R3358" s="54" t="str">
        <f t="shared" si="108"/>
        <v/>
      </c>
    </row>
    <row r="3359" spans="17:18" x14ac:dyDescent="0.3">
      <c r="Q3359" t="str">
        <f t="shared" si="109"/>
        <v/>
      </c>
      <c r="R3359" s="54" t="str">
        <f t="shared" si="108"/>
        <v/>
      </c>
    </row>
    <row r="3360" spans="17:18" x14ac:dyDescent="0.3">
      <c r="Q3360" t="str">
        <f t="shared" si="109"/>
        <v/>
      </c>
      <c r="R3360" s="54" t="str">
        <f t="shared" si="108"/>
        <v/>
      </c>
    </row>
    <row r="3361" spans="17:18" x14ac:dyDescent="0.3">
      <c r="Q3361" t="str">
        <f t="shared" si="109"/>
        <v/>
      </c>
      <c r="R3361" s="54" t="str">
        <f t="shared" si="108"/>
        <v/>
      </c>
    </row>
    <row r="3362" spans="17:18" x14ac:dyDescent="0.3">
      <c r="Q3362" t="str">
        <f t="shared" si="109"/>
        <v/>
      </c>
      <c r="R3362" s="54" t="str">
        <f t="shared" si="108"/>
        <v/>
      </c>
    </row>
    <row r="3363" spans="17:18" x14ac:dyDescent="0.3">
      <c r="Q3363" t="str">
        <f t="shared" si="109"/>
        <v/>
      </c>
      <c r="R3363" s="54" t="str">
        <f t="shared" si="108"/>
        <v/>
      </c>
    </row>
    <row r="3364" spans="17:18" x14ac:dyDescent="0.3">
      <c r="Q3364" t="str">
        <f t="shared" si="109"/>
        <v/>
      </c>
      <c r="R3364" s="54" t="str">
        <f t="shared" si="108"/>
        <v/>
      </c>
    </row>
    <row r="3365" spans="17:18" x14ac:dyDescent="0.3">
      <c r="Q3365" t="str">
        <f t="shared" si="109"/>
        <v/>
      </c>
      <c r="R3365" s="54" t="str">
        <f t="shared" si="108"/>
        <v/>
      </c>
    </row>
    <row r="3366" spans="17:18" x14ac:dyDescent="0.3">
      <c r="Q3366" t="str">
        <f t="shared" si="109"/>
        <v/>
      </c>
      <c r="R3366" s="54" t="str">
        <f t="shared" si="108"/>
        <v/>
      </c>
    </row>
    <row r="3367" spans="17:18" x14ac:dyDescent="0.3">
      <c r="Q3367" t="str">
        <f t="shared" si="109"/>
        <v/>
      </c>
      <c r="R3367" s="54" t="str">
        <f t="shared" si="108"/>
        <v/>
      </c>
    </row>
    <row r="3368" spans="17:18" x14ac:dyDescent="0.3">
      <c r="Q3368" t="str">
        <f t="shared" si="109"/>
        <v/>
      </c>
      <c r="R3368" s="54" t="str">
        <f t="shared" si="108"/>
        <v/>
      </c>
    </row>
    <row r="3369" spans="17:18" x14ac:dyDescent="0.3">
      <c r="Q3369" t="str">
        <f t="shared" si="109"/>
        <v/>
      </c>
      <c r="R3369" s="54" t="str">
        <f t="shared" si="108"/>
        <v/>
      </c>
    </row>
    <row r="3370" spans="17:18" x14ac:dyDescent="0.3">
      <c r="Q3370" t="str">
        <f t="shared" si="109"/>
        <v/>
      </c>
      <c r="R3370" s="54" t="str">
        <f t="shared" si="108"/>
        <v/>
      </c>
    </row>
    <row r="3371" spans="17:18" x14ac:dyDescent="0.3">
      <c r="Q3371" t="str">
        <f t="shared" si="109"/>
        <v/>
      </c>
      <c r="R3371" s="54" t="str">
        <f t="shared" si="108"/>
        <v/>
      </c>
    </row>
    <row r="3372" spans="17:18" x14ac:dyDescent="0.3">
      <c r="Q3372" t="str">
        <f t="shared" si="109"/>
        <v/>
      </c>
      <c r="R3372" s="54" t="str">
        <f t="shared" si="108"/>
        <v/>
      </c>
    </row>
    <row r="3373" spans="17:18" x14ac:dyDescent="0.3">
      <c r="Q3373" t="str">
        <f t="shared" si="109"/>
        <v/>
      </c>
      <c r="R3373" s="54" t="str">
        <f t="shared" si="108"/>
        <v/>
      </c>
    </row>
    <row r="3374" spans="17:18" x14ac:dyDescent="0.3">
      <c r="Q3374" t="str">
        <f t="shared" si="109"/>
        <v/>
      </c>
      <c r="R3374" s="54" t="str">
        <f t="shared" si="108"/>
        <v/>
      </c>
    </row>
    <row r="3375" spans="17:18" x14ac:dyDescent="0.3">
      <c r="Q3375" t="str">
        <f t="shared" si="109"/>
        <v/>
      </c>
      <c r="R3375" s="54" t="str">
        <f t="shared" si="108"/>
        <v/>
      </c>
    </row>
    <row r="3376" spans="17:18" x14ac:dyDescent="0.3">
      <c r="Q3376" t="str">
        <f t="shared" si="109"/>
        <v/>
      </c>
      <c r="R3376" s="54" t="str">
        <f t="shared" si="108"/>
        <v/>
      </c>
    </row>
    <row r="3377" spans="17:18" x14ac:dyDescent="0.3">
      <c r="Q3377" t="str">
        <f t="shared" si="109"/>
        <v/>
      </c>
      <c r="R3377" s="54" t="str">
        <f t="shared" si="108"/>
        <v/>
      </c>
    </row>
    <row r="3378" spans="17:18" x14ac:dyDescent="0.3">
      <c r="Q3378" t="str">
        <f t="shared" si="109"/>
        <v/>
      </c>
      <c r="R3378" s="54" t="str">
        <f t="shared" si="108"/>
        <v/>
      </c>
    </row>
    <row r="3379" spans="17:18" x14ac:dyDescent="0.3">
      <c r="Q3379" t="str">
        <f t="shared" si="109"/>
        <v/>
      </c>
      <c r="R3379" s="54" t="str">
        <f t="shared" si="108"/>
        <v/>
      </c>
    </row>
    <row r="3380" spans="17:18" x14ac:dyDescent="0.3">
      <c r="Q3380" t="str">
        <f t="shared" si="109"/>
        <v/>
      </c>
      <c r="R3380" s="54" t="str">
        <f t="shared" si="108"/>
        <v/>
      </c>
    </row>
    <row r="3381" spans="17:18" x14ac:dyDescent="0.3">
      <c r="Q3381" t="str">
        <f t="shared" si="109"/>
        <v/>
      </c>
      <c r="R3381" s="54" t="str">
        <f t="shared" si="108"/>
        <v/>
      </c>
    </row>
    <row r="3382" spans="17:18" x14ac:dyDescent="0.3">
      <c r="Q3382" t="str">
        <f t="shared" si="109"/>
        <v/>
      </c>
      <c r="R3382" s="54" t="str">
        <f t="shared" si="108"/>
        <v/>
      </c>
    </row>
    <row r="3383" spans="17:18" x14ac:dyDescent="0.3">
      <c r="Q3383" t="str">
        <f t="shared" si="109"/>
        <v/>
      </c>
      <c r="R3383" s="54" t="str">
        <f t="shared" si="108"/>
        <v/>
      </c>
    </row>
    <row r="3384" spans="17:18" x14ac:dyDescent="0.3">
      <c r="Q3384" t="str">
        <f t="shared" si="109"/>
        <v/>
      </c>
      <c r="R3384" s="54" t="str">
        <f t="shared" si="108"/>
        <v/>
      </c>
    </row>
    <row r="3385" spans="17:18" x14ac:dyDescent="0.3">
      <c r="Q3385" t="str">
        <f t="shared" si="109"/>
        <v/>
      </c>
      <c r="R3385" s="54" t="str">
        <f t="shared" si="108"/>
        <v/>
      </c>
    </row>
    <row r="3386" spans="17:18" x14ac:dyDescent="0.3">
      <c r="Q3386" t="str">
        <f t="shared" si="109"/>
        <v/>
      </c>
      <c r="R3386" s="54" t="str">
        <f t="shared" si="108"/>
        <v/>
      </c>
    </row>
    <row r="3387" spans="17:18" x14ac:dyDescent="0.3">
      <c r="Q3387" t="str">
        <f t="shared" si="109"/>
        <v/>
      </c>
      <c r="R3387" s="54" t="str">
        <f t="shared" si="108"/>
        <v/>
      </c>
    </row>
    <row r="3388" spans="17:18" x14ac:dyDescent="0.3">
      <c r="Q3388" t="str">
        <f t="shared" si="109"/>
        <v/>
      </c>
      <c r="R3388" s="54" t="str">
        <f t="shared" si="108"/>
        <v/>
      </c>
    </row>
    <row r="3389" spans="17:18" x14ac:dyDescent="0.3">
      <c r="Q3389" t="str">
        <f t="shared" si="109"/>
        <v/>
      </c>
      <c r="R3389" s="54" t="str">
        <f t="shared" si="108"/>
        <v/>
      </c>
    </row>
    <row r="3390" spans="17:18" x14ac:dyDescent="0.3">
      <c r="Q3390" t="str">
        <f t="shared" si="109"/>
        <v/>
      </c>
      <c r="R3390" s="54" t="str">
        <f t="shared" si="108"/>
        <v/>
      </c>
    </row>
    <row r="3391" spans="17:18" x14ac:dyDescent="0.3">
      <c r="Q3391" t="str">
        <f t="shared" si="109"/>
        <v/>
      </c>
      <c r="R3391" s="54" t="str">
        <f t="shared" si="108"/>
        <v/>
      </c>
    </row>
    <row r="3392" spans="17:18" x14ac:dyDescent="0.3">
      <c r="Q3392" t="str">
        <f t="shared" si="109"/>
        <v/>
      </c>
      <c r="R3392" s="54" t="str">
        <f t="shared" si="108"/>
        <v/>
      </c>
    </row>
    <row r="3393" spans="17:18" x14ac:dyDescent="0.3">
      <c r="Q3393" t="str">
        <f t="shared" si="109"/>
        <v/>
      </c>
      <c r="R3393" s="54" t="str">
        <f t="shared" si="108"/>
        <v/>
      </c>
    </row>
    <row r="3394" spans="17:18" x14ac:dyDescent="0.3">
      <c r="Q3394" t="str">
        <f t="shared" si="109"/>
        <v/>
      </c>
      <c r="R3394" s="54" t="str">
        <f t="shared" si="108"/>
        <v/>
      </c>
    </row>
    <row r="3395" spans="17:18" x14ac:dyDescent="0.3">
      <c r="Q3395" t="str">
        <f t="shared" si="109"/>
        <v/>
      </c>
      <c r="R3395" s="54" t="str">
        <f t="shared" ref="R3395:R3458" si="110">IF(F3409="","",IFERROR(IF(ISNUMBER(F3409),F3409,DATEVALUE(F3409)),""))</f>
        <v/>
      </c>
    </row>
    <row r="3396" spans="17:18" x14ac:dyDescent="0.3">
      <c r="Q3396" t="str">
        <f t="shared" si="109"/>
        <v/>
      </c>
      <c r="R3396" s="54" t="str">
        <f t="shared" si="110"/>
        <v/>
      </c>
    </row>
    <row r="3397" spans="17:18" x14ac:dyDescent="0.3">
      <c r="Q3397" t="str">
        <f t="shared" si="109"/>
        <v/>
      </c>
      <c r="R3397" s="54" t="str">
        <f t="shared" si="110"/>
        <v/>
      </c>
    </row>
    <row r="3398" spans="17:18" x14ac:dyDescent="0.3">
      <c r="Q3398" t="str">
        <f t="shared" si="109"/>
        <v/>
      </c>
      <c r="R3398" s="54" t="str">
        <f t="shared" si="110"/>
        <v/>
      </c>
    </row>
    <row r="3399" spans="17:18" x14ac:dyDescent="0.3">
      <c r="Q3399" t="str">
        <f t="shared" si="109"/>
        <v/>
      </c>
      <c r="R3399" s="54" t="str">
        <f t="shared" si="110"/>
        <v/>
      </c>
    </row>
    <row r="3400" spans="17:18" x14ac:dyDescent="0.3">
      <c r="Q3400" t="str">
        <f t="shared" si="109"/>
        <v/>
      </c>
      <c r="R3400" s="54" t="str">
        <f t="shared" si="110"/>
        <v/>
      </c>
    </row>
    <row r="3401" spans="17:18" x14ac:dyDescent="0.3">
      <c r="Q3401" t="str">
        <f t="shared" si="109"/>
        <v/>
      </c>
      <c r="R3401" s="54" t="str">
        <f t="shared" si="110"/>
        <v/>
      </c>
    </row>
    <row r="3402" spans="17:18" x14ac:dyDescent="0.3">
      <c r="Q3402" t="str">
        <f t="shared" si="109"/>
        <v/>
      </c>
      <c r="R3402" s="54" t="str">
        <f t="shared" si="110"/>
        <v/>
      </c>
    </row>
    <row r="3403" spans="17:18" x14ac:dyDescent="0.3">
      <c r="Q3403" t="str">
        <f t="shared" si="109"/>
        <v/>
      </c>
      <c r="R3403" s="54" t="str">
        <f t="shared" si="110"/>
        <v/>
      </c>
    </row>
    <row r="3404" spans="17:18" x14ac:dyDescent="0.3">
      <c r="Q3404" t="str">
        <f t="shared" si="109"/>
        <v/>
      </c>
      <c r="R3404" s="54" t="str">
        <f t="shared" si="110"/>
        <v/>
      </c>
    </row>
    <row r="3405" spans="17:18" x14ac:dyDescent="0.3">
      <c r="Q3405" t="str">
        <f t="shared" si="109"/>
        <v/>
      </c>
      <c r="R3405" s="54" t="str">
        <f t="shared" si="110"/>
        <v/>
      </c>
    </row>
    <row r="3406" spans="17:18" x14ac:dyDescent="0.3">
      <c r="Q3406" t="str">
        <f t="shared" si="109"/>
        <v/>
      </c>
      <c r="R3406" s="54" t="str">
        <f t="shared" si="110"/>
        <v/>
      </c>
    </row>
    <row r="3407" spans="17:18" x14ac:dyDescent="0.3">
      <c r="Q3407" t="str">
        <f t="shared" si="109"/>
        <v/>
      </c>
      <c r="R3407" s="54" t="str">
        <f t="shared" si="110"/>
        <v/>
      </c>
    </row>
    <row r="3408" spans="17:18" x14ac:dyDescent="0.3">
      <c r="Q3408" t="str">
        <f t="shared" si="109"/>
        <v/>
      </c>
      <c r="R3408" s="54" t="str">
        <f t="shared" si="110"/>
        <v/>
      </c>
    </row>
    <row r="3409" spans="17:18" x14ac:dyDescent="0.3">
      <c r="Q3409" t="str">
        <f t="shared" si="109"/>
        <v/>
      </c>
      <c r="R3409" s="54" t="str">
        <f t="shared" si="110"/>
        <v/>
      </c>
    </row>
    <row r="3410" spans="17:18" x14ac:dyDescent="0.3">
      <c r="Q3410" t="str">
        <f t="shared" si="109"/>
        <v/>
      </c>
      <c r="R3410" s="54" t="str">
        <f t="shared" si="110"/>
        <v/>
      </c>
    </row>
    <row r="3411" spans="17:18" x14ac:dyDescent="0.3">
      <c r="Q3411" t="str">
        <f t="shared" si="109"/>
        <v/>
      </c>
      <c r="R3411" s="54" t="str">
        <f t="shared" si="110"/>
        <v/>
      </c>
    </row>
    <row r="3412" spans="17:18" x14ac:dyDescent="0.3">
      <c r="Q3412" t="str">
        <f t="shared" si="109"/>
        <v/>
      </c>
      <c r="R3412" s="54" t="str">
        <f t="shared" si="110"/>
        <v/>
      </c>
    </row>
    <row r="3413" spans="17:18" x14ac:dyDescent="0.3">
      <c r="Q3413" t="str">
        <f t="shared" si="109"/>
        <v/>
      </c>
      <c r="R3413" s="54" t="str">
        <f t="shared" si="110"/>
        <v/>
      </c>
    </row>
    <row r="3414" spans="17:18" x14ac:dyDescent="0.3">
      <c r="Q3414" t="str">
        <f t="shared" si="109"/>
        <v/>
      </c>
      <c r="R3414" s="54" t="str">
        <f t="shared" si="110"/>
        <v/>
      </c>
    </row>
    <row r="3415" spans="17:18" x14ac:dyDescent="0.3">
      <c r="Q3415" t="str">
        <f t="shared" ref="Q3415:Q3478" si="111">IF(COUNTA(A3415:P3415)=0,"",IF(ISNUMBER(SEARCH("-AR-",E3429)),"Architectural",IF(ISNUMBER(SEARCH("-ST-",E3429)),"Structural",IF(ISNUMBER(SEARCH("-ME-",E3429)),"Mechanical",IF(ISNUMBER(SEARCH("-EL-",E3429)),"Electrical",IF(ISNUMBER(SEARCH("-GE-",E3429)),"General",IF(ISNUMBER(SEARCH("-AR-",D3429)),"Architectural",IF(ISNUMBER(SEARCH("-ST-",D3429)),"Structural",IF(ISNUMBER(SEARCH("-ME-",D3429)),"Mechanical",IF(ISNUMBER(SEARCH("-EL-",D3429)),"Electrical",IF(ISNUMBER(SEARCH("-GE-",D3429)),"General","Other")))))))))))</f>
        <v/>
      </c>
      <c r="R3415" s="54" t="str">
        <f t="shared" si="110"/>
        <v/>
      </c>
    </row>
    <row r="3416" spans="17:18" x14ac:dyDescent="0.3">
      <c r="Q3416" t="str">
        <f t="shared" si="111"/>
        <v/>
      </c>
      <c r="R3416" s="54" t="str">
        <f t="shared" si="110"/>
        <v/>
      </c>
    </row>
    <row r="3417" spans="17:18" x14ac:dyDescent="0.3">
      <c r="Q3417" t="str">
        <f t="shared" si="111"/>
        <v/>
      </c>
      <c r="R3417" s="54" t="str">
        <f t="shared" si="110"/>
        <v/>
      </c>
    </row>
    <row r="3418" spans="17:18" x14ac:dyDescent="0.3">
      <c r="Q3418" t="str">
        <f t="shared" si="111"/>
        <v/>
      </c>
      <c r="R3418" s="54" t="str">
        <f t="shared" si="110"/>
        <v/>
      </c>
    </row>
    <row r="3419" spans="17:18" x14ac:dyDescent="0.3">
      <c r="Q3419" t="str">
        <f t="shared" si="111"/>
        <v/>
      </c>
      <c r="R3419" s="54" t="str">
        <f t="shared" si="110"/>
        <v/>
      </c>
    </row>
    <row r="3420" spans="17:18" x14ac:dyDescent="0.3">
      <c r="Q3420" t="str">
        <f t="shared" si="111"/>
        <v/>
      </c>
      <c r="R3420" s="54" t="str">
        <f t="shared" si="110"/>
        <v/>
      </c>
    </row>
    <row r="3421" spans="17:18" x14ac:dyDescent="0.3">
      <c r="Q3421" t="str">
        <f t="shared" si="111"/>
        <v/>
      </c>
      <c r="R3421" s="54" t="str">
        <f t="shared" si="110"/>
        <v/>
      </c>
    </row>
    <row r="3422" spans="17:18" x14ac:dyDescent="0.3">
      <c r="Q3422" t="str">
        <f t="shared" si="111"/>
        <v/>
      </c>
      <c r="R3422" s="54" t="str">
        <f t="shared" si="110"/>
        <v/>
      </c>
    </row>
    <row r="3423" spans="17:18" x14ac:dyDescent="0.3">
      <c r="Q3423" t="str">
        <f t="shared" si="111"/>
        <v/>
      </c>
      <c r="R3423" s="54" t="str">
        <f t="shared" si="110"/>
        <v/>
      </c>
    </row>
    <row r="3424" spans="17:18" x14ac:dyDescent="0.3">
      <c r="Q3424" t="str">
        <f t="shared" si="111"/>
        <v/>
      </c>
      <c r="R3424" s="54" t="str">
        <f t="shared" si="110"/>
        <v/>
      </c>
    </row>
    <row r="3425" spans="17:18" x14ac:dyDescent="0.3">
      <c r="Q3425" t="str">
        <f t="shared" si="111"/>
        <v/>
      </c>
      <c r="R3425" s="54" t="str">
        <f t="shared" si="110"/>
        <v/>
      </c>
    </row>
    <row r="3426" spans="17:18" x14ac:dyDescent="0.3">
      <c r="Q3426" t="str">
        <f t="shared" si="111"/>
        <v/>
      </c>
      <c r="R3426" s="54" t="str">
        <f t="shared" si="110"/>
        <v/>
      </c>
    </row>
    <row r="3427" spans="17:18" x14ac:dyDescent="0.3">
      <c r="Q3427" t="str">
        <f t="shared" si="111"/>
        <v/>
      </c>
      <c r="R3427" s="54" t="str">
        <f t="shared" si="110"/>
        <v/>
      </c>
    </row>
    <row r="3428" spans="17:18" x14ac:dyDescent="0.3">
      <c r="Q3428" t="str">
        <f t="shared" si="111"/>
        <v/>
      </c>
      <c r="R3428" s="54" t="str">
        <f t="shared" si="110"/>
        <v/>
      </c>
    </row>
    <row r="3429" spans="17:18" x14ac:dyDescent="0.3">
      <c r="Q3429" t="str">
        <f t="shared" si="111"/>
        <v/>
      </c>
      <c r="R3429" s="54" t="str">
        <f t="shared" si="110"/>
        <v/>
      </c>
    </row>
    <row r="3430" spans="17:18" x14ac:dyDescent="0.3">
      <c r="Q3430" t="str">
        <f t="shared" si="111"/>
        <v/>
      </c>
      <c r="R3430" s="54" t="str">
        <f t="shared" si="110"/>
        <v/>
      </c>
    </row>
    <row r="3431" spans="17:18" x14ac:dyDescent="0.3">
      <c r="Q3431" t="str">
        <f t="shared" si="111"/>
        <v/>
      </c>
      <c r="R3431" s="54" t="str">
        <f t="shared" si="110"/>
        <v/>
      </c>
    </row>
    <row r="3432" spans="17:18" x14ac:dyDescent="0.3">
      <c r="Q3432" t="str">
        <f t="shared" si="111"/>
        <v/>
      </c>
      <c r="R3432" s="54" t="str">
        <f t="shared" si="110"/>
        <v/>
      </c>
    </row>
    <row r="3433" spans="17:18" x14ac:dyDescent="0.3">
      <c r="Q3433" t="str">
        <f t="shared" si="111"/>
        <v/>
      </c>
      <c r="R3433" s="54" t="str">
        <f t="shared" si="110"/>
        <v/>
      </c>
    </row>
    <row r="3434" spans="17:18" x14ac:dyDescent="0.3">
      <c r="Q3434" t="str">
        <f t="shared" si="111"/>
        <v/>
      </c>
      <c r="R3434" s="54" t="str">
        <f t="shared" si="110"/>
        <v/>
      </c>
    </row>
    <row r="3435" spans="17:18" x14ac:dyDescent="0.3">
      <c r="Q3435" t="str">
        <f t="shared" si="111"/>
        <v/>
      </c>
      <c r="R3435" s="54" t="str">
        <f t="shared" si="110"/>
        <v/>
      </c>
    </row>
    <row r="3436" spans="17:18" x14ac:dyDescent="0.3">
      <c r="Q3436" t="str">
        <f t="shared" si="111"/>
        <v/>
      </c>
      <c r="R3436" s="54" t="str">
        <f t="shared" si="110"/>
        <v/>
      </c>
    </row>
    <row r="3437" spans="17:18" x14ac:dyDescent="0.3">
      <c r="Q3437" t="str">
        <f t="shared" si="111"/>
        <v/>
      </c>
      <c r="R3437" s="54" t="str">
        <f t="shared" si="110"/>
        <v/>
      </c>
    </row>
    <row r="3438" spans="17:18" x14ac:dyDescent="0.3">
      <c r="Q3438" t="str">
        <f t="shared" si="111"/>
        <v/>
      </c>
      <c r="R3438" s="54" t="str">
        <f t="shared" si="110"/>
        <v/>
      </c>
    </row>
    <row r="3439" spans="17:18" x14ac:dyDescent="0.3">
      <c r="Q3439" t="str">
        <f t="shared" si="111"/>
        <v/>
      </c>
      <c r="R3439" s="54" t="str">
        <f t="shared" si="110"/>
        <v/>
      </c>
    </row>
    <row r="3440" spans="17:18" x14ac:dyDescent="0.3">
      <c r="Q3440" t="str">
        <f t="shared" si="111"/>
        <v/>
      </c>
      <c r="R3440" s="54" t="str">
        <f t="shared" si="110"/>
        <v/>
      </c>
    </row>
    <row r="3441" spans="17:18" x14ac:dyDescent="0.3">
      <c r="Q3441" t="str">
        <f t="shared" si="111"/>
        <v/>
      </c>
      <c r="R3441" s="54" t="str">
        <f t="shared" si="110"/>
        <v/>
      </c>
    </row>
    <row r="3442" spans="17:18" x14ac:dyDescent="0.3">
      <c r="Q3442" t="str">
        <f t="shared" si="111"/>
        <v/>
      </c>
      <c r="R3442" s="54" t="str">
        <f t="shared" si="110"/>
        <v/>
      </c>
    </row>
    <row r="3443" spans="17:18" x14ac:dyDescent="0.3">
      <c r="Q3443" t="str">
        <f t="shared" si="111"/>
        <v/>
      </c>
      <c r="R3443" s="54" t="str">
        <f t="shared" si="110"/>
        <v/>
      </c>
    </row>
    <row r="3444" spans="17:18" x14ac:dyDescent="0.3">
      <c r="Q3444" t="str">
        <f t="shared" si="111"/>
        <v/>
      </c>
      <c r="R3444" s="54" t="str">
        <f t="shared" si="110"/>
        <v/>
      </c>
    </row>
    <row r="3445" spans="17:18" x14ac:dyDescent="0.3">
      <c r="Q3445" t="str">
        <f t="shared" si="111"/>
        <v/>
      </c>
      <c r="R3445" s="54" t="str">
        <f t="shared" si="110"/>
        <v/>
      </c>
    </row>
    <row r="3446" spans="17:18" x14ac:dyDescent="0.3">
      <c r="Q3446" t="str">
        <f t="shared" si="111"/>
        <v/>
      </c>
      <c r="R3446" s="54" t="str">
        <f t="shared" si="110"/>
        <v/>
      </c>
    </row>
    <row r="3447" spans="17:18" x14ac:dyDescent="0.3">
      <c r="Q3447" t="str">
        <f t="shared" si="111"/>
        <v/>
      </c>
      <c r="R3447" s="54" t="str">
        <f t="shared" si="110"/>
        <v/>
      </c>
    </row>
    <row r="3448" spans="17:18" x14ac:dyDescent="0.3">
      <c r="Q3448" t="str">
        <f t="shared" si="111"/>
        <v/>
      </c>
      <c r="R3448" s="54" t="str">
        <f t="shared" si="110"/>
        <v/>
      </c>
    </row>
    <row r="3449" spans="17:18" x14ac:dyDescent="0.3">
      <c r="Q3449" t="str">
        <f t="shared" si="111"/>
        <v/>
      </c>
      <c r="R3449" s="54" t="str">
        <f t="shared" si="110"/>
        <v/>
      </c>
    </row>
    <row r="3450" spans="17:18" x14ac:dyDescent="0.3">
      <c r="Q3450" t="str">
        <f t="shared" si="111"/>
        <v/>
      </c>
      <c r="R3450" s="54" t="str">
        <f t="shared" si="110"/>
        <v/>
      </c>
    </row>
    <row r="3451" spans="17:18" x14ac:dyDescent="0.3">
      <c r="Q3451" t="str">
        <f t="shared" si="111"/>
        <v/>
      </c>
      <c r="R3451" s="54" t="str">
        <f t="shared" si="110"/>
        <v/>
      </c>
    </row>
    <row r="3452" spans="17:18" x14ac:dyDescent="0.3">
      <c r="Q3452" t="str">
        <f t="shared" si="111"/>
        <v/>
      </c>
      <c r="R3452" s="54" t="str">
        <f t="shared" si="110"/>
        <v/>
      </c>
    </row>
    <row r="3453" spans="17:18" x14ac:dyDescent="0.3">
      <c r="Q3453" t="str">
        <f t="shared" si="111"/>
        <v/>
      </c>
      <c r="R3453" s="54" t="str">
        <f t="shared" si="110"/>
        <v/>
      </c>
    </row>
    <row r="3454" spans="17:18" x14ac:dyDescent="0.3">
      <c r="Q3454" t="str">
        <f t="shared" si="111"/>
        <v/>
      </c>
      <c r="R3454" s="54" t="str">
        <f t="shared" si="110"/>
        <v/>
      </c>
    </row>
    <row r="3455" spans="17:18" x14ac:dyDescent="0.3">
      <c r="Q3455" t="str">
        <f t="shared" si="111"/>
        <v/>
      </c>
      <c r="R3455" s="54" t="str">
        <f t="shared" si="110"/>
        <v/>
      </c>
    </row>
    <row r="3456" spans="17:18" x14ac:dyDescent="0.3">
      <c r="Q3456" t="str">
        <f t="shared" si="111"/>
        <v/>
      </c>
      <c r="R3456" s="54" t="str">
        <f t="shared" si="110"/>
        <v/>
      </c>
    </row>
    <row r="3457" spans="17:18" x14ac:dyDescent="0.3">
      <c r="Q3457" t="str">
        <f t="shared" si="111"/>
        <v/>
      </c>
      <c r="R3457" s="54" t="str">
        <f t="shared" si="110"/>
        <v/>
      </c>
    </row>
    <row r="3458" spans="17:18" x14ac:dyDescent="0.3">
      <c r="Q3458" t="str">
        <f t="shared" si="111"/>
        <v/>
      </c>
      <c r="R3458" s="54" t="str">
        <f t="shared" si="110"/>
        <v/>
      </c>
    </row>
    <row r="3459" spans="17:18" x14ac:dyDescent="0.3">
      <c r="Q3459" t="str">
        <f t="shared" si="111"/>
        <v/>
      </c>
      <c r="R3459" s="54" t="str">
        <f t="shared" ref="R3459:R3522" si="112">IF(F3473="","",IFERROR(IF(ISNUMBER(F3473),F3473,DATEVALUE(F3473)),""))</f>
        <v/>
      </c>
    </row>
    <row r="3460" spans="17:18" x14ac:dyDescent="0.3">
      <c r="Q3460" t="str">
        <f t="shared" si="111"/>
        <v/>
      </c>
      <c r="R3460" s="54" t="str">
        <f t="shared" si="112"/>
        <v/>
      </c>
    </row>
    <row r="3461" spans="17:18" x14ac:dyDescent="0.3">
      <c r="Q3461" t="str">
        <f t="shared" si="111"/>
        <v/>
      </c>
      <c r="R3461" s="54" t="str">
        <f t="shared" si="112"/>
        <v/>
      </c>
    </row>
    <row r="3462" spans="17:18" x14ac:dyDescent="0.3">
      <c r="Q3462" t="str">
        <f t="shared" si="111"/>
        <v/>
      </c>
      <c r="R3462" s="54" t="str">
        <f t="shared" si="112"/>
        <v/>
      </c>
    </row>
    <row r="3463" spans="17:18" x14ac:dyDescent="0.3">
      <c r="Q3463" t="str">
        <f t="shared" si="111"/>
        <v/>
      </c>
      <c r="R3463" s="54" t="str">
        <f t="shared" si="112"/>
        <v/>
      </c>
    </row>
    <row r="3464" spans="17:18" x14ac:dyDescent="0.3">
      <c r="Q3464" t="str">
        <f t="shared" si="111"/>
        <v/>
      </c>
      <c r="R3464" s="54" t="str">
        <f t="shared" si="112"/>
        <v/>
      </c>
    </row>
    <row r="3465" spans="17:18" x14ac:dyDescent="0.3">
      <c r="Q3465" t="str">
        <f t="shared" si="111"/>
        <v/>
      </c>
      <c r="R3465" s="54" t="str">
        <f t="shared" si="112"/>
        <v/>
      </c>
    </row>
    <row r="3466" spans="17:18" x14ac:dyDescent="0.3">
      <c r="Q3466" t="str">
        <f t="shared" si="111"/>
        <v/>
      </c>
      <c r="R3466" s="54" t="str">
        <f t="shared" si="112"/>
        <v/>
      </c>
    </row>
    <row r="3467" spans="17:18" x14ac:dyDescent="0.3">
      <c r="Q3467" t="str">
        <f t="shared" si="111"/>
        <v/>
      </c>
      <c r="R3467" s="54" t="str">
        <f t="shared" si="112"/>
        <v/>
      </c>
    </row>
    <row r="3468" spans="17:18" x14ac:dyDescent="0.3">
      <c r="Q3468" t="str">
        <f t="shared" si="111"/>
        <v/>
      </c>
      <c r="R3468" s="54" t="str">
        <f t="shared" si="112"/>
        <v/>
      </c>
    </row>
    <row r="3469" spans="17:18" x14ac:dyDescent="0.3">
      <c r="Q3469" t="str">
        <f t="shared" si="111"/>
        <v/>
      </c>
      <c r="R3469" s="54" t="str">
        <f t="shared" si="112"/>
        <v/>
      </c>
    </row>
    <row r="3470" spans="17:18" x14ac:dyDescent="0.3">
      <c r="Q3470" t="str">
        <f t="shared" si="111"/>
        <v/>
      </c>
      <c r="R3470" s="54" t="str">
        <f t="shared" si="112"/>
        <v/>
      </c>
    </row>
    <row r="3471" spans="17:18" x14ac:dyDescent="0.3">
      <c r="Q3471" t="str">
        <f t="shared" si="111"/>
        <v/>
      </c>
      <c r="R3471" s="54" t="str">
        <f t="shared" si="112"/>
        <v/>
      </c>
    </row>
    <row r="3472" spans="17:18" x14ac:dyDescent="0.3">
      <c r="Q3472" t="str">
        <f t="shared" si="111"/>
        <v/>
      </c>
      <c r="R3472" s="54" t="str">
        <f t="shared" si="112"/>
        <v/>
      </c>
    </row>
    <row r="3473" spans="17:18" x14ac:dyDescent="0.3">
      <c r="Q3473" t="str">
        <f t="shared" si="111"/>
        <v/>
      </c>
      <c r="R3473" s="54" t="str">
        <f t="shared" si="112"/>
        <v/>
      </c>
    </row>
    <row r="3474" spans="17:18" x14ac:dyDescent="0.3">
      <c r="Q3474" t="str">
        <f t="shared" si="111"/>
        <v/>
      </c>
      <c r="R3474" s="54" t="str">
        <f t="shared" si="112"/>
        <v/>
      </c>
    </row>
    <row r="3475" spans="17:18" x14ac:dyDescent="0.3">
      <c r="Q3475" t="str">
        <f t="shared" si="111"/>
        <v/>
      </c>
      <c r="R3475" s="54" t="str">
        <f t="shared" si="112"/>
        <v/>
      </c>
    </row>
    <row r="3476" spans="17:18" x14ac:dyDescent="0.3">
      <c r="Q3476" t="str">
        <f t="shared" si="111"/>
        <v/>
      </c>
      <c r="R3476" s="54" t="str">
        <f t="shared" si="112"/>
        <v/>
      </c>
    </row>
    <row r="3477" spans="17:18" x14ac:dyDescent="0.3">
      <c r="Q3477" t="str">
        <f t="shared" si="111"/>
        <v/>
      </c>
      <c r="R3477" s="54" t="str">
        <f t="shared" si="112"/>
        <v/>
      </c>
    </row>
    <row r="3478" spans="17:18" x14ac:dyDescent="0.3">
      <c r="Q3478" t="str">
        <f t="shared" si="111"/>
        <v/>
      </c>
      <c r="R3478" s="54" t="str">
        <f t="shared" si="112"/>
        <v/>
      </c>
    </row>
    <row r="3479" spans="17:18" x14ac:dyDescent="0.3">
      <c r="Q3479" t="str">
        <f t="shared" ref="Q3479:Q3542" si="113">IF(COUNTA(A3479:P3479)=0,"",IF(ISNUMBER(SEARCH("-AR-",E3493)),"Architectural",IF(ISNUMBER(SEARCH("-ST-",E3493)),"Structural",IF(ISNUMBER(SEARCH("-ME-",E3493)),"Mechanical",IF(ISNUMBER(SEARCH("-EL-",E3493)),"Electrical",IF(ISNUMBER(SEARCH("-GE-",E3493)),"General",IF(ISNUMBER(SEARCH("-AR-",D3493)),"Architectural",IF(ISNUMBER(SEARCH("-ST-",D3493)),"Structural",IF(ISNUMBER(SEARCH("-ME-",D3493)),"Mechanical",IF(ISNUMBER(SEARCH("-EL-",D3493)),"Electrical",IF(ISNUMBER(SEARCH("-GE-",D3493)),"General","Other")))))))))))</f>
        <v/>
      </c>
      <c r="R3479" s="54" t="str">
        <f t="shared" si="112"/>
        <v/>
      </c>
    </row>
    <row r="3480" spans="17:18" x14ac:dyDescent="0.3">
      <c r="Q3480" t="str">
        <f t="shared" si="113"/>
        <v/>
      </c>
      <c r="R3480" s="54" t="str">
        <f t="shared" si="112"/>
        <v/>
      </c>
    </row>
    <row r="3481" spans="17:18" x14ac:dyDescent="0.3">
      <c r="Q3481" t="str">
        <f t="shared" si="113"/>
        <v/>
      </c>
      <c r="R3481" s="54" t="str">
        <f t="shared" si="112"/>
        <v/>
      </c>
    </row>
    <row r="3482" spans="17:18" x14ac:dyDescent="0.3">
      <c r="Q3482" t="str">
        <f t="shared" si="113"/>
        <v/>
      </c>
      <c r="R3482" s="54" t="str">
        <f t="shared" si="112"/>
        <v/>
      </c>
    </row>
    <row r="3483" spans="17:18" x14ac:dyDescent="0.3">
      <c r="Q3483" t="str">
        <f t="shared" si="113"/>
        <v/>
      </c>
      <c r="R3483" s="54" t="str">
        <f t="shared" si="112"/>
        <v/>
      </c>
    </row>
    <row r="3484" spans="17:18" x14ac:dyDescent="0.3">
      <c r="Q3484" t="str">
        <f t="shared" si="113"/>
        <v/>
      </c>
      <c r="R3484" s="54" t="str">
        <f t="shared" si="112"/>
        <v/>
      </c>
    </row>
    <row r="3485" spans="17:18" x14ac:dyDescent="0.3">
      <c r="Q3485" t="str">
        <f t="shared" si="113"/>
        <v/>
      </c>
      <c r="R3485" s="54" t="str">
        <f t="shared" si="112"/>
        <v/>
      </c>
    </row>
    <row r="3486" spans="17:18" x14ac:dyDescent="0.3">
      <c r="Q3486" t="str">
        <f t="shared" si="113"/>
        <v/>
      </c>
      <c r="R3486" s="54" t="str">
        <f t="shared" si="112"/>
        <v/>
      </c>
    </row>
    <row r="3487" spans="17:18" x14ac:dyDescent="0.3">
      <c r="Q3487" t="str">
        <f t="shared" si="113"/>
        <v/>
      </c>
      <c r="R3487" s="54" t="str">
        <f t="shared" si="112"/>
        <v/>
      </c>
    </row>
    <row r="3488" spans="17:18" x14ac:dyDescent="0.3">
      <c r="Q3488" t="str">
        <f t="shared" si="113"/>
        <v/>
      </c>
      <c r="R3488" s="54" t="str">
        <f t="shared" si="112"/>
        <v/>
      </c>
    </row>
    <row r="3489" spans="17:18" x14ac:dyDescent="0.3">
      <c r="Q3489" t="str">
        <f t="shared" si="113"/>
        <v/>
      </c>
      <c r="R3489" s="54" t="str">
        <f t="shared" si="112"/>
        <v/>
      </c>
    </row>
    <row r="3490" spans="17:18" x14ac:dyDescent="0.3">
      <c r="Q3490" t="str">
        <f t="shared" si="113"/>
        <v/>
      </c>
      <c r="R3490" s="54" t="str">
        <f t="shared" si="112"/>
        <v/>
      </c>
    </row>
    <row r="3491" spans="17:18" x14ac:dyDescent="0.3">
      <c r="Q3491" t="str">
        <f t="shared" si="113"/>
        <v/>
      </c>
      <c r="R3491" s="54" t="str">
        <f t="shared" si="112"/>
        <v/>
      </c>
    </row>
    <row r="3492" spans="17:18" x14ac:dyDescent="0.3">
      <c r="Q3492" t="str">
        <f t="shared" si="113"/>
        <v/>
      </c>
      <c r="R3492" s="54" t="str">
        <f t="shared" si="112"/>
        <v/>
      </c>
    </row>
    <row r="3493" spans="17:18" x14ac:dyDescent="0.3">
      <c r="Q3493" t="str">
        <f t="shared" si="113"/>
        <v/>
      </c>
      <c r="R3493" s="54" t="str">
        <f t="shared" si="112"/>
        <v/>
      </c>
    </row>
    <row r="3494" spans="17:18" x14ac:dyDescent="0.3">
      <c r="Q3494" t="str">
        <f t="shared" si="113"/>
        <v/>
      </c>
      <c r="R3494" s="54" t="str">
        <f t="shared" si="112"/>
        <v/>
      </c>
    </row>
    <row r="3495" spans="17:18" x14ac:dyDescent="0.3">
      <c r="Q3495" t="str">
        <f t="shared" si="113"/>
        <v/>
      </c>
      <c r="R3495" s="54" t="str">
        <f t="shared" si="112"/>
        <v/>
      </c>
    </row>
    <row r="3496" spans="17:18" x14ac:dyDescent="0.3">
      <c r="Q3496" t="str">
        <f t="shared" si="113"/>
        <v/>
      </c>
      <c r="R3496" s="54" t="str">
        <f t="shared" si="112"/>
        <v/>
      </c>
    </row>
    <row r="3497" spans="17:18" x14ac:dyDescent="0.3">
      <c r="Q3497" t="str">
        <f t="shared" si="113"/>
        <v/>
      </c>
      <c r="R3497" s="54" t="str">
        <f t="shared" si="112"/>
        <v/>
      </c>
    </row>
    <row r="3498" spans="17:18" x14ac:dyDescent="0.3">
      <c r="Q3498" t="str">
        <f t="shared" si="113"/>
        <v/>
      </c>
      <c r="R3498" s="54" t="str">
        <f t="shared" si="112"/>
        <v/>
      </c>
    </row>
    <row r="3499" spans="17:18" x14ac:dyDescent="0.3">
      <c r="Q3499" t="str">
        <f t="shared" si="113"/>
        <v/>
      </c>
      <c r="R3499" s="54" t="str">
        <f t="shared" si="112"/>
        <v/>
      </c>
    </row>
    <row r="3500" spans="17:18" x14ac:dyDescent="0.3">
      <c r="Q3500" t="str">
        <f t="shared" si="113"/>
        <v/>
      </c>
      <c r="R3500" s="54" t="str">
        <f t="shared" si="112"/>
        <v/>
      </c>
    </row>
    <row r="3501" spans="17:18" x14ac:dyDescent="0.3">
      <c r="Q3501" t="str">
        <f t="shared" si="113"/>
        <v/>
      </c>
      <c r="R3501" s="54" t="str">
        <f t="shared" si="112"/>
        <v/>
      </c>
    </row>
    <row r="3502" spans="17:18" x14ac:dyDescent="0.3">
      <c r="Q3502" t="str">
        <f t="shared" si="113"/>
        <v/>
      </c>
      <c r="R3502" s="54" t="str">
        <f t="shared" si="112"/>
        <v/>
      </c>
    </row>
    <row r="3503" spans="17:18" x14ac:dyDescent="0.3">
      <c r="Q3503" t="str">
        <f t="shared" si="113"/>
        <v/>
      </c>
      <c r="R3503" s="54" t="str">
        <f t="shared" si="112"/>
        <v/>
      </c>
    </row>
    <row r="3504" spans="17:18" x14ac:dyDescent="0.3">
      <c r="Q3504" t="str">
        <f t="shared" si="113"/>
        <v/>
      </c>
      <c r="R3504" s="54" t="str">
        <f t="shared" si="112"/>
        <v/>
      </c>
    </row>
    <row r="3505" spans="17:18" x14ac:dyDescent="0.3">
      <c r="Q3505" t="str">
        <f t="shared" si="113"/>
        <v/>
      </c>
      <c r="R3505" s="54" t="str">
        <f t="shared" si="112"/>
        <v/>
      </c>
    </row>
    <row r="3506" spans="17:18" x14ac:dyDescent="0.3">
      <c r="Q3506" t="str">
        <f t="shared" si="113"/>
        <v/>
      </c>
      <c r="R3506" s="54" t="str">
        <f t="shared" si="112"/>
        <v/>
      </c>
    </row>
    <row r="3507" spans="17:18" x14ac:dyDescent="0.3">
      <c r="Q3507" t="str">
        <f t="shared" si="113"/>
        <v/>
      </c>
      <c r="R3507" s="54" t="str">
        <f t="shared" si="112"/>
        <v/>
      </c>
    </row>
    <row r="3508" spans="17:18" x14ac:dyDescent="0.3">
      <c r="Q3508" t="str">
        <f t="shared" si="113"/>
        <v/>
      </c>
      <c r="R3508" s="54" t="str">
        <f t="shared" si="112"/>
        <v/>
      </c>
    </row>
    <row r="3509" spans="17:18" x14ac:dyDescent="0.3">
      <c r="Q3509" t="str">
        <f t="shared" si="113"/>
        <v/>
      </c>
      <c r="R3509" s="54" t="str">
        <f t="shared" si="112"/>
        <v/>
      </c>
    </row>
    <row r="3510" spans="17:18" x14ac:dyDescent="0.3">
      <c r="Q3510" t="str">
        <f t="shared" si="113"/>
        <v/>
      </c>
      <c r="R3510" s="54" t="str">
        <f t="shared" si="112"/>
        <v/>
      </c>
    </row>
    <row r="3511" spans="17:18" x14ac:dyDescent="0.3">
      <c r="Q3511" t="str">
        <f t="shared" si="113"/>
        <v/>
      </c>
      <c r="R3511" s="54" t="str">
        <f t="shared" si="112"/>
        <v/>
      </c>
    </row>
    <row r="3512" spans="17:18" x14ac:dyDescent="0.3">
      <c r="Q3512" t="str">
        <f t="shared" si="113"/>
        <v/>
      </c>
      <c r="R3512" s="54" t="str">
        <f t="shared" si="112"/>
        <v/>
      </c>
    </row>
    <row r="3513" spans="17:18" x14ac:dyDescent="0.3">
      <c r="Q3513" t="str">
        <f t="shared" si="113"/>
        <v/>
      </c>
      <c r="R3513" s="54" t="str">
        <f t="shared" si="112"/>
        <v/>
      </c>
    </row>
    <row r="3514" spans="17:18" x14ac:dyDescent="0.3">
      <c r="Q3514" t="str">
        <f t="shared" si="113"/>
        <v/>
      </c>
      <c r="R3514" s="54" t="str">
        <f t="shared" si="112"/>
        <v/>
      </c>
    </row>
    <row r="3515" spans="17:18" x14ac:dyDescent="0.3">
      <c r="Q3515" t="str">
        <f t="shared" si="113"/>
        <v/>
      </c>
      <c r="R3515" s="54" t="str">
        <f t="shared" si="112"/>
        <v/>
      </c>
    </row>
    <row r="3516" spans="17:18" x14ac:dyDescent="0.3">
      <c r="Q3516" t="str">
        <f t="shared" si="113"/>
        <v/>
      </c>
      <c r="R3516" s="54" t="str">
        <f t="shared" si="112"/>
        <v/>
      </c>
    </row>
    <row r="3517" spans="17:18" x14ac:dyDescent="0.3">
      <c r="Q3517" t="str">
        <f t="shared" si="113"/>
        <v/>
      </c>
      <c r="R3517" s="54" t="str">
        <f t="shared" si="112"/>
        <v/>
      </c>
    </row>
    <row r="3518" spans="17:18" x14ac:dyDescent="0.3">
      <c r="Q3518" t="str">
        <f t="shared" si="113"/>
        <v/>
      </c>
      <c r="R3518" s="54" t="str">
        <f t="shared" si="112"/>
        <v/>
      </c>
    </row>
    <row r="3519" spans="17:18" x14ac:dyDescent="0.3">
      <c r="Q3519" t="str">
        <f t="shared" si="113"/>
        <v/>
      </c>
      <c r="R3519" s="54" t="str">
        <f t="shared" si="112"/>
        <v/>
      </c>
    </row>
    <row r="3520" spans="17:18" x14ac:dyDescent="0.3">
      <c r="Q3520" t="str">
        <f t="shared" si="113"/>
        <v/>
      </c>
      <c r="R3520" s="54" t="str">
        <f t="shared" si="112"/>
        <v/>
      </c>
    </row>
    <row r="3521" spans="17:18" x14ac:dyDescent="0.3">
      <c r="Q3521" t="str">
        <f t="shared" si="113"/>
        <v/>
      </c>
      <c r="R3521" s="54" t="str">
        <f t="shared" si="112"/>
        <v/>
      </c>
    </row>
    <row r="3522" spans="17:18" x14ac:dyDescent="0.3">
      <c r="Q3522" t="str">
        <f t="shared" si="113"/>
        <v/>
      </c>
      <c r="R3522" s="54" t="str">
        <f t="shared" si="112"/>
        <v/>
      </c>
    </row>
    <row r="3523" spans="17:18" x14ac:dyDescent="0.3">
      <c r="Q3523" t="str">
        <f t="shared" si="113"/>
        <v/>
      </c>
      <c r="R3523" s="54" t="str">
        <f t="shared" ref="R3523:R3586" si="114">IF(F3537="","",IFERROR(IF(ISNUMBER(F3537),F3537,DATEVALUE(F3537)),""))</f>
        <v/>
      </c>
    </row>
    <row r="3524" spans="17:18" x14ac:dyDescent="0.3">
      <c r="Q3524" t="str">
        <f t="shared" si="113"/>
        <v/>
      </c>
      <c r="R3524" s="54" t="str">
        <f t="shared" si="114"/>
        <v/>
      </c>
    </row>
    <row r="3525" spans="17:18" x14ac:dyDescent="0.3">
      <c r="Q3525" t="str">
        <f t="shared" si="113"/>
        <v/>
      </c>
      <c r="R3525" s="54" t="str">
        <f t="shared" si="114"/>
        <v/>
      </c>
    </row>
    <row r="3526" spans="17:18" x14ac:dyDescent="0.3">
      <c r="Q3526" t="str">
        <f t="shared" si="113"/>
        <v/>
      </c>
      <c r="R3526" s="54" t="str">
        <f t="shared" si="114"/>
        <v/>
      </c>
    </row>
    <row r="3527" spans="17:18" x14ac:dyDescent="0.3">
      <c r="Q3527" t="str">
        <f t="shared" si="113"/>
        <v/>
      </c>
      <c r="R3527" s="54" t="str">
        <f t="shared" si="114"/>
        <v/>
      </c>
    </row>
    <row r="3528" spans="17:18" x14ac:dyDescent="0.3">
      <c r="Q3528" t="str">
        <f t="shared" si="113"/>
        <v/>
      </c>
      <c r="R3528" s="54" t="str">
        <f t="shared" si="114"/>
        <v/>
      </c>
    </row>
    <row r="3529" spans="17:18" x14ac:dyDescent="0.3">
      <c r="Q3529" t="str">
        <f t="shared" si="113"/>
        <v/>
      </c>
      <c r="R3529" s="54" t="str">
        <f t="shared" si="114"/>
        <v/>
      </c>
    </row>
    <row r="3530" spans="17:18" x14ac:dyDescent="0.3">
      <c r="Q3530" t="str">
        <f t="shared" si="113"/>
        <v/>
      </c>
      <c r="R3530" s="54" t="str">
        <f t="shared" si="114"/>
        <v/>
      </c>
    </row>
    <row r="3531" spans="17:18" x14ac:dyDescent="0.3">
      <c r="Q3531" t="str">
        <f t="shared" si="113"/>
        <v/>
      </c>
      <c r="R3531" s="54" t="str">
        <f t="shared" si="114"/>
        <v/>
      </c>
    </row>
    <row r="3532" spans="17:18" x14ac:dyDescent="0.3">
      <c r="Q3532" t="str">
        <f t="shared" si="113"/>
        <v/>
      </c>
      <c r="R3532" s="54" t="str">
        <f t="shared" si="114"/>
        <v/>
      </c>
    </row>
    <row r="3533" spans="17:18" x14ac:dyDescent="0.3">
      <c r="Q3533" t="str">
        <f t="shared" si="113"/>
        <v/>
      </c>
      <c r="R3533" s="54" t="str">
        <f t="shared" si="114"/>
        <v/>
      </c>
    </row>
    <row r="3534" spans="17:18" x14ac:dyDescent="0.3">
      <c r="Q3534" t="str">
        <f t="shared" si="113"/>
        <v/>
      </c>
      <c r="R3534" s="54" t="str">
        <f t="shared" si="114"/>
        <v/>
      </c>
    </row>
    <row r="3535" spans="17:18" x14ac:dyDescent="0.3">
      <c r="Q3535" t="str">
        <f t="shared" si="113"/>
        <v/>
      </c>
      <c r="R3535" s="54" t="str">
        <f t="shared" si="114"/>
        <v/>
      </c>
    </row>
    <row r="3536" spans="17:18" x14ac:dyDescent="0.3">
      <c r="Q3536" t="str">
        <f t="shared" si="113"/>
        <v/>
      </c>
      <c r="R3536" s="54" t="str">
        <f t="shared" si="114"/>
        <v/>
      </c>
    </row>
    <row r="3537" spans="17:18" x14ac:dyDescent="0.3">
      <c r="Q3537" t="str">
        <f t="shared" si="113"/>
        <v/>
      </c>
      <c r="R3537" s="54" t="str">
        <f t="shared" si="114"/>
        <v/>
      </c>
    </row>
    <row r="3538" spans="17:18" x14ac:dyDescent="0.3">
      <c r="Q3538" t="str">
        <f t="shared" si="113"/>
        <v/>
      </c>
      <c r="R3538" s="54" t="str">
        <f t="shared" si="114"/>
        <v/>
      </c>
    </row>
    <row r="3539" spans="17:18" x14ac:dyDescent="0.3">
      <c r="Q3539" t="str">
        <f t="shared" si="113"/>
        <v/>
      </c>
      <c r="R3539" s="54" t="str">
        <f t="shared" si="114"/>
        <v/>
      </c>
    </row>
    <row r="3540" spans="17:18" x14ac:dyDescent="0.3">
      <c r="Q3540" t="str">
        <f t="shared" si="113"/>
        <v/>
      </c>
      <c r="R3540" s="54" t="str">
        <f t="shared" si="114"/>
        <v/>
      </c>
    </row>
    <row r="3541" spans="17:18" x14ac:dyDescent="0.3">
      <c r="Q3541" t="str">
        <f t="shared" si="113"/>
        <v/>
      </c>
      <c r="R3541" s="54" t="str">
        <f t="shared" si="114"/>
        <v/>
      </c>
    </row>
    <row r="3542" spans="17:18" x14ac:dyDescent="0.3">
      <c r="Q3542" t="str">
        <f t="shared" si="113"/>
        <v/>
      </c>
      <c r="R3542" s="54" t="str">
        <f t="shared" si="114"/>
        <v/>
      </c>
    </row>
    <row r="3543" spans="17:18" x14ac:dyDescent="0.3">
      <c r="Q3543" t="str">
        <f t="shared" ref="Q3543:Q3606" si="115">IF(COUNTA(A3543:P3543)=0,"",IF(ISNUMBER(SEARCH("-AR-",E3557)),"Architectural",IF(ISNUMBER(SEARCH("-ST-",E3557)),"Structural",IF(ISNUMBER(SEARCH("-ME-",E3557)),"Mechanical",IF(ISNUMBER(SEARCH("-EL-",E3557)),"Electrical",IF(ISNUMBER(SEARCH("-GE-",E3557)),"General",IF(ISNUMBER(SEARCH("-AR-",D3557)),"Architectural",IF(ISNUMBER(SEARCH("-ST-",D3557)),"Structural",IF(ISNUMBER(SEARCH("-ME-",D3557)),"Mechanical",IF(ISNUMBER(SEARCH("-EL-",D3557)),"Electrical",IF(ISNUMBER(SEARCH("-GE-",D3557)),"General","Other")))))))))))</f>
        <v/>
      </c>
      <c r="R3543" s="54" t="str">
        <f t="shared" si="114"/>
        <v/>
      </c>
    </row>
    <row r="3544" spans="17:18" x14ac:dyDescent="0.3">
      <c r="Q3544" t="str">
        <f t="shared" si="115"/>
        <v/>
      </c>
      <c r="R3544" s="54" t="str">
        <f t="shared" si="114"/>
        <v/>
      </c>
    </row>
    <row r="3545" spans="17:18" x14ac:dyDescent="0.3">
      <c r="Q3545" t="str">
        <f t="shared" si="115"/>
        <v/>
      </c>
      <c r="R3545" s="54" t="str">
        <f t="shared" si="114"/>
        <v/>
      </c>
    </row>
    <row r="3546" spans="17:18" x14ac:dyDescent="0.3">
      <c r="Q3546" t="str">
        <f t="shared" si="115"/>
        <v/>
      </c>
      <c r="R3546" s="54" t="str">
        <f t="shared" si="114"/>
        <v/>
      </c>
    </row>
    <row r="3547" spans="17:18" x14ac:dyDescent="0.3">
      <c r="Q3547" t="str">
        <f t="shared" si="115"/>
        <v/>
      </c>
      <c r="R3547" s="54" t="str">
        <f t="shared" si="114"/>
        <v/>
      </c>
    </row>
    <row r="3548" spans="17:18" x14ac:dyDescent="0.3">
      <c r="Q3548" t="str">
        <f t="shared" si="115"/>
        <v/>
      </c>
      <c r="R3548" s="54" t="str">
        <f t="shared" si="114"/>
        <v/>
      </c>
    </row>
    <row r="3549" spans="17:18" x14ac:dyDescent="0.3">
      <c r="Q3549" t="str">
        <f t="shared" si="115"/>
        <v/>
      </c>
      <c r="R3549" s="54" t="str">
        <f t="shared" si="114"/>
        <v/>
      </c>
    </row>
    <row r="3550" spans="17:18" x14ac:dyDescent="0.3">
      <c r="Q3550" t="str">
        <f t="shared" si="115"/>
        <v/>
      </c>
      <c r="R3550" s="54" t="str">
        <f t="shared" si="114"/>
        <v/>
      </c>
    </row>
    <row r="3551" spans="17:18" x14ac:dyDescent="0.3">
      <c r="Q3551" t="str">
        <f t="shared" si="115"/>
        <v/>
      </c>
      <c r="R3551" s="54" t="str">
        <f t="shared" si="114"/>
        <v/>
      </c>
    </row>
    <row r="3552" spans="17:18" x14ac:dyDescent="0.3">
      <c r="Q3552" t="str">
        <f t="shared" si="115"/>
        <v/>
      </c>
      <c r="R3552" s="54" t="str">
        <f t="shared" si="114"/>
        <v/>
      </c>
    </row>
    <row r="3553" spans="17:18" x14ac:dyDescent="0.3">
      <c r="Q3553" t="str">
        <f t="shared" si="115"/>
        <v/>
      </c>
      <c r="R3553" s="54" t="str">
        <f t="shared" si="114"/>
        <v/>
      </c>
    </row>
    <row r="3554" spans="17:18" x14ac:dyDescent="0.3">
      <c r="Q3554" t="str">
        <f t="shared" si="115"/>
        <v/>
      </c>
      <c r="R3554" s="54" t="str">
        <f t="shared" si="114"/>
        <v/>
      </c>
    </row>
    <row r="3555" spans="17:18" x14ac:dyDescent="0.3">
      <c r="Q3555" t="str">
        <f t="shared" si="115"/>
        <v/>
      </c>
      <c r="R3555" s="54" t="str">
        <f t="shared" si="114"/>
        <v/>
      </c>
    </row>
    <row r="3556" spans="17:18" x14ac:dyDescent="0.3">
      <c r="Q3556" t="str">
        <f t="shared" si="115"/>
        <v/>
      </c>
      <c r="R3556" s="54" t="str">
        <f t="shared" si="114"/>
        <v/>
      </c>
    </row>
    <row r="3557" spans="17:18" x14ac:dyDescent="0.3">
      <c r="Q3557" t="str">
        <f t="shared" si="115"/>
        <v/>
      </c>
      <c r="R3557" s="54" t="str">
        <f t="shared" si="114"/>
        <v/>
      </c>
    </row>
    <row r="3558" spans="17:18" x14ac:dyDescent="0.3">
      <c r="Q3558" t="str">
        <f t="shared" si="115"/>
        <v/>
      </c>
      <c r="R3558" s="54" t="str">
        <f t="shared" si="114"/>
        <v/>
      </c>
    </row>
    <row r="3559" spans="17:18" x14ac:dyDescent="0.3">
      <c r="Q3559" t="str">
        <f t="shared" si="115"/>
        <v/>
      </c>
      <c r="R3559" s="54" t="str">
        <f t="shared" si="114"/>
        <v/>
      </c>
    </row>
    <row r="3560" spans="17:18" x14ac:dyDescent="0.3">
      <c r="Q3560" t="str">
        <f t="shared" si="115"/>
        <v/>
      </c>
      <c r="R3560" s="54" t="str">
        <f t="shared" si="114"/>
        <v/>
      </c>
    </row>
    <row r="3561" spans="17:18" x14ac:dyDescent="0.3">
      <c r="Q3561" t="str">
        <f t="shared" si="115"/>
        <v/>
      </c>
      <c r="R3561" s="54" t="str">
        <f t="shared" si="114"/>
        <v/>
      </c>
    </row>
    <row r="3562" spans="17:18" x14ac:dyDescent="0.3">
      <c r="Q3562" t="str">
        <f t="shared" si="115"/>
        <v/>
      </c>
      <c r="R3562" s="54" t="str">
        <f t="shared" si="114"/>
        <v/>
      </c>
    </row>
    <row r="3563" spans="17:18" x14ac:dyDescent="0.3">
      <c r="Q3563" t="str">
        <f t="shared" si="115"/>
        <v/>
      </c>
      <c r="R3563" s="54" t="str">
        <f t="shared" si="114"/>
        <v/>
      </c>
    </row>
    <row r="3564" spans="17:18" x14ac:dyDescent="0.3">
      <c r="Q3564" t="str">
        <f t="shared" si="115"/>
        <v/>
      </c>
      <c r="R3564" s="54" t="str">
        <f t="shared" si="114"/>
        <v/>
      </c>
    </row>
    <row r="3565" spans="17:18" x14ac:dyDescent="0.3">
      <c r="Q3565" t="str">
        <f t="shared" si="115"/>
        <v/>
      </c>
      <c r="R3565" s="54" t="str">
        <f t="shared" si="114"/>
        <v/>
      </c>
    </row>
    <row r="3566" spans="17:18" x14ac:dyDescent="0.3">
      <c r="Q3566" t="str">
        <f t="shared" si="115"/>
        <v/>
      </c>
      <c r="R3566" s="54" t="str">
        <f t="shared" si="114"/>
        <v/>
      </c>
    </row>
    <row r="3567" spans="17:18" x14ac:dyDescent="0.3">
      <c r="Q3567" t="str">
        <f t="shared" si="115"/>
        <v/>
      </c>
      <c r="R3567" s="54" t="str">
        <f t="shared" si="114"/>
        <v/>
      </c>
    </row>
    <row r="3568" spans="17:18" x14ac:dyDescent="0.3">
      <c r="Q3568" t="str">
        <f t="shared" si="115"/>
        <v/>
      </c>
      <c r="R3568" s="54" t="str">
        <f t="shared" si="114"/>
        <v/>
      </c>
    </row>
    <row r="3569" spans="17:18" x14ac:dyDescent="0.3">
      <c r="Q3569" t="str">
        <f t="shared" si="115"/>
        <v/>
      </c>
      <c r="R3569" s="54" t="str">
        <f t="shared" si="114"/>
        <v/>
      </c>
    </row>
    <row r="3570" spans="17:18" x14ac:dyDescent="0.3">
      <c r="Q3570" t="str">
        <f t="shared" si="115"/>
        <v/>
      </c>
      <c r="R3570" s="54" t="str">
        <f t="shared" si="114"/>
        <v/>
      </c>
    </row>
    <row r="3571" spans="17:18" x14ac:dyDescent="0.3">
      <c r="Q3571" t="str">
        <f t="shared" si="115"/>
        <v/>
      </c>
      <c r="R3571" s="54" t="str">
        <f t="shared" si="114"/>
        <v/>
      </c>
    </row>
    <row r="3572" spans="17:18" x14ac:dyDescent="0.3">
      <c r="Q3572" t="str">
        <f t="shared" si="115"/>
        <v/>
      </c>
      <c r="R3572" s="54" t="str">
        <f t="shared" si="114"/>
        <v/>
      </c>
    </row>
    <row r="3573" spans="17:18" x14ac:dyDescent="0.3">
      <c r="Q3573" t="str">
        <f t="shared" si="115"/>
        <v/>
      </c>
      <c r="R3573" s="54" t="str">
        <f t="shared" si="114"/>
        <v/>
      </c>
    </row>
    <row r="3574" spans="17:18" x14ac:dyDescent="0.3">
      <c r="Q3574" t="str">
        <f t="shared" si="115"/>
        <v/>
      </c>
      <c r="R3574" s="54" t="str">
        <f t="shared" si="114"/>
        <v/>
      </c>
    </row>
    <row r="3575" spans="17:18" x14ac:dyDescent="0.3">
      <c r="Q3575" t="str">
        <f t="shared" si="115"/>
        <v/>
      </c>
      <c r="R3575" s="54" t="str">
        <f t="shared" si="114"/>
        <v/>
      </c>
    </row>
    <row r="3576" spans="17:18" x14ac:dyDescent="0.3">
      <c r="Q3576" t="str">
        <f t="shared" si="115"/>
        <v/>
      </c>
      <c r="R3576" s="54" t="str">
        <f t="shared" si="114"/>
        <v/>
      </c>
    </row>
    <row r="3577" spans="17:18" x14ac:dyDescent="0.3">
      <c r="Q3577" t="str">
        <f t="shared" si="115"/>
        <v/>
      </c>
      <c r="R3577" s="54" t="str">
        <f t="shared" si="114"/>
        <v/>
      </c>
    </row>
    <row r="3578" spans="17:18" x14ac:dyDescent="0.3">
      <c r="Q3578" t="str">
        <f t="shared" si="115"/>
        <v/>
      </c>
      <c r="R3578" s="54" t="str">
        <f t="shared" si="114"/>
        <v/>
      </c>
    </row>
    <row r="3579" spans="17:18" x14ac:dyDescent="0.3">
      <c r="Q3579" t="str">
        <f t="shared" si="115"/>
        <v/>
      </c>
      <c r="R3579" s="54" t="str">
        <f t="shared" si="114"/>
        <v/>
      </c>
    </row>
    <row r="3580" spans="17:18" x14ac:dyDescent="0.3">
      <c r="Q3580" t="str">
        <f t="shared" si="115"/>
        <v/>
      </c>
      <c r="R3580" s="54" t="str">
        <f t="shared" si="114"/>
        <v/>
      </c>
    </row>
    <row r="3581" spans="17:18" x14ac:dyDescent="0.3">
      <c r="Q3581" t="str">
        <f t="shared" si="115"/>
        <v/>
      </c>
      <c r="R3581" s="54" t="str">
        <f t="shared" si="114"/>
        <v/>
      </c>
    </row>
    <row r="3582" spans="17:18" x14ac:dyDescent="0.3">
      <c r="Q3582" t="str">
        <f t="shared" si="115"/>
        <v/>
      </c>
      <c r="R3582" s="54" t="str">
        <f t="shared" si="114"/>
        <v/>
      </c>
    </row>
    <row r="3583" spans="17:18" x14ac:dyDescent="0.3">
      <c r="Q3583" t="str">
        <f t="shared" si="115"/>
        <v/>
      </c>
      <c r="R3583" s="54" t="str">
        <f t="shared" si="114"/>
        <v/>
      </c>
    </row>
    <row r="3584" spans="17:18" x14ac:dyDescent="0.3">
      <c r="Q3584" t="str">
        <f t="shared" si="115"/>
        <v/>
      </c>
      <c r="R3584" s="54" t="str">
        <f t="shared" si="114"/>
        <v/>
      </c>
    </row>
    <row r="3585" spans="17:18" x14ac:dyDescent="0.3">
      <c r="Q3585" t="str">
        <f t="shared" si="115"/>
        <v/>
      </c>
      <c r="R3585" s="54" t="str">
        <f t="shared" si="114"/>
        <v/>
      </c>
    </row>
    <row r="3586" spans="17:18" x14ac:dyDescent="0.3">
      <c r="Q3586" t="str">
        <f t="shared" si="115"/>
        <v/>
      </c>
      <c r="R3586" s="54" t="str">
        <f t="shared" si="114"/>
        <v/>
      </c>
    </row>
    <row r="3587" spans="17:18" x14ac:dyDescent="0.3">
      <c r="Q3587" t="str">
        <f t="shared" si="115"/>
        <v/>
      </c>
      <c r="R3587" s="54" t="str">
        <f t="shared" ref="R3587:R3650" si="116">IF(F3601="","",IFERROR(IF(ISNUMBER(F3601),F3601,DATEVALUE(F3601)),""))</f>
        <v/>
      </c>
    </row>
    <row r="3588" spans="17:18" x14ac:dyDescent="0.3">
      <c r="Q3588" t="str">
        <f t="shared" si="115"/>
        <v/>
      </c>
      <c r="R3588" s="54" t="str">
        <f t="shared" si="116"/>
        <v/>
      </c>
    </row>
    <row r="3589" spans="17:18" x14ac:dyDescent="0.3">
      <c r="Q3589" t="str">
        <f t="shared" si="115"/>
        <v/>
      </c>
      <c r="R3589" s="54" t="str">
        <f t="shared" si="116"/>
        <v/>
      </c>
    </row>
    <row r="3590" spans="17:18" x14ac:dyDescent="0.3">
      <c r="Q3590" t="str">
        <f t="shared" si="115"/>
        <v/>
      </c>
      <c r="R3590" s="54" t="str">
        <f t="shared" si="116"/>
        <v/>
      </c>
    </row>
    <row r="3591" spans="17:18" x14ac:dyDescent="0.3">
      <c r="Q3591" t="str">
        <f t="shared" si="115"/>
        <v/>
      </c>
      <c r="R3591" s="54" t="str">
        <f t="shared" si="116"/>
        <v/>
      </c>
    </row>
    <row r="3592" spans="17:18" x14ac:dyDescent="0.3">
      <c r="Q3592" t="str">
        <f t="shared" si="115"/>
        <v/>
      </c>
      <c r="R3592" s="54" t="str">
        <f t="shared" si="116"/>
        <v/>
      </c>
    </row>
    <row r="3593" spans="17:18" x14ac:dyDescent="0.3">
      <c r="Q3593" t="str">
        <f t="shared" si="115"/>
        <v/>
      </c>
      <c r="R3593" s="54" t="str">
        <f t="shared" si="116"/>
        <v/>
      </c>
    </row>
    <row r="3594" spans="17:18" x14ac:dyDescent="0.3">
      <c r="Q3594" t="str">
        <f t="shared" si="115"/>
        <v/>
      </c>
      <c r="R3594" s="54" t="str">
        <f t="shared" si="116"/>
        <v/>
      </c>
    </row>
    <row r="3595" spans="17:18" x14ac:dyDescent="0.3">
      <c r="Q3595" t="str">
        <f t="shared" si="115"/>
        <v/>
      </c>
      <c r="R3595" s="54" t="str">
        <f t="shared" si="116"/>
        <v/>
      </c>
    </row>
    <row r="3596" spans="17:18" x14ac:dyDescent="0.3">
      <c r="Q3596" t="str">
        <f t="shared" si="115"/>
        <v/>
      </c>
      <c r="R3596" s="54" t="str">
        <f t="shared" si="116"/>
        <v/>
      </c>
    </row>
    <row r="3597" spans="17:18" x14ac:dyDescent="0.3">
      <c r="Q3597" t="str">
        <f t="shared" si="115"/>
        <v/>
      </c>
      <c r="R3597" s="54" t="str">
        <f t="shared" si="116"/>
        <v/>
      </c>
    </row>
    <row r="3598" spans="17:18" x14ac:dyDescent="0.3">
      <c r="Q3598" t="str">
        <f t="shared" si="115"/>
        <v/>
      </c>
      <c r="R3598" s="54" t="str">
        <f t="shared" si="116"/>
        <v/>
      </c>
    </row>
    <row r="3599" spans="17:18" x14ac:dyDescent="0.3">
      <c r="Q3599" t="str">
        <f t="shared" si="115"/>
        <v/>
      </c>
      <c r="R3599" s="54" t="str">
        <f t="shared" si="116"/>
        <v/>
      </c>
    </row>
    <row r="3600" spans="17:18" x14ac:dyDescent="0.3">
      <c r="Q3600" t="str">
        <f t="shared" si="115"/>
        <v/>
      </c>
      <c r="R3600" s="54" t="str">
        <f t="shared" si="116"/>
        <v/>
      </c>
    </row>
    <row r="3601" spans="17:18" x14ac:dyDescent="0.3">
      <c r="Q3601" t="str">
        <f t="shared" si="115"/>
        <v/>
      </c>
      <c r="R3601" s="54" t="str">
        <f t="shared" si="116"/>
        <v/>
      </c>
    </row>
    <row r="3602" spans="17:18" x14ac:dyDescent="0.3">
      <c r="Q3602" t="str">
        <f t="shared" si="115"/>
        <v/>
      </c>
      <c r="R3602" s="54" t="str">
        <f t="shared" si="116"/>
        <v/>
      </c>
    </row>
    <row r="3603" spans="17:18" x14ac:dyDescent="0.3">
      <c r="Q3603" t="str">
        <f t="shared" si="115"/>
        <v/>
      </c>
      <c r="R3603" s="54" t="str">
        <f t="shared" si="116"/>
        <v/>
      </c>
    </row>
    <row r="3604" spans="17:18" x14ac:dyDescent="0.3">
      <c r="Q3604" t="str">
        <f t="shared" si="115"/>
        <v/>
      </c>
      <c r="R3604" s="54" t="str">
        <f t="shared" si="116"/>
        <v/>
      </c>
    </row>
    <row r="3605" spans="17:18" x14ac:dyDescent="0.3">
      <c r="Q3605" t="str">
        <f t="shared" si="115"/>
        <v/>
      </c>
      <c r="R3605" s="54" t="str">
        <f t="shared" si="116"/>
        <v/>
      </c>
    </row>
    <row r="3606" spans="17:18" x14ac:dyDescent="0.3">
      <c r="Q3606" t="str">
        <f t="shared" si="115"/>
        <v/>
      </c>
      <c r="R3606" s="54" t="str">
        <f t="shared" si="116"/>
        <v/>
      </c>
    </row>
    <row r="3607" spans="17:18" x14ac:dyDescent="0.3">
      <c r="Q3607" t="str">
        <f t="shared" ref="Q3607:Q3670" si="117">IF(COUNTA(A3607:P3607)=0,"",IF(ISNUMBER(SEARCH("-AR-",E3621)),"Architectural",IF(ISNUMBER(SEARCH("-ST-",E3621)),"Structural",IF(ISNUMBER(SEARCH("-ME-",E3621)),"Mechanical",IF(ISNUMBER(SEARCH("-EL-",E3621)),"Electrical",IF(ISNUMBER(SEARCH("-GE-",E3621)),"General",IF(ISNUMBER(SEARCH("-AR-",D3621)),"Architectural",IF(ISNUMBER(SEARCH("-ST-",D3621)),"Structural",IF(ISNUMBER(SEARCH("-ME-",D3621)),"Mechanical",IF(ISNUMBER(SEARCH("-EL-",D3621)),"Electrical",IF(ISNUMBER(SEARCH("-GE-",D3621)),"General","Other")))))))))))</f>
        <v/>
      </c>
      <c r="R3607" s="54" t="str">
        <f t="shared" si="116"/>
        <v/>
      </c>
    </row>
    <row r="3608" spans="17:18" x14ac:dyDescent="0.3">
      <c r="Q3608" t="str">
        <f t="shared" si="117"/>
        <v/>
      </c>
      <c r="R3608" s="54" t="str">
        <f t="shared" si="116"/>
        <v/>
      </c>
    </row>
    <row r="3609" spans="17:18" x14ac:dyDescent="0.3">
      <c r="Q3609" t="str">
        <f t="shared" si="117"/>
        <v/>
      </c>
      <c r="R3609" s="54" t="str">
        <f t="shared" si="116"/>
        <v/>
      </c>
    </row>
    <row r="3610" spans="17:18" x14ac:dyDescent="0.3">
      <c r="Q3610" t="str">
        <f t="shared" si="117"/>
        <v/>
      </c>
      <c r="R3610" s="54" t="str">
        <f t="shared" si="116"/>
        <v/>
      </c>
    </row>
    <row r="3611" spans="17:18" x14ac:dyDescent="0.3">
      <c r="Q3611" t="str">
        <f t="shared" si="117"/>
        <v/>
      </c>
      <c r="R3611" s="54" t="str">
        <f t="shared" si="116"/>
        <v/>
      </c>
    </row>
    <row r="3612" spans="17:18" x14ac:dyDescent="0.3">
      <c r="Q3612" t="str">
        <f t="shared" si="117"/>
        <v/>
      </c>
      <c r="R3612" s="54" t="str">
        <f t="shared" si="116"/>
        <v/>
      </c>
    </row>
    <row r="3613" spans="17:18" x14ac:dyDescent="0.3">
      <c r="Q3613" t="str">
        <f t="shared" si="117"/>
        <v/>
      </c>
      <c r="R3613" s="54" t="str">
        <f t="shared" si="116"/>
        <v/>
      </c>
    </row>
    <row r="3614" spans="17:18" x14ac:dyDescent="0.3">
      <c r="Q3614" t="str">
        <f t="shared" si="117"/>
        <v/>
      </c>
      <c r="R3614" s="54" t="str">
        <f t="shared" si="116"/>
        <v/>
      </c>
    </row>
    <row r="3615" spans="17:18" x14ac:dyDescent="0.3">
      <c r="Q3615" t="str">
        <f t="shared" si="117"/>
        <v/>
      </c>
      <c r="R3615" s="54" t="str">
        <f t="shared" si="116"/>
        <v/>
      </c>
    </row>
    <row r="3616" spans="17:18" x14ac:dyDescent="0.3">
      <c r="Q3616" t="str">
        <f t="shared" si="117"/>
        <v/>
      </c>
      <c r="R3616" s="54" t="str">
        <f t="shared" si="116"/>
        <v/>
      </c>
    </row>
    <row r="3617" spans="17:18" x14ac:dyDescent="0.3">
      <c r="Q3617" t="str">
        <f t="shared" si="117"/>
        <v/>
      </c>
      <c r="R3617" s="54" t="str">
        <f t="shared" si="116"/>
        <v/>
      </c>
    </row>
    <row r="3618" spans="17:18" x14ac:dyDescent="0.3">
      <c r="Q3618" t="str">
        <f t="shared" si="117"/>
        <v/>
      </c>
      <c r="R3618" s="54" t="str">
        <f t="shared" si="116"/>
        <v/>
      </c>
    </row>
    <row r="3619" spans="17:18" x14ac:dyDescent="0.3">
      <c r="Q3619" t="str">
        <f t="shared" si="117"/>
        <v/>
      </c>
      <c r="R3619" s="54" t="str">
        <f t="shared" si="116"/>
        <v/>
      </c>
    </row>
    <row r="3620" spans="17:18" x14ac:dyDescent="0.3">
      <c r="Q3620" t="str">
        <f t="shared" si="117"/>
        <v/>
      </c>
      <c r="R3620" s="54" t="str">
        <f t="shared" si="116"/>
        <v/>
      </c>
    </row>
    <row r="3621" spans="17:18" x14ac:dyDescent="0.3">
      <c r="Q3621" t="str">
        <f t="shared" si="117"/>
        <v/>
      </c>
      <c r="R3621" s="54" t="str">
        <f t="shared" si="116"/>
        <v/>
      </c>
    </row>
    <row r="3622" spans="17:18" x14ac:dyDescent="0.3">
      <c r="Q3622" t="str">
        <f t="shared" si="117"/>
        <v/>
      </c>
      <c r="R3622" s="54" t="str">
        <f t="shared" si="116"/>
        <v/>
      </c>
    </row>
    <row r="3623" spans="17:18" x14ac:dyDescent="0.3">
      <c r="Q3623" t="str">
        <f t="shared" si="117"/>
        <v/>
      </c>
      <c r="R3623" s="54" t="str">
        <f t="shared" si="116"/>
        <v/>
      </c>
    </row>
    <row r="3624" spans="17:18" x14ac:dyDescent="0.3">
      <c r="Q3624" t="str">
        <f t="shared" si="117"/>
        <v/>
      </c>
      <c r="R3624" s="54" t="str">
        <f t="shared" si="116"/>
        <v/>
      </c>
    </row>
    <row r="3625" spans="17:18" x14ac:dyDescent="0.3">
      <c r="Q3625" t="str">
        <f t="shared" si="117"/>
        <v/>
      </c>
      <c r="R3625" s="54" t="str">
        <f t="shared" si="116"/>
        <v/>
      </c>
    </row>
    <row r="3626" spans="17:18" x14ac:dyDescent="0.3">
      <c r="Q3626" t="str">
        <f t="shared" si="117"/>
        <v/>
      </c>
      <c r="R3626" s="54" t="str">
        <f t="shared" si="116"/>
        <v/>
      </c>
    </row>
    <row r="3627" spans="17:18" x14ac:dyDescent="0.3">
      <c r="Q3627" t="str">
        <f t="shared" si="117"/>
        <v/>
      </c>
      <c r="R3627" s="54" t="str">
        <f t="shared" si="116"/>
        <v/>
      </c>
    </row>
    <row r="3628" spans="17:18" x14ac:dyDescent="0.3">
      <c r="Q3628" t="str">
        <f t="shared" si="117"/>
        <v/>
      </c>
      <c r="R3628" s="54" t="str">
        <f t="shared" si="116"/>
        <v/>
      </c>
    </row>
    <row r="3629" spans="17:18" x14ac:dyDescent="0.3">
      <c r="Q3629" t="str">
        <f t="shared" si="117"/>
        <v/>
      </c>
      <c r="R3629" s="54" t="str">
        <f t="shared" si="116"/>
        <v/>
      </c>
    </row>
    <row r="3630" spans="17:18" x14ac:dyDescent="0.3">
      <c r="Q3630" t="str">
        <f t="shared" si="117"/>
        <v/>
      </c>
      <c r="R3630" s="54" t="str">
        <f t="shared" si="116"/>
        <v/>
      </c>
    </row>
    <row r="3631" spans="17:18" x14ac:dyDescent="0.3">
      <c r="Q3631" t="str">
        <f t="shared" si="117"/>
        <v/>
      </c>
      <c r="R3631" s="54" t="str">
        <f t="shared" si="116"/>
        <v/>
      </c>
    </row>
    <row r="3632" spans="17:18" x14ac:dyDescent="0.3">
      <c r="Q3632" t="str">
        <f t="shared" si="117"/>
        <v/>
      </c>
      <c r="R3632" s="54" t="str">
        <f t="shared" si="116"/>
        <v/>
      </c>
    </row>
    <row r="3633" spans="17:18" x14ac:dyDescent="0.3">
      <c r="Q3633" t="str">
        <f t="shared" si="117"/>
        <v/>
      </c>
      <c r="R3633" s="54" t="str">
        <f t="shared" si="116"/>
        <v/>
      </c>
    </row>
    <row r="3634" spans="17:18" x14ac:dyDescent="0.3">
      <c r="Q3634" t="str">
        <f t="shared" si="117"/>
        <v/>
      </c>
      <c r="R3634" s="54" t="str">
        <f t="shared" si="116"/>
        <v/>
      </c>
    </row>
    <row r="3635" spans="17:18" x14ac:dyDescent="0.3">
      <c r="Q3635" t="str">
        <f t="shared" si="117"/>
        <v/>
      </c>
      <c r="R3635" s="54" t="str">
        <f t="shared" si="116"/>
        <v/>
      </c>
    </row>
    <row r="3636" spans="17:18" x14ac:dyDescent="0.3">
      <c r="Q3636" t="str">
        <f t="shared" si="117"/>
        <v/>
      </c>
      <c r="R3636" s="54" t="str">
        <f t="shared" si="116"/>
        <v/>
      </c>
    </row>
    <row r="3637" spans="17:18" x14ac:dyDescent="0.3">
      <c r="Q3637" t="str">
        <f t="shared" si="117"/>
        <v/>
      </c>
      <c r="R3637" s="54" t="str">
        <f t="shared" si="116"/>
        <v/>
      </c>
    </row>
    <row r="3638" spans="17:18" x14ac:dyDescent="0.3">
      <c r="Q3638" t="str">
        <f t="shared" si="117"/>
        <v/>
      </c>
      <c r="R3638" s="54" t="str">
        <f t="shared" si="116"/>
        <v/>
      </c>
    </row>
    <row r="3639" spans="17:18" x14ac:dyDescent="0.3">
      <c r="Q3639" t="str">
        <f t="shared" si="117"/>
        <v/>
      </c>
      <c r="R3639" s="54" t="str">
        <f t="shared" si="116"/>
        <v/>
      </c>
    </row>
    <row r="3640" spans="17:18" x14ac:dyDescent="0.3">
      <c r="Q3640" t="str">
        <f t="shared" si="117"/>
        <v/>
      </c>
      <c r="R3640" s="54" t="str">
        <f t="shared" si="116"/>
        <v/>
      </c>
    </row>
    <row r="3641" spans="17:18" x14ac:dyDescent="0.3">
      <c r="Q3641" t="str">
        <f t="shared" si="117"/>
        <v/>
      </c>
      <c r="R3641" s="54" t="str">
        <f t="shared" si="116"/>
        <v/>
      </c>
    </row>
    <row r="3642" spans="17:18" x14ac:dyDescent="0.3">
      <c r="Q3642" t="str">
        <f t="shared" si="117"/>
        <v/>
      </c>
      <c r="R3642" s="54" t="str">
        <f t="shared" si="116"/>
        <v/>
      </c>
    </row>
    <row r="3643" spans="17:18" x14ac:dyDescent="0.3">
      <c r="Q3643" t="str">
        <f t="shared" si="117"/>
        <v/>
      </c>
      <c r="R3643" s="54" t="str">
        <f t="shared" si="116"/>
        <v/>
      </c>
    </row>
    <row r="3644" spans="17:18" x14ac:dyDescent="0.3">
      <c r="Q3644" t="str">
        <f t="shared" si="117"/>
        <v/>
      </c>
      <c r="R3644" s="54" t="str">
        <f t="shared" si="116"/>
        <v/>
      </c>
    </row>
    <row r="3645" spans="17:18" x14ac:dyDescent="0.3">
      <c r="Q3645" t="str">
        <f t="shared" si="117"/>
        <v/>
      </c>
      <c r="R3645" s="54" t="str">
        <f t="shared" si="116"/>
        <v/>
      </c>
    </row>
    <row r="3646" spans="17:18" x14ac:dyDescent="0.3">
      <c r="Q3646" t="str">
        <f t="shared" si="117"/>
        <v/>
      </c>
      <c r="R3646" s="54" t="str">
        <f t="shared" si="116"/>
        <v/>
      </c>
    </row>
    <row r="3647" spans="17:18" x14ac:dyDescent="0.3">
      <c r="Q3647" t="str">
        <f t="shared" si="117"/>
        <v/>
      </c>
      <c r="R3647" s="54" t="str">
        <f t="shared" si="116"/>
        <v/>
      </c>
    </row>
    <row r="3648" spans="17:18" x14ac:dyDescent="0.3">
      <c r="Q3648" t="str">
        <f t="shared" si="117"/>
        <v/>
      </c>
      <c r="R3648" s="54" t="str">
        <f t="shared" si="116"/>
        <v/>
      </c>
    </row>
    <row r="3649" spans="17:18" x14ac:dyDescent="0.3">
      <c r="Q3649" t="str">
        <f t="shared" si="117"/>
        <v/>
      </c>
      <c r="R3649" s="54" t="str">
        <f t="shared" si="116"/>
        <v/>
      </c>
    </row>
    <row r="3650" spans="17:18" x14ac:dyDescent="0.3">
      <c r="Q3650" t="str">
        <f t="shared" si="117"/>
        <v/>
      </c>
      <c r="R3650" s="54" t="str">
        <f t="shared" si="116"/>
        <v/>
      </c>
    </row>
    <row r="3651" spans="17:18" x14ac:dyDescent="0.3">
      <c r="Q3651" t="str">
        <f t="shared" si="117"/>
        <v/>
      </c>
      <c r="R3651" s="54" t="str">
        <f t="shared" ref="R3651:R3714" si="118">IF(F3665="","",IFERROR(IF(ISNUMBER(F3665),F3665,DATEVALUE(F3665)),""))</f>
        <v/>
      </c>
    </row>
    <row r="3652" spans="17:18" x14ac:dyDescent="0.3">
      <c r="Q3652" t="str">
        <f t="shared" si="117"/>
        <v/>
      </c>
      <c r="R3652" s="54" t="str">
        <f t="shared" si="118"/>
        <v/>
      </c>
    </row>
    <row r="3653" spans="17:18" x14ac:dyDescent="0.3">
      <c r="Q3653" t="str">
        <f t="shared" si="117"/>
        <v/>
      </c>
      <c r="R3653" s="54" t="str">
        <f t="shared" si="118"/>
        <v/>
      </c>
    </row>
    <row r="3654" spans="17:18" x14ac:dyDescent="0.3">
      <c r="Q3654" t="str">
        <f t="shared" si="117"/>
        <v/>
      </c>
      <c r="R3654" s="54" t="str">
        <f t="shared" si="118"/>
        <v/>
      </c>
    </row>
    <row r="3655" spans="17:18" x14ac:dyDescent="0.3">
      <c r="Q3655" t="str">
        <f t="shared" si="117"/>
        <v/>
      </c>
      <c r="R3655" s="54" t="str">
        <f t="shared" si="118"/>
        <v/>
      </c>
    </row>
    <row r="3656" spans="17:18" x14ac:dyDescent="0.3">
      <c r="Q3656" t="str">
        <f t="shared" si="117"/>
        <v/>
      </c>
      <c r="R3656" s="54" t="str">
        <f t="shared" si="118"/>
        <v/>
      </c>
    </row>
    <row r="3657" spans="17:18" x14ac:dyDescent="0.3">
      <c r="Q3657" t="str">
        <f t="shared" si="117"/>
        <v/>
      </c>
      <c r="R3657" s="54" t="str">
        <f t="shared" si="118"/>
        <v/>
      </c>
    </row>
    <row r="3658" spans="17:18" x14ac:dyDescent="0.3">
      <c r="Q3658" t="str">
        <f t="shared" si="117"/>
        <v/>
      </c>
      <c r="R3658" s="54" t="str">
        <f t="shared" si="118"/>
        <v/>
      </c>
    </row>
    <row r="3659" spans="17:18" x14ac:dyDescent="0.3">
      <c r="Q3659" t="str">
        <f t="shared" si="117"/>
        <v/>
      </c>
      <c r="R3659" s="54" t="str">
        <f t="shared" si="118"/>
        <v/>
      </c>
    </row>
    <row r="3660" spans="17:18" x14ac:dyDescent="0.3">
      <c r="Q3660" t="str">
        <f t="shared" si="117"/>
        <v/>
      </c>
      <c r="R3660" s="54" t="str">
        <f t="shared" si="118"/>
        <v/>
      </c>
    </row>
    <row r="3661" spans="17:18" x14ac:dyDescent="0.3">
      <c r="Q3661" t="str">
        <f t="shared" si="117"/>
        <v/>
      </c>
      <c r="R3661" s="54" t="str">
        <f t="shared" si="118"/>
        <v/>
      </c>
    </row>
    <row r="3662" spans="17:18" x14ac:dyDescent="0.3">
      <c r="Q3662" t="str">
        <f t="shared" si="117"/>
        <v/>
      </c>
      <c r="R3662" s="54" t="str">
        <f t="shared" si="118"/>
        <v/>
      </c>
    </row>
    <row r="3663" spans="17:18" x14ac:dyDescent="0.3">
      <c r="Q3663" t="str">
        <f t="shared" si="117"/>
        <v/>
      </c>
      <c r="R3663" s="54" t="str">
        <f t="shared" si="118"/>
        <v/>
      </c>
    </row>
    <row r="3664" spans="17:18" x14ac:dyDescent="0.3">
      <c r="Q3664" t="str">
        <f t="shared" si="117"/>
        <v/>
      </c>
      <c r="R3664" s="54" t="str">
        <f t="shared" si="118"/>
        <v/>
      </c>
    </row>
    <row r="3665" spans="17:18" x14ac:dyDescent="0.3">
      <c r="Q3665" t="str">
        <f t="shared" si="117"/>
        <v/>
      </c>
      <c r="R3665" s="54" t="str">
        <f t="shared" si="118"/>
        <v/>
      </c>
    </row>
    <row r="3666" spans="17:18" x14ac:dyDescent="0.3">
      <c r="Q3666" t="str">
        <f t="shared" si="117"/>
        <v/>
      </c>
      <c r="R3666" s="54" t="str">
        <f t="shared" si="118"/>
        <v/>
      </c>
    </row>
    <row r="3667" spans="17:18" x14ac:dyDescent="0.3">
      <c r="Q3667" t="str">
        <f t="shared" si="117"/>
        <v/>
      </c>
      <c r="R3667" s="54" t="str">
        <f t="shared" si="118"/>
        <v/>
      </c>
    </row>
    <row r="3668" spans="17:18" x14ac:dyDescent="0.3">
      <c r="Q3668" t="str">
        <f t="shared" si="117"/>
        <v/>
      </c>
      <c r="R3668" s="54" t="str">
        <f t="shared" si="118"/>
        <v/>
      </c>
    </row>
    <row r="3669" spans="17:18" x14ac:dyDescent="0.3">
      <c r="Q3669" t="str">
        <f t="shared" si="117"/>
        <v/>
      </c>
      <c r="R3669" s="54" t="str">
        <f t="shared" si="118"/>
        <v/>
      </c>
    </row>
    <row r="3670" spans="17:18" x14ac:dyDescent="0.3">
      <c r="Q3670" t="str">
        <f t="shared" si="117"/>
        <v/>
      </c>
      <c r="R3670" s="54" t="str">
        <f t="shared" si="118"/>
        <v/>
      </c>
    </row>
    <row r="3671" spans="17:18" x14ac:dyDescent="0.3">
      <c r="Q3671" t="str">
        <f t="shared" ref="Q3671:Q3734" si="119">IF(COUNTA(A3671:P3671)=0,"",IF(ISNUMBER(SEARCH("-AR-",E3685)),"Architectural",IF(ISNUMBER(SEARCH("-ST-",E3685)),"Structural",IF(ISNUMBER(SEARCH("-ME-",E3685)),"Mechanical",IF(ISNUMBER(SEARCH("-EL-",E3685)),"Electrical",IF(ISNUMBER(SEARCH("-GE-",E3685)),"General",IF(ISNUMBER(SEARCH("-AR-",D3685)),"Architectural",IF(ISNUMBER(SEARCH("-ST-",D3685)),"Structural",IF(ISNUMBER(SEARCH("-ME-",D3685)),"Mechanical",IF(ISNUMBER(SEARCH("-EL-",D3685)),"Electrical",IF(ISNUMBER(SEARCH("-GE-",D3685)),"General","Other")))))))))))</f>
        <v/>
      </c>
      <c r="R3671" s="54" t="str">
        <f t="shared" si="118"/>
        <v/>
      </c>
    </row>
    <row r="3672" spans="17:18" x14ac:dyDescent="0.3">
      <c r="Q3672" t="str">
        <f t="shared" si="119"/>
        <v/>
      </c>
      <c r="R3672" s="54" t="str">
        <f t="shared" si="118"/>
        <v/>
      </c>
    </row>
    <row r="3673" spans="17:18" x14ac:dyDescent="0.3">
      <c r="Q3673" t="str">
        <f t="shared" si="119"/>
        <v/>
      </c>
      <c r="R3673" s="54" t="str">
        <f t="shared" si="118"/>
        <v/>
      </c>
    </row>
    <row r="3674" spans="17:18" x14ac:dyDescent="0.3">
      <c r="Q3674" t="str">
        <f t="shared" si="119"/>
        <v/>
      </c>
      <c r="R3674" s="54" t="str">
        <f t="shared" si="118"/>
        <v/>
      </c>
    </row>
    <row r="3675" spans="17:18" x14ac:dyDescent="0.3">
      <c r="Q3675" t="str">
        <f t="shared" si="119"/>
        <v/>
      </c>
      <c r="R3675" s="54" t="str">
        <f t="shared" si="118"/>
        <v/>
      </c>
    </row>
    <row r="3676" spans="17:18" x14ac:dyDescent="0.3">
      <c r="Q3676" t="str">
        <f t="shared" si="119"/>
        <v/>
      </c>
      <c r="R3676" s="54" t="str">
        <f t="shared" si="118"/>
        <v/>
      </c>
    </row>
    <row r="3677" spans="17:18" x14ac:dyDescent="0.3">
      <c r="Q3677" t="str">
        <f t="shared" si="119"/>
        <v/>
      </c>
      <c r="R3677" s="54" t="str">
        <f t="shared" si="118"/>
        <v/>
      </c>
    </row>
    <row r="3678" spans="17:18" x14ac:dyDescent="0.3">
      <c r="Q3678" t="str">
        <f t="shared" si="119"/>
        <v/>
      </c>
      <c r="R3678" s="54" t="str">
        <f t="shared" si="118"/>
        <v/>
      </c>
    </row>
    <row r="3679" spans="17:18" x14ac:dyDescent="0.3">
      <c r="Q3679" t="str">
        <f t="shared" si="119"/>
        <v/>
      </c>
      <c r="R3679" s="54" t="str">
        <f t="shared" si="118"/>
        <v/>
      </c>
    </row>
    <row r="3680" spans="17:18" x14ac:dyDescent="0.3">
      <c r="Q3680" t="str">
        <f t="shared" si="119"/>
        <v/>
      </c>
      <c r="R3680" s="54" t="str">
        <f t="shared" si="118"/>
        <v/>
      </c>
    </row>
    <row r="3681" spans="17:18" x14ac:dyDescent="0.3">
      <c r="Q3681" t="str">
        <f t="shared" si="119"/>
        <v/>
      </c>
      <c r="R3681" s="54" t="str">
        <f t="shared" si="118"/>
        <v/>
      </c>
    </row>
    <row r="3682" spans="17:18" x14ac:dyDescent="0.3">
      <c r="Q3682" t="str">
        <f t="shared" si="119"/>
        <v/>
      </c>
      <c r="R3682" s="54" t="str">
        <f t="shared" si="118"/>
        <v/>
      </c>
    </row>
    <row r="3683" spans="17:18" x14ac:dyDescent="0.3">
      <c r="Q3683" t="str">
        <f t="shared" si="119"/>
        <v/>
      </c>
      <c r="R3683" s="54" t="str">
        <f t="shared" si="118"/>
        <v/>
      </c>
    </row>
    <row r="3684" spans="17:18" x14ac:dyDescent="0.3">
      <c r="Q3684" t="str">
        <f t="shared" si="119"/>
        <v/>
      </c>
      <c r="R3684" s="54" t="str">
        <f t="shared" si="118"/>
        <v/>
      </c>
    </row>
    <row r="3685" spans="17:18" x14ac:dyDescent="0.3">
      <c r="Q3685" t="str">
        <f t="shared" si="119"/>
        <v/>
      </c>
      <c r="R3685" s="54" t="str">
        <f t="shared" si="118"/>
        <v/>
      </c>
    </row>
    <row r="3686" spans="17:18" x14ac:dyDescent="0.3">
      <c r="Q3686" t="str">
        <f t="shared" si="119"/>
        <v/>
      </c>
      <c r="R3686" s="54" t="str">
        <f t="shared" si="118"/>
        <v/>
      </c>
    </row>
    <row r="3687" spans="17:18" x14ac:dyDescent="0.3">
      <c r="Q3687" t="str">
        <f t="shared" si="119"/>
        <v/>
      </c>
      <c r="R3687" s="54" t="str">
        <f t="shared" si="118"/>
        <v/>
      </c>
    </row>
    <row r="3688" spans="17:18" x14ac:dyDescent="0.3">
      <c r="Q3688" t="str">
        <f t="shared" si="119"/>
        <v/>
      </c>
      <c r="R3688" s="54" t="str">
        <f t="shared" si="118"/>
        <v/>
      </c>
    </row>
    <row r="3689" spans="17:18" x14ac:dyDescent="0.3">
      <c r="Q3689" t="str">
        <f t="shared" si="119"/>
        <v/>
      </c>
      <c r="R3689" s="54" t="str">
        <f t="shared" si="118"/>
        <v/>
      </c>
    </row>
    <row r="3690" spans="17:18" x14ac:dyDescent="0.3">
      <c r="Q3690" t="str">
        <f t="shared" si="119"/>
        <v/>
      </c>
      <c r="R3690" s="54" t="str">
        <f t="shared" si="118"/>
        <v/>
      </c>
    </row>
    <row r="3691" spans="17:18" x14ac:dyDescent="0.3">
      <c r="Q3691" t="str">
        <f t="shared" si="119"/>
        <v/>
      </c>
      <c r="R3691" s="54" t="str">
        <f t="shared" si="118"/>
        <v/>
      </c>
    </row>
    <row r="3692" spans="17:18" x14ac:dyDescent="0.3">
      <c r="Q3692" t="str">
        <f t="shared" si="119"/>
        <v/>
      </c>
      <c r="R3692" s="54" t="str">
        <f t="shared" si="118"/>
        <v/>
      </c>
    </row>
    <row r="3693" spans="17:18" x14ac:dyDescent="0.3">
      <c r="Q3693" t="str">
        <f t="shared" si="119"/>
        <v/>
      </c>
      <c r="R3693" s="54" t="str">
        <f t="shared" si="118"/>
        <v/>
      </c>
    </row>
    <row r="3694" spans="17:18" x14ac:dyDescent="0.3">
      <c r="Q3694" t="str">
        <f t="shared" si="119"/>
        <v/>
      </c>
      <c r="R3694" s="54" t="str">
        <f t="shared" si="118"/>
        <v/>
      </c>
    </row>
    <row r="3695" spans="17:18" x14ac:dyDescent="0.3">
      <c r="Q3695" t="str">
        <f t="shared" si="119"/>
        <v/>
      </c>
      <c r="R3695" s="54" t="str">
        <f t="shared" si="118"/>
        <v/>
      </c>
    </row>
    <row r="3696" spans="17:18" x14ac:dyDescent="0.3">
      <c r="Q3696" t="str">
        <f t="shared" si="119"/>
        <v/>
      </c>
      <c r="R3696" s="54" t="str">
        <f t="shared" si="118"/>
        <v/>
      </c>
    </row>
    <row r="3697" spans="17:18" x14ac:dyDescent="0.3">
      <c r="Q3697" t="str">
        <f t="shared" si="119"/>
        <v/>
      </c>
      <c r="R3697" s="54" t="str">
        <f t="shared" si="118"/>
        <v/>
      </c>
    </row>
    <row r="3698" spans="17:18" x14ac:dyDescent="0.3">
      <c r="Q3698" t="str">
        <f t="shared" si="119"/>
        <v/>
      </c>
      <c r="R3698" s="54" t="str">
        <f t="shared" si="118"/>
        <v/>
      </c>
    </row>
    <row r="3699" spans="17:18" x14ac:dyDescent="0.3">
      <c r="Q3699" t="str">
        <f t="shared" si="119"/>
        <v/>
      </c>
      <c r="R3699" s="54" t="str">
        <f t="shared" si="118"/>
        <v/>
      </c>
    </row>
    <row r="3700" spans="17:18" x14ac:dyDescent="0.3">
      <c r="Q3700" t="str">
        <f t="shared" si="119"/>
        <v/>
      </c>
      <c r="R3700" s="54" t="str">
        <f t="shared" si="118"/>
        <v/>
      </c>
    </row>
    <row r="3701" spans="17:18" x14ac:dyDescent="0.3">
      <c r="Q3701" t="str">
        <f t="shared" si="119"/>
        <v/>
      </c>
      <c r="R3701" s="54" t="str">
        <f t="shared" si="118"/>
        <v/>
      </c>
    </row>
    <row r="3702" spans="17:18" x14ac:dyDescent="0.3">
      <c r="Q3702" t="str">
        <f t="shared" si="119"/>
        <v/>
      </c>
      <c r="R3702" s="54" t="str">
        <f t="shared" si="118"/>
        <v/>
      </c>
    </row>
    <row r="3703" spans="17:18" x14ac:dyDescent="0.3">
      <c r="Q3703" t="str">
        <f t="shared" si="119"/>
        <v/>
      </c>
      <c r="R3703" s="54" t="str">
        <f t="shared" si="118"/>
        <v/>
      </c>
    </row>
    <row r="3704" spans="17:18" x14ac:dyDescent="0.3">
      <c r="Q3704" t="str">
        <f t="shared" si="119"/>
        <v/>
      </c>
      <c r="R3704" s="54" t="str">
        <f t="shared" si="118"/>
        <v/>
      </c>
    </row>
    <row r="3705" spans="17:18" x14ac:dyDescent="0.3">
      <c r="Q3705" t="str">
        <f t="shared" si="119"/>
        <v/>
      </c>
      <c r="R3705" s="54" t="str">
        <f t="shared" si="118"/>
        <v/>
      </c>
    </row>
    <row r="3706" spans="17:18" x14ac:dyDescent="0.3">
      <c r="Q3706" t="str">
        <f t="shared" si="119"/>
        <v/>
      </c>
      <c r="R3706" s="54" t="str">
        <f t="shared" si="118"/>
        <v/>
      </c>
    </row>
    <row r="3707" spans="17:18" x14ac:dyDescent="0.3">
      <c r="Q3707" t="str">
        <f t="shared" si="119"/>
        <v/>
      </c>
      <c r="R3707" s="54" t="str">
        <f t="shared" si="118"/>
        <v/>
      </c>
    </row>
    <row r="3708" spans="17:18" x14ac:dyDescent="0.3">
      <c r="Q3708" t="str">
        <f t="shared" si="119"/>
        <v/>
      </c>
      <c r="R3708" s="54" t="str">
        <f t="shared" si="118"/>
        <v/>
      </c>
    </row>
    <row r="3709" spans="17:18" x14ac:dyDescent="0.3">
      <c r="Q3709" t="str">
        <f t="shared" si="119"/>
        <v/>
      </c>
      <c r="R3709" s="54" t="str">
        <f t="shared" si="118"/>
        <v/>
      </c>
    </row>
    <row r="3710" spans="17:18" x14ac:dyDescent="0.3">
      <c r="Q3710" t="str">
        <f t="shared" si="119"/>
        <v/>
      </c>
      <c r="R3710" s="54" t="str">
        <f t="shared" si="118"/>
        <v/>
      </c>
    </row>
    <row r="3711" spans="17:18" x14ac:dyDescent="0.3">
      <c r="Q3711" t="str">
        <f t="shared" si="119"/>
        <v/>
      </c>
      <c r="R3711" s="54" t="str">
        <f t="shared" si="118"/>
        <v/>
      </c>
    </row>
    <row r="3712" spans="17:18" x14ac:dyDescent="0.3">
      <c r="Q3712" t="str">
        <f t="shared" si="119"/>
        <v/>
      </c>
      <c r="R3712" s="54" t="str">
        <f t="shared" si="118"/>
        <v/>
      </c>
    </row>
    <row r="3713" spans="17:18" x14ac:dyDescent="0.3">
      <c r="Q3713" t="str">
        <f t="shared" si="119"/>
        <v/>
      </c>
      <c r="R3713" s="54" t="str">
        <f t="shared" si="118"/>
        <v/>
      </c>
    </row>
    <row r="3714" spans="17:18" x14ac:dyDescent="0.3">
      <c r="Q3714" t="str">
        <f t="shared" si="119"/>
        <v/>
      </c>
      <c r="R3714" s="54" t="str">
        <f t="shared" si="118"/>
        <v/>
      </c>
    </row>
    <row r="3715" spans="17:18" x14ac:dyDescent="0.3">
      <c r="Q3715" t="str">
        <f t="shared" si="119"/>
        <v/>
      </c>
      <c r="R3715" s="54" t="str">
        <f t="shared" ref="R3715:R3778" si="120">IF(F3729="","",IFERROR(IF(ISNUMBER(F3729),F3729,DATEVALUE(F3729)),""))</f>
        <v/>
      </c>
    </row>
    <row r="3716" spans="17:18" x14ac:dyDescent="0.3">
      <c r="Q3716" t="str">
        <f t="shared" si="119"/>
        <v/>
      </c>
      <c r="R3716" s="54" t="str">
        <f t="shared" si="120"/>
        <v/>
      </c>
    </row>
    <row r="3717" spans="17:18" x14ac:dyDescent="0.3">
      <c r="Q3717" t="str">
        <f t="shared" si="119"/>
        <v/>
      </c>
      <c r="R3717" s="54" t="str">
        <f t="shared" si="120"/>
        <v/>
      </c>
    </row>
    <row r="3718" spans="17:18" x14ac:dyDescent="0.3">
      <c r="Q3718" t="str">
        <f t="shared" si="119"/>
        <v/>
      </c>
      <c r="R3718" s="54" t="str">
        <f t="shared" si="120"/>
        <v/>
      </c>
    </row>
    <row r="3719" spans="17:18" x14ac:dyDescent="0.3">
      <c r="Q3719" t="str">
        <f t="shared" si="119"/>
        <v/>
      </c>
      <c r="R3719" s="54" t="str">
        <f t="shared" si="120"/>
        <v/>
      </c>
    </row>
    <row r="3720" spans="17:18" x14ac:dyDescent="0.3">
      <c r="Q3720" t="str">
        <f t="shared" si="119"/>
        <v/>
      </c>
      <c r="R3720" s="54" t="str">
        <f t="shared" si="120"/>
        <v/>
      </c>
    </row>
    <row r="3721" spans="17:18" x14ac:dyDescent="0.3">
      <c r="Q3721" t="str">
        <f t="shared" si="119"/>
        <v/>
      </c>
      <c r="R3721" s="54" t="str">
        <f t="shared" si="120"/>
        <v/>
      </c>
    </row>
    <row r="3722" spans="17:18" x14ac:dyDescent="0.3">
      <c r="Q3722" t="str">
        <f t="shared" si="119"/>
        <v/>
      </c>
      <c r="R3722" s="54" t="str">
        <f t="shared" si="120"/>
        <v/>
      </c>
    </row>
    <row r="3723" spans="17:18" x14ac:dyDescent="0.3">
      <c r="Q3723" t="str">
        <f t="shared" si="119"/>
        <v/>
      </c>
      <c r="R3723" s="54" t="str">
        <f t="shared" si="120"/>
        <v/>
      </c>
    </row>
    <row r="3724" spans="17:18" x14ac:dyDescent="0.3">
      <c r="Q3724" t="str">
        <f t="shared" si="119"/>
        <v/>
      </c>
      <c r="R3724" s="54" t="str">
        <f t="shared" si="120"/>
        <v/>
      </c>
    </row>
    <row r="3725" spans="17:18" x14ac:dyDescent="0.3">
      <c r="Q3725" t="str">
        <f t="shared" si="119"/>
        <v/>
      </c>
      <c r="R3725" s="54" t="str">
        <f t="shared" si="120"/>
        <v/>
      </c>
    </row>
    <row r="3726" spans="17:18" x14ac:dyDescent="0.3">
      <c r="Q3726" t="str">
        <f t="shared" si="119"/>
        <v/>
      </c>
      <c r="R3726" s="54" t="str">
        <f t="shared" si="120"/>
        <v/>
      </c>
    </row>
    <row r="3727" spans="17:18" x14ac:dyDescent="0.3">
      <c r="Q3727" t="str">
        <f t="shared" si="119"/>
        <v/>
      </c>
      <c r="R3727" s="54" t="str">
        <f t="shared" si="120"/>
        <v/>
      </c>
    </row>
    <row r="3728" spans="17:18" x14ac:dyDescent="0.3">
      <c r="Q3728" t="str">
        <f t="shared" si="119"/>
        <v/>
      </c>
      <c r="R3728" s="54" t="str">
        <f t="shared" si="120"/>
        <v/>
      </c>
    </row>
    <row r="3729" spans="17:18" x14ac:dyDescent="0.3">
      <c r="Q3729" t="str">
        <f t="shared" si="119"/>
        <v/>
      </c>
      <c r="R3729" s="54" t="str">
        <f t="shared" si="120"/>
        <v/>
      </c>
    </row>
    <row r="3730" spans="17:18" x14ac:dyDescent="0.3">
      <c r="Q3730" t="str">
        <f t="shared" si="119"/>
        <v/>
      </c>
      <c r="R3730" s="54" t="str">
        <f t="shared" si="120"/>
        <v/>
      </c>
    </row>
    <row r="3731" spans="17:18" x14ac:dyDescent="0.3">
      <c r="Q3731" t="str">
        <f t="shared" si="119"/>
        <v/>
      </c>
      <c r="R3731" s="54" t="str">
        <f t="shared" si="120"/>
        <v/>
      </c>
    </row>
    <row r="3732" spans="17:18" x14ac:dyDescent="0.3">
      <c r="Q3732" t="str">
        <f t="shared" si="119"/>
        <v/>
      </c>
      <c r="R3732" s="54" t="str">
        <f t="shared" si="120"/>
        <v/>
      </c>
    </row>
    <row r="3733" spans="17:18" x14ac:dyDescent="0.3">
      <c r="Q3733" t="str">
        <f t="shared" si="119"/>
        <v/>
      </c>
      <c r="R3733" s="54" t="str">
        <f t="shared" si="120"/>
        <v/>
      </c>
    </row>
    <row r="3734" spans="17:18" x14ac:dyDescent="0.3">
      <c r="Q3734" t="str">
        <f t="shared" si="119"/>
        <v/>
      </c>
      <c r="R3734" s="54" t="str">
        <f t="shared" si="120"/>
        <v/>
      </c>
    </row>
    <row r="3735" spans="17:18" x14ac:dyDescent="0.3">
      <c r="Q3735" t="str">
        <f t="shared" ref="Q3735:Q3798" si="121">IF(COUNTA(A3735:P3735)=0,"",IF(ISNUMBER(SEARCH("-AR-",E3749)),"Architectural",IF(ISNUMBER(SEARCH("-ST-",E3749)),"Structural",IF(ISNUMBER(SEARCH("-ME-",E3749)),"Mechanical",IF(ISNUMBER(SEARCH("-EL-",E3749)),"Electrical",IF(ISNUMBER(SEARCH("-GE-",E3749)),"General",IF(ISNUMBER(SEARCH("-AR-",D3749)),"Architectural",IF(ISNUMBER(SEARCH("-ST-",D3749)),"Structural",IF(ISNUMBER(SEARCH("-ME-",D3749)),"Mechanical",IF(ISNUMBER(SEARCH("-EL-",D3749)),"Electrical",IF(ISNUMBER(SEARCH("-GE-",D3749)),"General","Other")))))))))))</f>
        <v/>
      </c>
      <c r="R3735" s="54" t="str">
        <f t="shared" si="120"/>
        <v/>
      </c>
    </row>
    <row r="3736" spans="17:18" x14ac:dyDescent="0.3">
      <c r="Q3736" t="str">
        <f t="shared" si="121"/>
        <v/>
      </c>
      <c r="R3736" s="54" t="str">
        <f t="shared" si="120"/>
        <v/>
      </c>
    </row>
    <row r="3737" spans="17:18" x14ac:dyDescent="0.3">
      <c r="Q3737" t="str">
        <f t="shared" si="121"/>
        <v/>
      </c>
      <c r="R3737" s="54" t="str">
        <f t="shared" si="120"/>
        <v/>
      </c>
    </row>
    <row r="3738" spans="17:18" x14ac:dyDescent="0.3">
      <c r="Q3738" t="str">
        <f t="shared" si="121"/>
        <v/>
      </c>
      <c r="R3738" s="54" t="str">
        <f t="shared" si="120"/>
        <v/>
      </c>
    </row>
    <row r="3739" spans="17:18" x14ac:dyDescent="0.3">
      <c r="Q3739" t="str">
        <f t="shared" si="121"/>
        <v/>
      </c>
      <c r="R3739" s="54" t="str">
        <f t="shared" si="120"/>
        <v/>
      </c>
    </row>
    <row r="3740" spans="17:18" x14ac:dyDescent="0.3">
      <c r="Q3740" t="str">
        <f t="shared" si="121"/>
        <v/>
      </c>
      <c r="R3740" s="54" t="str">
        <f t="shared" si="120"/>
        <v/>
      </c>
    </row>
    <row r="3741" spans="17:18" x14ac:dyDescent="0.3">
      <c r="Q3741" t="str">
        <f t="shared" si="121"/>
        <v/>
      </c>
      <c r="R3741" s="54" t="str">
        <f t="shared" si="120"/>
        <v/>
      </c>
    </row>
    <row r="3742" spans="17:18" x14ac:dyDescent="0.3">
      <c r="Q3742" t="str">
        <f t="shared" si="121"/>
        <v/>
      </c>
      <c r="R3742" s="54" t="str">
        <f t="shared" si="120"/>
        <v/>
      </c>
    </row>
    <row r="3743" spans="17:18" x14ac:dyDescent="0.3">
      <c r="Q3743" t="str">
        <f t="shared" si="121"/>
        <v/>
      </c>
      <c r="R3743" s="54" t="str">
        <f t="shared" si="120"/>
        <v/>
      </c>
    </row>
    <row r="3744" spans="17:18" x14ac:dyDescent="0.3">
      <c r="Q3744" t="str">
        <f t="shared" si="121"/>
        <v/>
      </c>
      <c r="R3744" s="54" t="str">
        <f t="shared" si="120"/>
        <v/>
      </c>
    </row>
    <row r="3745" spans="17:18" x14ac:dyDescent="0.3">
      <c r="Q3745" t="str">
        <f t="shared" si="121"/>
        <v/>
      </c>
      <c r="R3745" s="54" t="str">
        <f t="shared" si="120"/>
        <v/>
      </c>
    </row>
    <row r="3746" spans="17:18" x14ac:dyDescent="0.3">
      <c r="Q3746" t="str">
        <f t="shared" si="121"/>
        <v/>
      </c>
      <c r="R3746" s="54" t="str">
        <f t="shared" si="120"/>
        <v/>
      </c>
    </row>
    <row r="3747" spans="17:18" x14ac:dyDescent="0.3">
      <c r="Q3747" t="str">
        <f t="shared" si="121"/>
        <v/>
      </c>
      <c r="R3747" s="54" t="str">
        <f t="shared" si="120"/>
        <v/>
      </c>
    </row>
    <row r="3748" spans="17:18" x14ac:dyDescent="0.3">
      <c r="Q3748" t="str">
        <f t="shared" si="121"/>
        <v/>
      </c>
      <c r="R3748" s="54" t="str">
        <f t="shared" si="120"/>
        <v/>
      </c>
    </row>
    <row r="3749" spans="17:18" x14ac:dyDescent="0.3">
      <c r="Q3749" t="str">
        <f t="shared" si="121"/>
        <v/>
      </c>
      <c r="R3749" s="54" t="str">
        <f t="shared" si="120"/>
        <v/>
      </c>
    </row>
    <row r="3750" spans="17:18" x14ac:dyDescent="0.3">
      <c r="Q3750" t="str">
        <f t="shared" si="121"/>
        <v/>
      </c>
      <c r="R3750" s="54" t="str">
        <f t="shared" si="120"/>
        <v/>
      </c>
    </row>
    <row r="3751" spans="17:18" x14ac:dyDescent="0.3">
      <c r="Q3751" t="str">
        <f t="shared" si="121"/>
        <v/>
      </c>
      <c r="R3751" s="54" t="str">
        <f t="shared" si="120"/>
        <v/>
      </c>
    </row>
    <row r="3752" spans="17:18" x14ac:dyDescent="0.3">
      <c r="Q3752" t="str">
        <f t="shared" si="121"/>
        <v/>
      </c>
      <c r="R3752" s="54" t="str">
        <f t="shared" si="120"/>
        <v/>
      </c>
    </row>
    <row r="3753" spans="17:18" x14ac:dyDescent="0.3">
      <c r="Q3753" t="str">
        <f t="shared" si="121"/>
        <v/>
      </c>
      <c r="R3753" s="54" t="str">
        <f t="shared" si="120"/>
        <v/>
      </c>
    </row>
    <row r="3754" spans="17:18" x14ac:dyDescent="0.3">
      <c r="Q3754" t="str">
        <f t="shared" si="121"/>
        <v/>
      </c>
      <c r="R3754" s="54" t="str">
        <f t="shared" si="120"/>
        <v/>
      </c>
    </row>
    <row r="3755" spans="17:18" x14ac:dyDescent="0.3">
      <c r="Q3755" t="str">
        <f t="shared" si="121"/>
        <v/>
      </c>
      <c r="R3755" s="54" t="str">
        <f t="shared" si="120"/>
        <v/>
      </c>
    </row>
    <row r="3756" spans="17:18" x14ac:dyDescent="0.3">
      <c r="Q3756" t="str">
        <f t="shared" si="121"/>
        <v/>
      </c>
      <c r="R3756" s="54" t="str">
        <f t="shared" si="120"/>
        <v/>
      </c>
    </row>
    <row r="3757" spans="17:18" x14ac:dyDescent="0.3">
      <c r="Q3757" t="str">
        <f t="shared" si="121"/>
        <v/>
      </c>
      <c r="R3757" s="54" t="str">
        <f t="shared" si="120"/>
        <v/>
      </c>
    </row>
    <row r="3758" spans="17:18" x14ac:dyDescent="0.3">
      <c r="Q3758" t="str">
        <f t="shared" si="121"/>
        <v/>
      </c>
      <c r="R3758" s="54" t="str">
        <f t="shared" si="120"/>
        <v/>
      </c>
    </row>
    <row r="3759" spans="17:18" x14ac:dyDescent="0.3">
      <c r="Q3759" t="str">
        <f t="shared" si="121"/>
        <v/>
      </c>
      <c r="R3759" s="54" t="str">
        <f t="shared" si="120"/>
        <v/>
      </c>
    </row>
    <row r="3760" spans="17:18" x14ac:dyDescent="0.3">
      <c r="Q3760" t="str">
        <f t="shared" si="121"/>
        <v/>
      </c>
      <c r="R3760" s="54" t="str">
        <f t="shared" si="120"/>
        <v/>
      </c>
    </row>
    <row r="3761" spans="17:18" x14ac:dyDescent="0.3">
      <c r="Q3761" t="str">
        <f t="shared" si="121"/>
        <v/>
      </c>
      <c r="R3761" s="54" t="str">
        <f t="shared" si="120"/>
        <v/>
      </c>
    </row>
    <row r="3762" spans="17:18" x14ac:dyDescent="0.3">
      <c r="Q3762" t="str">
        <f t="shared" si="121"/>
        <v/>
      </c>
      <c r="R3762" s="54" t="str">
        <f t="shared" si="120"/>
        <v/>
      </c>
    </row>
    <row r="3763" spans="17:18" x14ac:dyDescent="0.3">
      <c r="Q3763" t="str">
        <f t="shared" si="121"/>
        <v/>
      </c>
      <c r="R3763" s="54" t="str">
        <f t="shared" si="120"/>
        <v/>
      </c>
    </row>
    <row r="3764" spans="17:18" x14ac:dyDescent="0.3">
      <c r="Q3764" t="str">
        <f t="shared" si="121"/>
        <v/>
      </c>
      <c r="R3764" s="54" t="str">
        <f t="shared" si="120"/>
        <v/>
      </c>
    </row>
    <row r="3765" spans="17:18" x14ac:dyDescent="0.3">
      <c r="Q3765" t="str">
        <f t="shared" si="121"/>
        <v/>
      </c>
      <c r="R3765" s="54" t="str">
        <f t="shared" si="120"/>
        <v/>
      </c>
    </row>
    <row r="3766" spans="17:18" x14ac:dyDescent="0.3">
      <c r="Q3766" t="str">
        <f t="shared" si="121"/>
        <v/>
      </c>
      <c r="R3766" s="54" t="str">
        <f t="shared" si="120"/>
        <v/>
      </c>
    </row>
    <row r="3767" spans="17:18" x14ac:dyDescent="0.3">
      <c r="Q3767" t="str">
        <f t="shared" si="121"/>
        <v/>
      </c>
      <c r="R3767" s="54" t="str">
        <f t="shared" si="120"/>
        <v/>
      </c>
    </row>
    <row r="3768" spans="17:18" x14ac:dyDescent="0.3">
      <c r="Q3768" t="str">
        <f t="shared" si="121"/>
        <v/>
      </c>
      <c r="R3768" s="54" t="str">
        <f t="shared" si="120"/>
        <v/>
      </c>
    </row>
    <row r="3769" spans="17:18" x14ac:dyDescent="0.3">
      <c r="Q3769" t="str">
        <f t="shared" si="121"/>
        <v/>
      </c>
      <c r="R3769" s="54" t="str">
        <f t="shared" si="120"/>
        <v/>
      </c>
    </row>
    <row r="3770" spans="17:18" x14ac:dyDescent="0.3">
      <c r="Q3770" t="str">
        <f t="shared" si="121"/>
        <v/>
      </c>
      <c r="R3770" s="54" t="str">
        <f t="shared" si="120"/>
        <v/>
      </c>
    </row>
    <row r="3771" spans="17:18" x14ac:dyDescent="0.3">
      <c r="Q3771" t="str">
        <f t="shared" si="121"/>
        <v/>
      </c>
      <c r="R3771" s="54" t="str">
        <f t="shared" si="120"/>
        <v/>
      </c>
    </row>
    <row r="3772" spans="17:18" x14ac:dyDescent="0.3">
      <c r="Q3772" t="str">
        <f t="shared" si="121"/>
        <v/>
      </c>
      <c r="R3772" s="54" t="str">
        <f t="shared" si="120"/>
        <v/>
      </c>
    </row>
    <row r="3773" spans="17:18" x14ac:dyDescent="0.3">
      <c r="Q3773" t="str">
        <f t="shared" si="121"/>
        <v/>
      </c>
      <c r="R3773" s="54" t="str">
        <f t="shared" si="120"/>
        <v/>
      </c>
    </row>
    <row r="3774" spans="17:18" x14ac:dyDescent="0.3">
      <c r="Q3774" t="str">
        <f t="shared" si="121"/>
        <v/>
      </c>
      <c r="R3774" s="54" t="str">
        <f t="shared" si="120"/>
        <v/>
      </c>
    </row>
    <row r="3775" spans="17:18" x14ac:dyDescent="0.3">
      <c r="Q3775" t="str">
        <f t="shared" si="121"/>
        <v/>
      </c>
      <c r="R3775" s="54" t="str">
        <f t="shared" si="120"/>
        <v/>
      </c>
    </row>
    <row r="3776" spans="17:18" x14ac:dyDescent="0.3">
      <c r="Q3776" t="str">
        <f t="shared" si="121"/>
        <v/>
      </c>
      <c r="R3776" s="54" t="str">
        <f t="shared" si="120"/>
        <v/>
      </c>
    </row>
    <row r="3777" spans="17:18" x14ac:dyDescent="0.3">
      <c r="Q3777" t="str">
        <f t="shared" si="121"/>
        <v/>
      </c>
      <c r="R3777" s="54" t="str">
        <f t="shared" si="120"/>
        <v/>
      </c>
    </row>
    <row r="3778" spans="17:18" x14ac:dyDescent="0.3">
      <c r="Q3778" t="str">
        <f t="shared" si="121"/>
        <v/>
      </c>
      <c r="R3778" s="54" t="str">
        <f t="shared" si="120"/>
        <v/>
      </c>
    </row>
    <row r="3779" spans="17:18" x14ac:dyDescent="0.3">
      <c r="Q3779" t="str">
        <f t="shared" si="121"/>
        <v/>
      </c>
      <c r="R3779" s="54" t="str">
        <f t="shared" ref="R3779:R3842" si="122">IF(F3793="","",IFERROR(IF(ISNUMBER(F3793),F3793,DATEVALUE(F3793)),""))</f>
        <v/>
      </c>
    </row>
    <row r="3780" spans="17:18" x14ac:dyDescent="0.3">
      <c r="Q3780" t="str">
        <f t="shared" si="121"/>
        <v/>
      </c>
      <c r="R3780" s="54" t="str">
        <f t="shared" si="122"/>
        <v/>
      </c>
    </row>
    <row r="3781" spans="17:18" x14ac:dyDescent="0.3">
      <c r="Q3781" t="str">
        <f t="shared" si="121"/>
        <v/>
      </c>
      <c r="R3781" s="54" t="str">
        <f t="shared" si="122"/>
        <v/>
      </c>
    </row>
    <row r="3782" spans="17:18" x14ac:dyDescent="0.3">
      <c r="Q3782" t="str">
        <f t="shared" si="121"/>
        <v/>
      </c>
      <c r="R3782" s="54" t="str">
        <f t="shared" si="122"/>
        <v/>
      </c>
    </row>
    <row r="3783" spans="17:18" x14ac:dyDescent="0.3">
      <c r="Q3783" t="str">
        <f t="shared" si="121"/>
        <v/>
      </c>
      <c r="R3783" s="54" t="str">
        <f t="shared" si="122"/>
        <v/>
      </c>
    </row>
    <row r="3784" spans="17:18" x14ac:dyDescent="0.3">
      <c r="Q3784" t="str">
        <f t="shared" si="121"/>
        <v/>
      </c>
      <c r="R3784" s="54" t="str">
        <f t="shared" si="122"/>
        <v/>
      </c>
    </row>
    <row r="3785" spans="17:18" x14ac:dyDescent="0.3">
      <c r="Q3785" t="str">
        <f t="shared" si="121"/>
        <v/>
      </c>
      <c r="R3785" s="54" t="str">
        <f t="shared" si="122"/>
        <v/>
      </c>
    </row>
    <row r="3786" spans="17:18" x14ac:dyDescent="0.3">
      <c r="Q3786" t="str">
        <f t="shared" si="121"/>
        <v/>
      </c>
      <c r="R3786" s="54" t="str">
        <f t="shared" si="122"/>
        <v/>
      </c>
    </row>
    <row r="3787" spans="17:18" x14ac:dyDescent="0.3">
      <c r="Q3787" t="str">
        <f t="shared" si="121"/>
        <v/>
      </c>
      <c r="R3787" s="54" t="str">
        <f t="shared" si="122"/>
        <v/>
      </c>
    </row>
    <row r="3788" spans="17:18" x14ac:dyDescent="0.3">
      <c r="Q3788" t="str">
        <f t="shared" si="121"/>
        <v/>
      </c>
      <c r="R3788" s="54" t="str">
        <f t="shared" si="122"/>
        <v/>
      </c>
    </row>
    <row r="3789" spans="17:18" x14ac:dyDescent="0.3">
      <c r="Q3789" t="str">
        <f t="shared" si="121"/>
        <v/>
      </c>
      <c r="R3789" s="54" t="str">
        <f t="shared" si="122"/>
        <v/>
      </c>
    </row>
    <row r="3790" spans="17:18" x14ac:dyDescent="0.3">
      <c r="Q3790" t="str">
        <f t="shared" si="121"/>
        <v/>
      </c>
      <c r="R3790" s="54" t="str">
        <f t="shared" si="122"/>
        <v/>
      </c>
    </row>
    <row r="3791" spans="17:18" x14ac:dyDescent="0.3">
      <c r="Q3791" t="str">
        <f t="shared" si="121"/>
        <v/>
      </c>
      <c r="R3791" s="54" t="str">
        <f t="shared" si="122"/>
        <v/>
      </c>
    </row>
    <row r="3792" spans="17:18" x14ac:dyDescent="0.3">
      <c r="Q3792" t="str">
        <f t="shared" si="121"/>
        <v/>
      </c>
      <c r="R3792" s="54" t="str">
        <f t="shared" si="122"/>
        <v/>
      </c>
    </row>
    <row r="3793" spans="17:18" x14ac:dyDescent="0.3">
      <c r="Q3793" t="str">
        <f t="shared" si="121"/>
        <v/>
      </c>
      <c r="R3793" s="54" t="str">
        <f t="shared" si="122"/>
        <v/>
      </c>
    </row>
    <row r="3794" spans="17:18" x14ac:dyDescent="0.3">
      <c r="Q3794" t="str">
        <f t="shared" si="121"/>
        <v/>
      </c>
      <c r="R3794" s="54" t="str">
        <f t="shared" si="122"/>
        <v/>
      </c>
    </row>
    <row r="3795" spans="17:18" x14ac:dyDescent="0.3">
      <c r="Q3795" t="str">
        <f t="shared" si="121"/>
        <v/>
      </c>
      <c r="R3795" s="54" t="str">
        <f t="shared" si="122"/>
        <v/>
      </c>
    </row>
    <row r="3796" spans="17:18" x14ac:dyDescent="0.3">
      <c r="Q3796" t="str">
        <f t="shared" si="121"/>
        <v/>
      </c>
      <c r="R3796" s="54" t="str">
        <f t="shared" si="122"/>
        <v/>
      </c>
    </row>
    <row r="3797" spans="17:18" x14ac:dyDescent="0.3">
      <c r="Q3797" t="str">
        <f t="shared" si="121"/>
        <v/>
      </c>
      <c r="R3797" s="54" t="str">
        <f t="shared" si="122"/>
        <v/>
      </c>
    </row>
    <row r="3798" spans="17:18" x14ac:dyDescent="0.3">
      <c r="Q3798" t="str">
        <f t="shared" si="121"/>
        <v/>
      </c>
      <c r="R3798" s="54" t="str">
        <f t="shared" si="122"/>
        <v/>
      </c>
    </row>
    <row r="3799" spans="17:18" x14ac:dyDescent="0.3">
      <c r="Q3799" t="str">
        <f t="shared" ref="Q3799:Q3862" si="123">IF(COUNTA(A3799:P3799)=0,"",IF(ISNUMBER(SEARCH("-AR-",E3813)),"Architectural",IF(ISNUMBER(SEARCH("-ST-",E3813)),"Structural",IF(ISNUMBER(SEARCH("-ME-",E3813)),"Mechanical",IF(ISNUMBER(SEARCH("-EL-",E3813)),"Electrical",IF(ISNUMBER(SEARCH("-GE-",E3813)),"General",IF(ISNUMBER(SEARCH("-AR-",D3813)),"Architectural",IF(ISNUMBER(SEARCH("-ST-",D3813)),"Structural",IF(ISNUMBER(SEARCH("-ME-",D3813)),"Mechanical",IF(ISNUMBER(SEARCH("-EL-",D3813)),"Electrical",IF(ISNUMBER(SEARCH("-GE-",D3813)),"General","Other")))))))))))</f>
        <v/>
      </c>
      <c r="R3799" s="54" t="str">
        <f t="shared" si="122"/>
        <v/>
      </c>
    </row>
    <row r="3800" spans="17:18" x14ac:dyDescent="0.3">
      <c r="Q3800" t="str">
        <f t="shared" si="123"/>
        <v/>
      </c>
      <c r="R3800" s="54" t="str">
        <f t="shared" si="122"/>
        <v/>
      </c>
    </row>
    <row r="3801" spans="17:18" x14ac:dyDescent="0.3">
      <c r="Q3801" t="str">
        <f t="shared" si="123"/>
        <v/>
      </c>
      <c r="R3801" s="54" t="str">
        <f t="shared" si="122"/>
        <v/>
      </c>
    </row>
    <row r="3802" spans="17:18" x14ac:dyDescent="0.3">
      <c r="Q3802" t="str">
        <f t="shared" si="123"/>
        <v/>
      </c>
      <c r="R3802" s="54" t="str">
        <f t="shared" si="122"/>
        <v/>
      </c>
    </row>
    <row r="3803" spans="17:18" x14ac:dyDescent="0.3">
      <c r="Q3803" t="str">
        <f t="shared" si="123"/>
        <v/>
      </c>
      <c r="R3803" s="54" t="str">
        <f t="shared" si="122"/>
        <v/>
      </c>
    </row>
    <row r="3804" spans="17:18" x14ac:dyDescent="0.3">
      <c r="Q3804" t="str">
        <f t="shared" si="123"/>
        <v/>
      </c>
      <c r="R3804" s="54" t="str">
        <f t="shared" si="122"/>
        <v/>
      </c>
    </row>
    <row r="3805" spans="17:18" x14ac:dyDescent="0.3">
      <c r="Q3805" t="str">
        <f t="shared" si="123"/>
        <v/>
      </c>
      <c r="R3805" s="54" t="str">
        <f t="shared" si="122"/>
        <v/>
      </c>
    </row>
    <row r="3806" spans="17:18" x14ac:dyDescent="0.3">
      <c r="Q3806" t="str">
        <f t="shared" si="123"/>
        <v/>
      </c>
      <c r="R3806" s="54" t="str">
        <f t="shared" si="122"/>
        <v/>
      </c>
    </row>
    <row r="3807" spans="17:18" x14ac:dyDescent="0.3">
      <c r="Q3807" t="str">
        <f t="shared" si="123"/>
        <v/>
      </c>
      <c r="R3807" s="54" t="str">
        <f t="shared" si="122"/>
        <v/>
      </c>
    </row>
    <row r="3808" spans="17:18" x14ac:dyDescent="0.3">
      <c r="Q3808" t="str">
        <f t="shared" si="123"/>
        <v/>
      </c>
      <c r="R3808" s="54" t="str">
        <f t="shared" si="122"/>
        <v/>
      </c>
    </row>
    <row r="3809" spans="17:18" x14ac:dyDescent="0.3">
      <c r="Q3809" t="str">
        <f t="shared" si="123"/>
        <v/>
      </c>
      <c r="R3809" s="54" t="str">
        <f t="shared" si="122"/>
        <v/>
      </c>
    </row>
    <row r="3810" spans="17:18" x14ac:dyDescent="0.3">
      <c r="Q3810" t="str">
        <f t="shared" si="123"/>
        <v/>
      </c>
      <c r="R3810" s="54" t="str">
        <f t="shared" si="122"/>
        <v/>
      </c>
    </row>
    <row r="3811" spans="17:18" x14ac:dyDescent="0.3">
      <c r="Q3811" t="str">
        <f t="shared" si="123"/>
        <v/>
      </c>
      <c r="R3811" s="54" t="str">
        <f t="shared" si="122"/>
        <v/>
      </c>
    </row>
    <row r="3812" spans="17:18" x14ac:dyDescent="0.3">
      <c r="Q3812" t="str">
        <f t="shared" si="123"/>
        <v/>
      </c>
      <c r="R3812" s="54" t="str">
        <f t="shared" si="122"/>
        <v/>
      </c>
    </row>
    <row r="3813" spans="17:18" x14ac:dyDescent="0.3">
      <c r="Q3813" t="str">
        <f t="shared" si="123"/>
        <v/>
      </c>
      <c r="R3813" s="54" t="str">
        <f t="shared" si="122"/>
        <v/>
      </c>
    </row>
    <row r="3814" spans="17:18" x14ac:dyDescent="0.3">
      <c r="Q3814" t="str">
        <f t="shared" si="123"/>
        <v/>
      </c>
      <c r="R3814" s="54" t="str">
        <f t="shared" si="122"/>
        <v/>
      </c>
    </row>
    <row r="3815" spans="17:18" x14ac:dyDescent="0.3">
      <c r="Q3815" t="str">
        <f t="shared" si="123"/>
        <v/>
      </c>
      <c r="R3815" s="54" t="str">
        <f t="shared" si="122"/>
        <v/>
      </c>
    </row>
    <row r="3816" spans="17:18" x14ac:dyDescent="0.3">
      <c r="Q3816" t="str">
        <f t="shared" si="123"/>
        <v/>
      </c>
      <c r="R3816" s="54" t="str">
        <f t="shared" si="122"/>
        <v/>
      </c>
    </row>
    <row r="3817" spans="17:18" x14ac:dyDescent="0.3">
      <c r="Q3817" t="str">
        <f t="shared" si="123"/>
        <v/>
      </c>
      <c r="R3817" s="54" t="str">
        <f t="shared" si="122"/>
        <v/>
      </c>
    </row>
    <row r="3818" spans="17:18" x14ac:dyDescent="0.3">
      <c r="Q3818" t="str">
        <f t="shared" si="123"/>
        <v/>
      </c>
      <c r="R3818" s="54" t="str">
        <f t="shared" si="122"/>
        <v/>
      </c>
    </row>
    <row r="3819" spans="17:18" x14ac:dyDescent="0.3">
      <c r="Q3819" t="str">
        <f t="shared" si="123"/>
        <v/>
      </c>
      <c r="R3819" s="54" t="str">
        <f t="shared" si="122"/>
        <v/>
      </c>
    </row>
    <row r="3820" spans="17:18" x14ac:dyDescent="0.3">
      <c r="Q3820" t="str">
        <f t="shared" si="123"/>
        <v/>
      </c>
      <c r="R3820" s="54" t="str">
        <f t="shared" si="122"/>
        <v/>
      </c>
    </row>
    <row r="3821" spans="17:18" x14ac:dyDescent="0.3">
      <c r="Q3821" t="str">
        <f t="shared" si="123"/>
        <v/>
      </c>
      <c r="R3821" s="54" t="str">
        <f t="shared" si="122"/>
        <v/>
      </c>
    </row>
    <row r="3822" spans="17:18" x14ac:dyDescent="0.3">
      <c r="Q3822" t="str">
        <f t="shared" si="123"/>
        <v/>
      </c>
      <c r="R3822" s="54" t="str">
        <f t="shared" si="122"/>
        <v/>
      </c>
    </row>
    <row r="3823" spans="17:18" x14ac:dyDescent="0.3">
      <c r="Q3823" t="str">
        <f t="shared" si="123"/>
        <v/>
      </c>
      <c r="R3823" s="54" t="str">
        <f t="shared" si="122"/>
        <v/>
      </c>
    </row>
    <row r="3824" spans="17:18" x14ac:dyDescent="0.3">
      <c r="Q3824" t="str">
        <f t="shared" si="123"/>
        <v/>
      </c>
      <c r="R3824" s="54" t="str">
        <f t="shared" si="122"/>
        <v/>
      </c>
    </row>
    <row r="3825" spans="17:18" x14ac:dyDescent="0.3">
      <c r="Q3825" t="str">
        <f t="shared" si="123"/>
        <v/>
      </c>
      <c r="R3825" s="54" t="str">
        <f t="shared" si="122"/>
        <v/>
      </c>
    </row>
    <row r="3826" spans="17:18" x14ac:dyDescent="0.3">
      <c r="Q3826" t="str">
        <f t="shared" si="123"/>
        <v/>
      </c>
      <c r="R3826" s="54" t="str">
        <f t="shared" si="122"/>
        <v/>
      </c>
    </row>
    <row r="3827" spans="17:18" x14ac:dyDescent="0.3">
      <c r="Q3827" t="str">
        <f t="shared" si="123"/>
        <v/>
      </c>
      <c r="R3827" s="54" t="str">
        <f t="shared" si="122"/>
        <v/>
      </c>
    </row>
    <row r="3828" spans="17:18" x14ac:dyDescent="0.3">
      <c r="Q3828" t="str">
        <f t="shared" si="123"/>
        <v/>
      </c>
      <c r="R3828" s="54" t="str">
        <f t="shared" si="122"/>
        <v/>
      </c>
    </row>
    <row r="3829" spans="17:18" x14ac:dyDescent="0.3">
      <c r="Q3829" t="str">
        <f t="shared" si="123"/>
        <v/>
      </c>
      <c r="R3829" s="54" t="str">
        <f t="shared" si="122"/>
        <v/>
      </c>
    </row>
    <row r="3830" spans="17:18" x14ac:dyDescent="0.3">
      <c r="Q3830" t="str">
        <f t="shared" si="123"/>
        <v/>
      </c>
      <c r="R3830" s="54" t="str">
        <f t="shared" si="122"/>
        <v/>
      </c>
    </row>
    <row r="3831" spans="17:18" x14ac:dyDescent="0.3">
      <c r="Q3831" t="str">
        <f t="shared" si="123"/>
        <v/>
      </c>
      <c r="R3831" s="54" t="str">
        <f t="shared" si="122"/>
        <v/>
      </c>
    </row>
    <row r="3832" spans="17:18" x14ac:dyDescent="0.3">
      <c r="Q3832" t="str">
        <f t="shared" si="123"/>
        <v/>
      </c>
      <c r="R3832" s="54" t="str">
        <f t="shared" si="122"/>
        <v/>
      </c>
    </row>
    <row r="3833" spans="17:18" x14ac:dyDescent="0.3">
      <c r="Q3833" t="str">
        <f t="shared" si="123"/>
        <v/>
      </c>
      <c r="R3833" s="54" t="str">
        <f t="shared" si="122"/>
        <v/>
      </c>
    </row>
    <row r="3834" spans="17:18" x14ac:dyDescent="0.3">
      <c r="Q3834" t="str">
        <f t="shared" si="123"/>
        <v/>
      </c>
      <c r="R3834" s="54" t="str">
        <f t="shared" si="122"/>
        <v/>
      </c>
    </row>
    <row r="3835" spans="17:18" x14ac:dyDescent="0.3">
      <c r="Q3835" t="str">
        <f t="shared" si="123"/>
        <v/>
      </c>
      <c r="R3835" s="54" t="str">
        <f t="shared" si="122"/>
        <v/>
      </c>
    </row>
    <row r="3836" spans="17:18" x14ac:dyDescent="0.3">
      <c r="Q3836" t="str">
        <f t="shared" si="123"/>
        <v/>
      </c>
      <c r="R3836" s="54" t="str">
        <f t="shared" si="122"/>
        <v/>
      </c>
    </row>
    <row r="3837" spans="17:18" x14ac:dyDescent="0.3">
      <c r="Q3837" t="str">
        <f t="shared" si="123"/>
        <v/>
      </c>
      <c r="R3837" s="54" t="str">
        <f t="shared" si="122"/>
        <v/>
      </c>
    </row>
    <row r="3838" spans="17:18" x14ac:dyDescent="0.3">
      <c r="Q3838" t="str">
        <f t="shared" si="123"/>
        <v/>
      </c>
      <c r="R3838" s="54" t="str">
        <f t="shared" si="122"/>
        <v/>
      </c>
    </row>
    <row r="3839" spans="17:18" x14ac:dyDescent="0.3">
      <c r="Q3839" t="str">
        <f t="shared" si="123"/>
        <v/>
      </c>
      <c r="R3839" s="54" t="str">
        <f t="shared" si="122"/>
        <v/>
      </c>
    </row>
    <row r="3840" spans="17:18" x14ac:dyDescent="0.3">
      <c r="Q3840" t="str">
        <f t="shared" si="123"/>
        <v/>
      </c>
      <c r="R3840" s="54" t="str">
        <f t="shared" si="122"/>
        <v/>
      </c>
    </row>
    <row r="3841" spans="17:18" x14ac:dyDescent="0.3">
      <c r="Q3841" t="str">
        <f t="shared" si="123"/>
        <v/>
      </c>
      <c r="R3841" s="54" t="str">
        <f t="shared" si="122"/>
        <v/>
      </c>
    </row>
    <row r="3842" spans="17:18" x14ac:dyDescent="0.3">
      <c r="Q3842" t="str">
        <f t="shared" si="123"/>
        <v/>
      </c>
      <c r="R3842" s="54" t="str">
        <f t="shared" si="122"/>
        <v/>
      </c>
    </row>
    <row r="3843" spans="17:18" x14ac:dyDescent="0.3">
      <c r="Q3843" t="str">
        <f t="shared" si="123"/>
        <v/>
      </c>
      <c r="R3843" s="54" t="str">
        <f t="shared" ref="R3843:R3906" si="124">IF(F3857="","",IFERROR(IF(ISNUMBER(F3857),F3857,DATEVALUE(F3857)),""))</f>
        <v/>
      </c>
    </row>
    <row r="3844" spans="17:18" x14ac:dyDescent="0.3">
      <c r="Q3844" t="str">
        <f t="shared" si="123"/>
        <v/>
      </c>
      <c r="R3844" s="54" t="str">
        <f t="shared" si="124"/>
        <v/>
      </c>
    </row>
    <row r="3845" spans="17:18" x14ac:dyDescent="0.3">
      <c r="Q3845" t="str">
        <f t="shared" si="123"/>
        <v/>
      </c>
      <c r="R3845" s="54" t="str">
        <f t="shared" si="124"/>
        <v/>
      </c>
    </row>
    <row r="3846" spans="17:18" x14ac:dyDescent="0.3">
      <c r="Q3846" t="str">
        <f t="shared" si="123"/>
        <v/>
      </c>
      <c r="R3846" s="54" t="str">
        <f t="shared" si="124"/>
        <v/>
      </c>
    </row>
    <row r="3847" spans="17:18" x14ac:dyDescent="0.3">
      <c r="Q3847" t="str">
        <f t="shared" si="123"/>
        <v/>
      </c>
      <c r="R3847" s="54" t="str">
        <f t="shared" si="124"/>
        <v/>
      </c>
    </row>
    <row r="3848" spans="17:18" x14ac:dyDescent="0.3">
      <c r="Q3848" t="str">
        <f t="shared" si="123"/>
        <v/>
      </c>
      <c r="R3848" s="54" t="str">
        <f t="shared" si="124"/>
        <v/>
      </c>
    </row>
    <row r="3849" spans="17:18" x14ac:dyDescent="0.3">
      <c r="Q3849" t="str">
        <f t="shared" si="123"/>
        <v/>
      </c>
      <c r="R3849" s="54" t="str">
        <f t="shared" si="124"/>
        <v/>
      </c>
    </row>
    <row r="3850" spans="17:18" x14ac:dyDescent="0.3">
      <c r="Q3850" t="str">
        <f t="shared" si="123"/>
        <v/>
      </c>
      <c r="R3850" s="54" t="str">
        <f t="shared" si="124"/>
        <v/>
      </c>
    </row>
    <row r="3851" spans="17:18" x14ac:dyDescent="0.3">
      <c r="Q3851" t="str">
        <f t="shared" si="123"/>
        <v/>
      </c>
      <c r="R3851" s="54" t="str">
        <f t="shared" si="124"/>
        <v/>
      </c>
    </row>
    <row r="3852" spans="17:18" x14ac:dyDescent="0.3">
      <c r="Q3852" t="str">
        <f t="shared" si="123"/>
        <v/>
      </c>
      <c r="R3852" s="54" t="str">
        <f t="shared" si="124"/>
        <v/>
      </c>
    </row>
    <row r="3853" spans="17:18" x14ac:dyDescent="0.3">
      <c r="Q3853" t="str">
        <f t="shared" si="123"/>
        <v/>
      </c>
      <c r="R3853" s="54" t="str">
        <f t="shared" si="124"/>
        <v/>
      </c>
    </row>
    <row r="3854" spans="17:18" x14ac:dyDescent="0.3">
      <c r="Q3854" t="str">
        <f t="shared" si="123"/>
        <v/>
      </c>
      <c r="R3854" s="54" t="str">
        <f t="shared" si="124"/>
        <v/>
      </c>
    </row>
    <row r="3855" spans="17:18" x14ac:dyDescent="0.3">
      <c r="Q3855" t="str">
        <f t="shared" si="123"/>
        <v/>
      </c>
      <c r="R3855" s="54" t="str">
        <f t="shared" si="124"/>
        <v/>
      </c>
    </row>
    <row r="3856" spans="17:18" x14ac:dyDescent="0.3">
      <c r="Q3856" t="str">
        <f t="shared" si="123"/>
        <v/>
      </c>
      <c r="R3856" s="54" t="str">
        <f t="shared" si="124"/>
        <v/>
      </c>
    </row>
    <row r="3857" spans="17:18" x14ac:dyDescent="0.3">
      <c r="Q3857" t="str">
        <f t="shared" si="123"/>
        <v/>
      </c>
      <c r="R3857" s="54" t="str">
        <f t="shared" si="124"/>
        <v/>
      </c>
    </row>
    <row r="3858" spans="17:18" x14ac:dyDescent="0.3">
      <c r="Q3858" t="str">
        <f t="shared" si="123"/>
        <v/>
      </c>
      <c r="R3858" s="54" t="str">
        <f t="shared" si="124"/>
        <v/>
      </c>
    </row>
    <row r="3859" spans="17:18" x14ac:dyDescent="0.3">
      <c r="Q3859" t="str">
        <f t="shared" si="123"/>
        <v/>
      </c>
      <c r="R3859" s="54" t="str">
        <f t="shared" si="124"/>
        <v/>
      </c>
    </row>
    <row r="3860" spans="17:18" x14ac:dyDescent="0.3">
      <c r="Q3860" t="str">
        <f t="shared" si="123"/>
        <v/>
      </c>
      <c r="R3860" s="54" t="str">
        <f t="shared" si="124"/>
        <v/>
      </c>
    </row>
    <row r="3861" spans="17:18" x14ac:dyDescent="0.3">
      <c r="Q3861" t="str">
        <f t="shared" si="123"/>
        <v/>
      </c>
      <c r="R3861" s="54" t="str">
        <f t="shared" si="124"/>
        <v/>
      </c>
    </row>
    <row r="3862" spans="17:18" x14ac:dyDescent="0.3">
      <c r="Q3862" t="str">
        <f t="shared" si="123"/>
        <v/>
      </c>
      <c r="R3862" s="54" t="str">
        <f t="shared" si="124"/>
        <v/>
      </c>
    </row>
    <row r="3863" spans="17:18" x14ac:dyDescent="0.3">
      <c r="Q3863" t="str">
        <f t="shared" ref="Q3863:Q3926" si="125">IF(COUNTA(A3863:P3863)=0,"",IF(ISNUMBER(SEARCH("-AR-",E3877)),"Architectural",IF(ISNUMBER(SEARCH("-ST-",E3877)),"Structural",IF(ISNUMBER(SEARCH("-ME-",E3877)),"Mechanical",IF(ISNUMBER(SEARCH("-EL-",E3877)),"Electrical",IF(ISNUMBER(SEARCH("-GE-",E3877)),"General",IF(ISNUMBER(SEARCH("-AR-",D3877)),"Architectural",IF(ISNUMBER(SEARCH("-ST-",D3877)),"Structural",IF(ISNUMBER(SEARCH("-ME-",D3877)),"Mechanical",IF(ISNUMBER(SEARCH("-EL-",D3877)),"Electrical",IF(ISNUMBER(SEARCH("-GE-",D3877)),"General","Other")))))))))))</f>
        <v/>
      </c>
      <c r="R3863" s="54" t="str">
        <f t="shared" si="124"/>
        <v/>
      </c>
    </row>
    <row r="3864" spans="17:18" x14ac:dyDescent="0.3">
      <c r="Q3864" t="str">
        <f t="shared" si="125"/>
        <v/>
      </c>
      <c r="R3864" s="54" t="str">
        <f t="shared" si="124"/>
        <v/>
      </c>
    </row>
    <row r="3865" spans="17:18" x14ac:dyDescent="0.3">
      <c r="Q3865" t="str">
        <f t="shared" si="125"/>
        <v/>
      </c>
      <c r="R3865" s="54" t="str">
        <f t="shared" si="124"/>
        <v/>
      </c>
    </row>
    <row r="3866" spans="17:18" x14ac:dyDescent="0.3">
      <c r="Q3866" t="str">
        <f t="shared" si="125"/>
        <v/>
      </c>
      <c r="R3866" s="54" t="str">
        <f t="shared" si="124"/>
        <v/>
      </c>
    </row>
    <row r="3867" spans="17:18" x14ac:dyDescent="0.3">
      <c r="Q3867" t="str">
        <f t="shared" si="125"/>
        <v/>
      </c>
      <c r="R3867" s="54" t="str">
        <f t="shared" si="124"/>
        <v/>
      </c>
    </row>
    <row r="3868" spans="17:18" x14ac:dyDescent="0.3">
      <c r="Q3868" t="str">
        <f t="shared" si="125"/>
        <v/>
      </c>
      <c r="R3868" s="54" t="str">
        <f t="shared" si="124"/>
        <v/>
      </c>
    </row>
    <row r="3869" spans="17:18" x14ac:dyDescent="0.3">
      <c r="Q3869" t="str">
        <f t="shared" si="125"/>
        <v/>
      </c>
      <c r="R3869" s="54" t="str">
        <f t="shared" si="124"/>
        <v/>
      </c>
    </row>
    <row r="3870" spans="17:18" x14ac:dyDescent="0.3">
      <c r="Q3870" t="str">
        <f t="shared" si="125"/>
        <v/>
      </c>
      <c r="R3870" s="54" t="str">
        <f t="shared" si="124"/>
        <v/>
      </c>
    </row>
    <row r="3871" spans="17:18" x14ac:dyDescent="0.3">
      <c r="Q3871" t="str">
        <f t="shared" si="125"/>
        <v/>
      </c>
      <c r="R3871" s="54" t="str">
        <f t="shared" si="124"/>
        <v/>
      </c>
    </row>
    <row r="3872" spans="17:18" x14ac:dyDescent="0.3">
      <c r="Q3872" t="str">
        <f t="shared" si="125"/>
        <v/>
      </c>
      <c r="R3872" s="54" t="str">
        <f t="shared" si="124"/>
        <v/>
      </c>
    </row>
    <row r="3873" spans="17:18" x14ac:dyDescent="0.3">
      <c r="Q3873" t="str">
        <f t="shared" si="125"/>
        <v/>
      </c>
      <c r="R3873" s="54" t="str">
        <f t="shared" si="124"/>
        <v/>
      </c>
    </row>
    <row r="3874" spans="17:18" x14ac:dyDescent="0.3">
      <c r="Q3874" t="str">
        <f t="shared" si="125"/>
        <v/>
      </c>
      <c r="R3874" s="54" t="str">
        <f t="shared" si="124"/>
        <v/>
      </c>
    </row>
    <row r="3875" spans="17:18" x14ac:dyDescent="0.3">
      <c r="Q3875" t="str">
        <f t="shared" si="125"/>
        <v/>
      </c>
      <c r="R3875" s="54" t="str">
        <f t="shared" si="124"/>
        <v/>
      </c>
    </row>
    <row r="3876" spans="17:18" x14ac:dyDescent="0.3">
      <c r="Q3876" t="str">
        <f t="shared" si="125"/>
        <v/>
      </c>
      <c r="R3876" s="54" t="str">
        <f t="shared" si="124"/>
        <v/>
      </c>
    </row>
    <row r="3877" spans="17:18" x14ac:dyDescent="0.3">
      <c r="Q3877" t="str">
        <f t="shared" si="125"/>
        <v/>
      </c>
      <c r="R3877" s="54" t="str">
        <f t="shared" si="124"/>
        <v/>
      </c>
    </row>
    <row r="3878" spans="17:18" x14ac:dyDescent="0.3">
      <c r="Q3878" t="str">
        <f t="shared" si="125"/>
        <v/>
      </c>
      <c r="R3878" s="54" t="str">
        <f t="shared" si="124"/>
        <v/>
      </c>
    </row>
    <row r="3879" spans="17:18" x14ac:dyDescent="0.3">
      <c r="Q3879" t="str">
        <f t="shared" si="125"/>
        <v/>
      </c>
      <c r="R3879" s="54" t="str">
        <f t="shared" si="124"/>
        <v/>
      </c>
    </row>
    <row r="3880" spans="17:18" x14ac:dyDescent="0.3">
      <c r="Q3880" t="str">
        <f t="shared" si="125"/>
        <v/>
      </c>
      <c r="R3880" s="54" t="str">
        <f t="shared" si="124"/>
        <v/>
      </c>
    </row>
    <row r="3881" spans="17:18" x14ac:dyDescent="0.3">
      <c r="Q3881" t="str">
        <f t="shared" si="125"/>
        <v/>
      </c>
      <c r="R3881" s="54" t="str">
        <f t="shared" si="124"/>
        <v/>
      </c>
    </row>
    <row r="3882" spans="17:18" x14ac:dyDescent="0.3">
      <c r="Q3882" t="str">
        <f t="shared" si="125"/>
        <v/>
      </c>
      <c r="R3882" s="54" t="str">
        <f t="shared" si="124"/>
        <v/>
      </c>
    </row>
    <row r="3883" spans="17:18" x14ac:dyDescent="0.3">
      <c r="Q3883" t="str">
        <f t="shared" si="125"/>
        <v/>
      </c>
      <c r="R3883" s="54" t="str">
        <f t="shared" si="124"/>
        <v/>
      </c>
    </row>
    <row r="3884" spans="17:18" x14ac:dyDescent="0.3">
      <c r="Q3884" t="str">
        <f t="shared" si="125"/>
        <v/>
      </c>
      <c r="R3884" s="54" t="str">
        <f t="shared" si="124"/>
        <v/>
      </c>
    </row>
    <row r="3885" spans="17:18" x14ac:dyDescent="0.3">
      <c r="Q3885" t="str">
        <f t="shared" si="125"/>
        <v/>
      </c>
      <c r="R3885" s="54" t="str">
        <f t="shared" si="124"/>
        <v/>
      </c>
    </row>
    <row r="3886" spans="17:18" x14ac:dyDescent="0.3">
      <c r="Q3886" t="str">
        <f t="shared" si="125"/>
        <v/>
      </c>
      <c r="R3886" s="54" t="str">
        <f t="shared" si="124"/>
        <v/>
      </c>
    </row>
    <row r="3887" spans="17:18" x14ac:dyDescent="0.3">
      <c r="Q3887" t="str">
        <f t="shared" si="125"/>
        <v/>
      </c>
      <c r="R3887" s="54" t="str">
        <f t="shared" si="124"/>
        <v/>
      </c>
    </row>
    <row r="3888" spans="17:18" x14ac:dyDescent="0.3">
      <c r="Q3888" t="str">
        <f t="shared" si="125"/>
        <v/>
      </c>
      <c r="R3888" s="54" t="str">
        <f t="shared" si="124"/>
        <v/>
      </c>
    </row>
    <row r="3889" spans="17:18" x14ac:dyDescent="0.3">
      <c r="Q3889" t="str">
        <f t="shared" si="125"/>
        <v/>
      </c>
      <c r="R3889" s="54" t="str">
        <f t="shared" si="124"/>
        <v/>
      </c>
    </row>
    <row r="3890" spans="17:18" x14ac:dyDescent="0.3">
      <c r="Q3890" t="str">
        <f t="shared" si="125"/>
        <v/>
      </c>
      <c r="R3890" s="54" t="str">
        <f t="shared" si="124"/>
        <v/>
      </c>
    </row>
    <row r="3891" spans="17:18" x14ac:dyDescent="0.3">
      <c r="Q3891" t="str">
        <f t="shared" si="125"/>
        <v/>
      </c>
      <c r="R3891" s="54" t="str">
        <f t="shared" si="124"/>
        <v/>
      </c>
    </row>
    <row r="3892" spans="17:18" x14ac:dyDescent="0.3">
      <c r="Q3892" t="str">
        <f t="shared" si="125"/>
        <v/>
      </c>
      <c r="R3892" s="54" t="str">
        <f t="shared" si="124"/>
        <v/>
      </c>
    </row>
    <row r="3893" spans="17:18" x14ac:dyDescent="0.3">
      <c r="Q3893" t="str">
        <f t="shared" si="125"/>
        <v/>
      </c>
      <c r="R3893" s="54" t="str">
        <f t="shared" si="124"/>
        <v/>
      </c>
    </row>
    <row r="3894" spans="17:18" x14ac:dyDescent="0.3">
      <c r="Q3894" t="str">
        <f t="shared" si="125"/>
        <v/>
      </c>
      <c r="R3894" s="54" t="str">
        <f t="shared" si="124"/>
        <v/>
      </c>
    </row>
    <row r="3895" spans="17:18" x14ac:dyDescent="0.3">
      <c r="Q3895" t="str">
        <f t="shared" si="125"/>
        <v/>
      </c>
      <c r="R3895" s="54" t="str">
        <f t="shared" si="124"/>
        <v/>
      </c>
    </row>
    <row r="3896" spans="17:18" x14ac:dyDescent="0.3">
      <c r="Q3896" t="str">
        <f t="shared" si="125"/>
        <v/>
      </c>
      <c r="R3896" s="54" t="str">
        <f t="shared" si="124"/>
        <v/>
      </c>
    </row>
    <row r="3897" spans="17:18" x14ac:dyDescent="0.3">
      <c r="Q3897" t="str">
        <f t="shared" si="125"/>
        <v/>
      </c>
      <c r="R3897" s="54" t="str">
        <f t="shared" si="124"/>
        <v/>
      </c>
    </row>
    <row r="3898" spans="17:18" x14ac:dyDescent="0.3">
      <c r="Q3898" t="str">
        <f t="shared" si="125"/>
        <v/>
      </c>
      <c r="R3898" s="54" t="str">
        <f t="shared" si="124"/>
        <v/>
      </c>
    </row>
    <row r="3899" spans="17:18" x14ac:dyDescent="0.3">
      <c r="Q3899" t="str">
        <f t="shared" si="125"/>
        <v/>
      </c>
      <c r="R3899" s="54" t="str">
        <f t="shared" si="124"/>
        <v/>
      </c>
    </row>
    <row r="3900" spans="17:18" x14ac:dyDescent="0.3">
      <c r="Q3900" t="str">
        <f t="shared" si="125"/>
        <v/>
      </c>
      <c r="R3900" s="54" t="str">
        <f t="shared" si="124"/>
        <v/>
      </c>
    </row>
    <row r="3901" spans="17:18" x14ac:dyDescent="0.3">
      <c r="Q3901" t="str">
        <f t="shared" si="125"/>
        <v/>
      </c>
      <c r="R3901" s="54" t="str">
        <f t="shared" si="124"/>
        <v/>
      </c>
    </row>
    <row r="3902" spans="17:18" x14ac:dyDescent="0.3">
      <c r="Q3902" t="str">
        <f t="shared" si="125"/>
        <v/>
      </c>
      <c r="R3902" s="54" t="str">
        <f t="shared" si="124"/>
        <v/>
      </c>
    </row>
    <row r="3903" spans="17:18" x14ac:dyDescent="0.3">
      <c r="Q3903" t="str">
        <f t="shared" si="125"/>
        <v/>
      </c>
      <c r="R3903" s="54" t="str">
        <f t="shared" si="124"/>
        <v/>
      </c>
    </row>
    <row r="3904" spans="17:18" x14ac:dyDescent="0.3">
      <c r="Q3904" t="str">
        <f t="shared" si="125"/>
        <v/>
      </c>
      <c r="R3904" s="54" t="str">
        <f t="shared" si="124"/>
        <v/>
      </c>
    </row>
    <row r="3905" spans="17:18" x14ac:dyDescent="0.3">
      <c r="Q3905" t="str">
        <f t="shared" si="125"/>
        <v/>
      </c>
      <c r="R3905" s="54" t="str">
        <f t="shared" si="124"/>
        <v/>
      </c>
    </row>
    <row r="3906" spans="17:18" x14ac:dyDescent="0.3">
      <c r="Q3906" t="str">
        <f t="shared" si="125"/>
        <v/>
      </c>
      <c r="R3906" s="54" t="str">
        <f t="shared" si="124"/>
        <v/>
      </c>
    </row>
    <row r="3907" spans="17:18" x14ac:dyDescent="0.3">
      <c r="Q3907" t="str">
        <f t="shared" si="125"/>
        <v/>
      </c>
      <c r="R3907" s="54" t="str">
        <f t="shared" ref="R3907:R3970" si="126">IF(F3921="","",IFERROR(IF(ISNUMBER(F3921),F3921,DATEVALUE(F3921)),""))</f>
        <v/>
      </c>
    </row>
    <row r="3908" spans="17:18" x14ac:dyDescent="0.3">
      <c r="Q3908" t="str">
        <f t="shared" si="125"/>
        <v/>
      </c>
      <c r="R3908" s="54" t="str">
        <f t="shared" si="126"/>
        <v/>
      </c>
    </row>
    <row r="3909" spans="17:18" x14ac:dyDescent="0.3">
      <c r="Q3909" t="str">
        <f t="shared" si="125"/>
        <v/>
      </c>
      <c r="R3909" s="54" t="str">
        <f t="shared" si="126"/>
        <v/>
      </c>
    </row>
    <row r="3910" spans="17:18" x14ac:dyDescent="0.3">
      <c r="Q3910" t="str">
        <f t="shared" si="125"/>
        <v/>
      </c>
      <c r="R3910" s="54" t="str">
        <f t="shared" si="126"/>
        <v/>
      </c>
    </row>
    <row r="3911" spans="17:18" x14ac:dyDescent="0.3">
      <c r="Q3911" t="str">
        <f t="shared" si="125"/>
        <v/>
      </c>
      <c r="R3911" s="54" t="str">
        <f t="shared" si="126"/>
        <v/>
      </c>
    </row>
    <row r="3912" spans="17:18" x14ac:dyDescent="0.3">
      <c r="Q3912" t="str">
        <f t="shared" si="125"/>
        <v/>
      </c>
      <c r="R3912" s="54" t="str">
        <f t="shared" si="126"/>
        <v/>
      </c>
    </row>
    <row r="3913" spans="17:18" x14ac:dyDescent="0.3">
      <c r="Q3913" t="str">
        <f t="shared" si="125"/>
        <v/>
      </c>
      <c r="R3913" s="54" t="str">
        <f t="shared" si="126"/>
        <v/>
      </c>
    </row>
    <row r="3914" spans="17:18" x14ac:dyDescent="0.3">
      <c r="Q3914" t="str">
        <f t="shared" si="125"/>
        <v/>
      </c>
      <c r="R3914" s="54" t="str">
        <f t="shared" si="126"/>
        <v/>
      </c>
    </row>
    <row r="3915" spans="17:18" x14ac:dyDescent="0.3">
      <c r="Q3915" t="str">
        <f t="shared" si="125"/>
        <v/>
      </c>
      <c r="R3915" s="54" t="str">
        <f t="shared" si="126"/>
        <v/>
      </c>
    </row>
    <row r="3916" spans="17:18" x14ac:dyDescent="0.3">
      <c r="Q3916" t="str">
        <f t="shared" si="125"/>
        <v/>
      </c>
      <c r="R3916" s="54" t="str">
        <f t="shared" si="126"/>
        <v/>
      </c>
    </row>
    <row r="3917" spans="17:18" x14ac:dyDescent="0.3">
      <c r="Q3917" t="str">
        <f t="shared" si="125"/>
        <v/>
      </c>
      <c r="R3917" s="54" t="str">
        <f t="shared" si="126"/>
        <v/>
      </c>
    </row>
    <row r="3918" spans="17:18" x14ac:dyDescent="0.3">
      <c r="Q3918" t="str">
        <f t="shared" si="125"/>
        <v/>
      </c>
      <c r="R3918" s="54" t="str">
        <f t="shared" si="126"/>
        <v/>
      </c>
    </row>
    <row r="3919" spans="17:18" x14ac:dyDescent="0.3">
      <c r="Q3919" t="str">
        <f t="shared" si="125"/>
        <v/>
      </c>
      <c r="R3919" s="54" t="str">
        <f t="shared" si="126"/>
        <v/>
      </c>
    </row>
    <row r="3920" spans="17:18" x14ac:dyDescent="0.3">
      <c r="Q3920" t="str">
        <f t="shared" si="125"/>
        <v/>
      </c>
      <c r="R3920" s="54" t="str">
        <f t="shared" si="126"/>
        <v/>
      </c>
    </row>
    <row r="3921" spans="17:18" x14ac:dyDescent="0.3">
      <c r="Q3921" t="str">
        <f t="shared" si="125"/>
        <v/>
      </c>
      <c r="R3921" s="54" t="str">
        <f t="shared" si="126"/>
        <v/>
      </c>
    </row>
    <row r="3922" spans="17:18" x14ac:dyDescent="0.3">
      <c r="Q3922" t="str">
        <f t="shared" si="125"/>
        <v/>
      </c>
      <c r="R3922" s="54" t="str">
        <f t="shared" si="126"/>
        <v/>
      </c>
    </row>
    <row r="3923" spans="17:18" x14ac:dyDescent="0.3">
      <c r="Q3923" t="str">
        <f t="shared" si="125"/>
        <v/>
      </c>
      <c r="R3923" s="54" t="str">
        <f t="shared" si="126"/>
        <v/>
      </c>
    </row>
    <row r="3924" spans="17:18" x14ac:dyDescent="0.3">
      <c r="Q3924" t="str">
        <f t="shared" si="125"/>
        <v/>
      </c>
      <c r="R3924" s="54" t="str">
        <f t="shared" si="126"/>
        <v/>
      </c>
    </row>
    <row r="3925" spans="17:18" x14ac:dyDescent="0.3">
      <c r="Q3925" t="str">
        <f t="shared" si="125"/>
        <v/>
      </c>
      <c r="R3925" s="54" t="str">
        <f t="shared" si="126"/>
        <v/>
      </c>
    </row>
    <row r="3926" spans="17:18" x14ac:dyDescent="0.3">
      <c r="Q3926" t="str">
        <f t="shared" si="125"/>
        <v/>
      </c>
      <c r="R3926" s="54" t="str">
        <f t="shared" si="126"/>
        <v/>
      </c>
    </row>
    <row r="3927" spans="17:18" x14ac:dyDescent="0.3">
      <c r="Q3927" t="str">
        <f t="shared" ref="Q3927:Q3990" si="127">IF(COUNTA(A3927:P3927)=0,"",IF(ISNUMBER(SEARCH("-AR-",E3941)),"Architectural",IF(ISNUMBER(SEARCH("-ST-",E3941)),"Structural",IF(ISNUMBER(SEARCH("-ME-",E3941)),"Mechanical",IF(ISNUMBER(SEARCH("-EL-",E3941)),"Electrical",IF(ISNUMBER(SEARCH("-GE-",E3941)),"General",IF(ISNUMBER(SEARCH("-AR-",D3941)),"Architectural",IF(ISNUMBER(SEARCH("-ST-",D3941)),"Structural",IF(ISNUMBER(SEARCH("-ME-",D3941)),"Mechanical",IF(ISNUMBER(SEARCH("-EL-",D3941)),"Electrical",IF(ISNUMBER(SEARCH("-GE-",D3941)),"General","Other")))))))))))</f>
        <v/>
      </c>
      <c r="R3927" s="54" t="str">
        <f t="shared" si="126"/>
        <v/>
      </c>
    </row>
    <row r="3928" spans="17:18" x14ac:dyDescent="0.3">
      <c r="Q3928" t="str">
        <f t="shared" si="127"/>
        <v/>
      </c>
      <c r="R3928" s="54" t="str">
        <f t="shared" si="126"/>
        <v/>
      </c>
    </row>
    <row r="3929" spans="17:18" x14ac:dyDescent="0.3">
      <c r="Q3929" t="str">
        <f t="shared" si="127"/>
        <v/>
      </c>
      <c r="R3929" s="54" t="str">
        <f t="shared" si="126"/>
        <v/>
      </c>
    </row>
    <row r="3930" spans="17:18" x14ac:dyDescent="0.3">
      <c r="Q3930" t="str">
        <f t="shared" si="127"/>
        <v/>
      </c>
      <c r="R3930" s="54" t="str">
        <f t="shared" si="126"/>
        <v/>
      </c>
    </row>
    <row r="3931" spans="17:18" x14ac:dyDescent="0.3">
      <c r="Q3931" t="str">
        <f t="shared" si="127"/>
        <v/>
      </c>
      <c r="R3931" s="54" t="str">
        <f t="shared" si="126"/>
        <v/>
      </c>
    </row>
    <row r="3932" spans="17:18" x14ac:dyDescent="0.3">
      <c r="Q3932" t="str">
        <f t="shared" si="127"/>
        <v/>
      </c>
      <c r="R3932" s="54" t="str">
        <f t="shared" si="126"/>
        <v/>
      </c>
    </row>
    <row r="3933" spans="17:18" x14ac:dyDescent="0.3">
      <c r="Q3933" t="str">
        <f t="shared" si="127"/>
        <v/>
      </c>
      <c r="R3933" s="54" t="str">
        <f t="shared" si="126"/>
        <v/>
      </c>
    </row>
    <row r="3934" spans="17:18" x14ac:dyDescent="0.3">
      <c r="Q3934" t="str">
        <f t="shared" si="127"/>
        <v/>
      </c>
      <c r="R3934" s="54" t="str">
        <f t="shared" si="126"/>
        <v/>
      </c>
    </row>
    <row r="3935" spans="17:18" x14ac:dyDescent="0.3">
      <c r="Q3935" t="str">
        <f t="shared" si="127"/>
        <v/>
      </c>
      <c r="R3935" s="54" t="str">
        <f t="shared" si="126"/>
        <v/>
      </c>
    </row>
    <row r="3936" spans="17:18" x14ac:dyDescent="0.3">
      <c r="Q3936" t="str">
        <f t="shared" si="127"/>
        <v/>
      </c>
      <c r="R3936" s="54" t="str">
        <f t="shared" si="126"/>
        <v/>
      </c>
    </row>
    <row r="3937" spans="17:18" x14ac:dyDescent="0.3">
      <c r="Q3937" t="str">
        <f t="shared" si="127"/>
        <v/>
      </c>
      <c r="R3937" s="54" t="str">
        <f t="shared" si="126"/>
        <v/>
      </c>
    </row>
    <row r="3938" spans="17:18" x14ac:dyDescent="0.3">
      <c r="Q3938" t="str">
        <f t="shared" si="127"/>
        <v/>
      </c>
      <c r="R3938" s="54" t="str">
        <f t="shared" si="126"/>
        <v/>
      </c>
    </row>
    <row r="3939" spans="17:18" x14ac:dyDescent="0.3">
      <c r="Q3939" t="str">
        <f t="shared" si="127"/>
        <v/>
      </c>
      <c r="R3939" s="54" t="str">
        <f t="shared" si="126"/>
        <v/>
      </c>
    </row>
    <row r="3940" spans="17:18" x14ac:dyDescent="0.3">
      <c r="Q3940" t="str">
        <f t="shared" si="127"/>
        <v/>
      </c>
      <c r="R3940" s="54" t="str">
        <f t="shared" si="126"/>
        <v/>
      </c>
    </row>
    <row r="3941" spans="17:18" x14ac:dyDescent="0.3">
      <c r="Q3941" t="str">
        <f t="shared" si="127"/>
        <v/>
      </c>
      <c r="R3941" s="54" t="str">
        <f t="shared" si="126"/>
        <v/>
      </c>
    </row>
    <row r="3942" spans="17:18" x14ac:dyDescent="0.3">
      <c r="Q3942" t="str">
        <f t="shared" si="127"/>
        <v/>
      </c>
      <c r="R3942" s="54" t="str">
        <f t="shared" si="126"/>
        <v/>
      </c>
    </row>
    <row r="3943" spans="17:18" x14ac:dyDescent="0.3">
      <c r="Q3943" t="str">
        <f t="shared" si="127"/>
        <v/>
      </c>
      <c r="R3943" s="54" t="str">
        <f t="shared" si="126"/>
        <v/>
      </c>
    </row>
    <row r="3944" spans="17:18" x14ac:dyDescent="0.3">
      <c r="Q3944" t="str">
        <f t="shared" si="127"/>
        <v/>
      </c>
      <c r="R3944" s="54" t="str">
        <f t="shared" si="126"/>
        <v/>
      </c>
    </row>
    <row r="3945" spans="17:18" x14ac:dyDescent="0.3">
      <c r="Q3945" t="str">
        <f t="shared" si="127"/>
        <v/>
      </c>
      <c r="R3945" s="54" t="str">
        <f t="shared" si="126"/>
        <v/>
      </c>
    </row>
    <row r="3946" spans="17:18" x14ac:dyDescent="0.3">
      <c r="Q3946" t="str">
        <f t="shared" si="127"/>
        <v/>
      </c>
      <c r="R3946" s="54" t="str">
        <f t="shared" si="126"/>
        <v/>
      </c>
    </row>
    <row r="3947" spans="17:18" x14ac:dyDescent="0.3">
      <c r="Q3947" t="str">
        <f t="shared" si="127"/>
        <v/>
      </c>
      <c r="R3947" s="54" t="str">
        <f t="shared" si="126"/>
        <v/>
      </c>
    </row>
    <row r="3948" spans="17:18" x14ac:dyDescent="0.3">
      <c r="Q3948" t="str">
        <f t="shared" si="127"/>
        <v/>
      </c>
      <c r="R3948" s="54" t="str">
        <f t="shared" si="126"/>
        <v/>
      </c>
    </row>
    <row r="3949" spans="17:18" x14ac:dyDescent="0.3">
      <c r="Q3949" t="str">
        <f t="shared" si="127"/>
        <v/>
      </c>
      <c r="R3949" s="54" t="str">
        <f t="shared" si="126"/>
        <v/>
      </c>
    </row>
    <row r="3950" spans="17:18" x14ac:dyDescent="0.3">
      <c r="Q3950" t="str">
        <f t="shared" si="127"/>
        <v/>
      </c>
      <c r="R3950" s="54" t="str">
        <f t="shared" si="126"/>
        <v/>
      </c>
    </row>
    <row r="3951" spans="17:18" x14ac:dyDescent="0.3">
      <c r="Q3951" t="str">
        <f t="shared" si="127"/>
        <v/>
      </c>
      <c r="R3951" s="54" t="str">
        <f t="shared" si="126"/>
        <v/>
      </c>
    </row>
    <row r="3952" spans="17:18" x14ac:dyDescent="0.3">
      <c r="Q3952" t="str">
        <f t="shared" si="127"/>
        <v/>
      </c>
      <c r="R3952" s="54" t="str">
        <f t="shared" si="126"/>
        <v/>
      </c>
    </row>
    <row r="3953" spans="17:18" x14ac:dyDescent="0.3">
      <c r="Q3953" t="str">
        <f t="shared" si="127"/>
        <v/>
      </c>
      <c r="R3953" s="54" t="str">
        <f t="shared" si="126"/>
        <v/>
      </c>
    </row>
    <row r="3954" spans="17:18" x14ac:dyDescent="0.3">
      <c r="Q3954" t="str">
        <f t="shared" si="127"/>
        <v/>
      </c>
      <c r="R3954" s="54" t="str">
        <f t="shared" si="126"/>
        <v/>
      </c>
    </row>
    <row r="3955" spans="17:18" x14ac:dyDescent="0.3">
      <c r="Q3955" t="str">
        <f t="shared" si="127"/>
        <v/>
      </c>
      <c r="R3955" s="54" t="str">
        <f t="shared" si="126"/>
        <v/>
      </c>
    </row>
    <row r="3956" spans="17:18" x14ac:dyDescent="0.3">
      <c r="Q3956" t="str">
        <f t="shared" si="127"/>
        <v/>
      </c>
      <c r="R3956" s="54" t="str">
        <f t="shared" si="126"/>
        <v/>
      </c>
    </row>
    <row r="3957" spans="17:18" x14ac:dyDescent="0.3">
      <c r="Q3957" t="str">
        <f t="shared" si="127"/>
        <v/>
      </c>
      <c r="R3957" s="54" t="str">
        <f t="shared" si="126"/>
        <v/>
      </c>
    </row>
    <row r="3958" spans="17:18" x14ac:dyDescent="0.3">
      <c r="Q3958" t="str">
        <f t="shared" si="127"/>
        <v/>
      </c>
      <c r="R3958" s="54" t="str">
        <f t="shared" si="126"/>
        <v/>
      </c>
    </row>
    <row r="3959" spans="17:18" x14ac:dyDescent="0.3">
      <c r="Q3959" t="str">
        <f t="shared" si="127"/>
        <v/>
      </c>
      <c r="R3959" s="54" t="str">
        <f t="shared" si="126"/>
        <v/>
      </c>
    </row>
    <row r="3960" spans="17:18" x14ac:dyDescent="0.3">
      <c r="Q3960" t="str">
        <f t="shared" si="127"/>
        <v/>
      </c>
      <c r="R3960" s="54" t="str">
        <f t="shared" si="126"/>
        <v/>
      </c>
    </row>
    <row r="3961" spans="17:18" x14ac:dyDescent="0.3">
      <c r="Q3961" t="str">
        <f t="shared" si="127"/>
        <v/>
      </c>
      <c r="R3961" s="54" t="str">
        <f t="shared" si="126"/>
        <v/>
      </c>
    </row>
    <row r="3962" spans="17:18" x14ac:dyDescent="0.3">
      <c r="Q3962" t="str">
        <f t="shared" si="127"/>
        <v/>
      </c>
      <c r="R3962" s="54" t="str">
        <f t="shared" si="126"/>
        <v/>
      </c>
    </row>
    <row r="3963" spans="17:18" x14ac:dyDescent="0.3">
      <c r="Q3963" t="str">
        <f t="shared" si="127"/>
        <v/>
      </c>
      <c r="R3963" s="54" t="str">
        <f t="shared" si="126"/>
        <v/>
      </c>
    </row>
    <row r="3964" spans="17:18" x14ac:dyDescent="0.3">
      <c r="Q3964" t="str">
        <f t="shared" si="127"/>
        <v/>
      </c>
      <c r="R3964" s="54" t="str">
        <f t="shared" si="126"/>
        <v/>
      </c>
    </row>
    <row r="3965" spans="17:18" x14ac:dyDescent="0.3">
      <c r="Q3965" t="str">
        <f t="shared" si="127"/>
        <v/>
      </c>
      <c r="R3965" s="54" t="str">
        <f t="shared" si="126"/>
        <v/>
      </c>
    </row>
    <row r="3966" spans="17:18" x14ac:dyDescent="0.3">
      <c r="Q3966" t="str">
        <f t="shared" si="127"/>
        <v/>
      </c>
      <c r="R3966" s="54" t="str">
        <f t="shared" si="126"/>
        <v/>
      </c>
    </row>
    <row r="3967" spans="17:18" x14ac:dyDescent="0.3">
      <c r="Q3967" t="str">
        <f t="shared" si="127"/>
        <v/>
      </c>
      <c r="R3967" s="54" t="str">
        <f t="shared" si="126"/>
        <v/>
      </c>
    </row>
    <row r="3968" spans="17:18" x14ac:dyDescent="0.3">
      <c r="Q3968" t="str">
        <f t="shared" si="127"/>
        <v/>
      </c>
      <c r="R3968" s="54" t="str">
        <f t="shared" si="126"/>
        <v/>
      </c>
    </row>
    <row r="3969" spans="17:18" x14ac:dyDescent="0.3">
      <c r="Q3969" t="str">
        <f t="shared" si="127"/>
        <v/>
      </c>
      <c r="R3969" s="54" t="str">
        <f t="shared" si="126"/>
        <v/>
      </c>
    </row>
    <row r="3970" spans="17:18" x14ac:dyDescent="0.3">
      <c r="Q3970" t="str">
        <f t="shared" si="127"/>
        <v/>
      </c>
      <c r="R3970" s="54" t="str">
        <f t="shared" si="126"/>
        <v/>
      </c>
    </row>
    <row r="3971" spans="17:18" x14ac:dyDescent="0.3">
      <c r="Q3971" t="str">
        <f t="shared" si="127"/>
        <v/>
      </c>
      <c r="R3971" s="54" t="str">
        <f t="shared" ref="R3971:R4034" si="128">IF(F3985="","",IFERROR(IF(ISNUMBER(F3985),F3985,DATEVALUE(F3985)),""))</f>
        <v/>
      </c>
    </row>
    <row r="3972" spans="17:18" x14ac:dyDescent="0.3">
      <c r="Q3972" t="str">
        <f t="shared" si="127"/>
        <v/>
      </c>
      <c r="R3972" s="54" t="str">
        <f t="shared" si="128"/>
        <v/>
      </c>
    </row>
    <row r="3973" spans="17:18" x14ac:dyDescent="0.3">
      <c r="Q3973" t="str">
        <f t="shared" si="127"/>
        <v/>
      </c>
      <c r="R3973" s="54" t="str">
        <f t="shared" si="128"/>
        <v/>
      </c>
    </row>
    <row r="3974" spans="17:18" x14ac:dyDescent="0.3">
      <c r="Q3974" t="str">
        <f t="shared" si="127"/>
        <v/>
      </c>
      <c r="R3974" s="54" t="str">
        <f t="shared" si="128"/>
        <v/>
      </c>
    </row>
    <row r="3975" spans="17:18" x14ac:dyDescent="0.3">
      <c r="Q3975" t="str">
        <f t="shared" si="127"/>
        <v/>
      </c>
      <c r="R3975" s="54" t="str">
        <f t="shared" si="128"/>
        <v/>
      </c>
    </row>
    <row r="3976" spans="17:18" x14ac:dyDescent="0.3">
      <c r="Q3976" t="str">
        <f t="shared" si="127"/>
        <v/>
      </c>
      <c r="R3976" s="54" t="str">
        <f t="shared" si="128"/>
        <v/>
      </c>
    </row>
    <row r="3977" spans="17:18" x14ac:dyDescent="0.3">
      <c r="Q3977" t="str">
        <f t="shared" si="127"/>
        <v/>
      </c>
      <c r="R3977" s="54" t="str">
        <f t="shared" si="128"/>
        <v/>
      </c>
    </row>
    <row r="3978" spans="17:18" x14ac:dyDescent="0.3">
      <c r="Q3978" t="str">
        <f t="shared" si="127"/>
        <v/>
      </c>
      <c r="R3978" s="54" t="str">
        <f t="shared" si="128"/>
        <v/>
      </c>
    </row>
    <row r="3979" spans="17:18" x14ac:dyDescent="0.3">
      <c r="Q3979" t="str">
        <f t="shared" si="127"/>
        <v/>
      </c>
      <c r="R3979" s="54" t="str">
        <f t="shared" si="128"/>
        <v/>
      </c>
    </row>
    <row r="3980" spans="17:18" x14ac:dyDescent="0.3">
      <c r="Q3980" t="str">
        <f t="shared" si="127"/>
        <v/>
      </c>
      <c r="R3980" s="54" t="str">
        <f t="shared" si="128"/>
        <v/>
      </c>
    </row>
    <row r="3981" spans="17:18" x14ac:dyDescent="0.3">
      <c r="Q3981" t="str">
        <f t="shared" si="127"/>
        <v/>
      </c>
      <c r="R3981" s="54" t="str">
        <f t="shared" si="128"/>
        <v/>
      </c>
    </row>
    <row r="3982" spans="17:18" x14ac:dyDescent="0.3">
      <c r="Q3982" t="str">
        <f t="shared" si="127"/>
        <v/>
      </c>
      <c r="R3982" s="54" t="str">
        <f t="shared" si="128"/>
        <v/>
      </c>
    </row>
    <row r="3983" spans="17:18" x14ac:dyDescent="0.3">
      <c r="Q3983" t="str">
        <f t="shared" si="127"/>
        <v/>
      </c>
      <c r="R3983" s="54" t="str">
        <f t="shared" si="128"/>
        <v/>
      </c>
    </row>
    <row r="3984" spans="17:18" x14ac:dyDescent="0.3">
      <c r="Q3984" t="str">
        <f t="shared" si="127"/>
        <v/>
      </c>
      <c r="R3984" s="54" t="str">
        <f t="shared" si="128"/>
        <v/>
      </c>
    </row>
    <row r="3985" spans="17:18" x14ac:dyDescent="0.3">
      <c r="Q3985" t="str">
        <f t="shared" si="127"/>
        <v/>
      </c>
      <c r="R3985" s="54" t="str">
        <f t="shared" si="128"/>
        <v/>
      </c>
    </row>
    <row r="3986" spans="17:18" x14ac:dyDescent="0.3">
      <c r="Q3986" t="str">
        <f t="shared" si="127"/>
        <v/>
      </c>
      <c r="R3986" s="54" t="str">
        <f t="shared" si="128"/>
        <v/>
      </c>
    </row>
    <row r="3987" spans="17:18" x14ac:dyDescent="0.3">
      <c r="Q3987" t="str">
        <f t="shared" si="127"/>
        <v/>
      </c>
      <c r="R3987" s="54" t="str">
        <f t="shared" si="128"/>
        <v/>
      </c>
    </row>
    <row r="3988" spans="17:18" x14ac:dyDescent="0.3">
      <c r="Q3988" t="str">
        <f t="shared" si="127"/>
        <v/>
      </c>
      <c r="R3988" s="54" t="str">
        <f t="shared" si="128"/>
        <v/>
      </c>
    </row>
    <row r="3989" spans="17:18" x14ac:dyDescent="0.3">
      <c r="Q3989" t="str">
        <f t="shared" si="127"/>
        <v/>
      </c>
      <c r="R3989" s="54" t="str">
        <f t="shared" si="128"/>
        <v/>
      </c>
    </row>
    <row r="3990" spans="17:18" x14ac:dyDescent="0.3">
      <c r="Q3990" t="str">
        <f t="shared" si="127"/>
        <v/>
      </c>
      <c r="R3990" s="54" t="str">
        <f t="shared" si="128"/>
        <v/>
      </c>
    </row>
    <row r="3991" spans="17:18" x14ac:dyDescent="0.3">
      <c r="Q3991" t="str">
        <f t="shared" ref="Q3991:Q4054" si="129">IF(COUNTA(A3991:P3991)=0,"",IF(ISNUMBER(SEARCH("-AR-",E4005)),"Architectural",IF(ISNUMBER(SEARCH("-ST-",E4005)),"Structural",IF(ISNUMBER(SEARCH("-ME-",E4005)),"Mechanical",IF(ISNUMBER(SEARCH("-EL-",E4005)),"Electrical",IF(ISNUMBER(SEARCH("-GE-",E4005)),"General",IF(ISNUMBER(SEARCH("-AR-",D4005)),"Architectural",IF(ISNUMBER(SEARCH("-ST-",D4005)),"Structural",IF(ISNUMBER(SEARCH("-ME-",D4005)),"Mechanical",IF(ISNUMBER(SEARCH("-EL-",D4005)),"Electrical",IF(ISNUMBER(SEARCH("-GE-",D4005)),"General","Other")))))))))))</f>
        <v/>
      </c>
      <c r="R3991" s="54" t="str">
        <f t="shared" si="128"/>
        <v/>
      </c>
    </row>
    <row r="3992" spans="17:18" x14ac:dyDescent="0.3">
      <c r="Q3992" t="str">
        <f t="shared" si="129"/>
        <v/>
      </c>
      <c r="R3992" s="54" t="str">
        <f t="shared" si="128"/>
        <v/>
      </c>
    </row>
    <row r="3993" spans="17:18" x14ac:dyDescent="0.3">
      <c r="Q3993" t="str">
        <f t="shared" si="129"/>
        <v/>
      </c>
      <c r="R3993" s="54" t="str">
        <f t="shared" si="128"/>
        <v/>
      </c>
    </row>
    <row r="3994" spans="17:18" x14ac:dyDescent="0.3">
      <c r="Q3994" t="str">
        <f t="shared" si="129"/>
        <v/>
      </c>
      <c r="R3994" s="54" t="str">
        <f t="shared" si="128"/>
        <v/>
      </c>
    </row>
    <row r="3995" spans="17:18" x14ac:dyDescent="0.3">
      <c r="Q3995" t="str">
        <f t="shared" si="129"/>
        <v/>
      </c>
      <c r="R3995" s="54" t="str">
        <f t="shared" si="128"/>
        <v/>
      </c>
    </row>
    <row r="3996" spans="17:18" x14ac:dyDescent="0.3">
      <c r="Q3996" t="str">
        <f t="shared" si="129"/>
        <v/>
      </c>
      <c r="R3996" s="54" t="str">
        <f t="shared" si="128"/>
        <v/>
      </c>
    </row>
    <row r="3997" spans="17:18" x14ac:dyDescent="0.3">
      <c r="Q3997" t="str">
        <f t="shared" si="129"/>
        <v/>
      </c>
      <c r="R3997" s="54" t="str">
        <f t="shared" si="128"/>
        <v/>
      </c>
    </row>
    <row r="3998" spans="17:18" x14ac:dyDescent="0.3">
      <c r="Q3998" t="str">
        <f t="shared" si="129"/>
        <v/>
      </c>
      <c r="R3998" s="54" t="str">
        <f t="shared" si="128"/>
        <v/>
      </c>
    </row>
    <row r="3999" spans="17:18" x14ac:dyDescent="0.3">
      <c r="Q3999" t="str">
        <f t="shared" si="129"/>
        <v/>
      </c>
      <c r="R3999" s="54" t="str">
        <f t="shared" si="128"/>
        <v/>
      </c>
    </row>
    <row r="4000" spans="17:18" x14ac:dyDescent="0.3">
      <c r="Q4000" t="str">
        <f t="shared" si="129"/>
        <v/>
      </c>
      <c r="R4000" s="54" t="str">
        <f t="shared" si="128"/>
        <v/>
      </c>
    </row>
    <row r="4001" spans="17:18" x14ac:dyDescent="0.3">
      <c r="Q4001" t="str">
        <f t="shared" si="129"/>
        <v/>
      </c>
      <c r="R4001" s="54" t="str">
        <f t="shared" si="128"/>
        <v/>
      </c>
    </row>
    <row r="4002" spans="17:18" x14ac:dyDescent="0.3">
      <c r="Q4002" t="str">
        <f t="shared" si="129"/>
        <v/>
      </c>
      <c r="R4002" s="54" t="str">
        <f t="shared" si="128"/>
        <v/>
      </c>
    </row>
    <row r="4003" spans="17:18" x14ac:dyDescent="0.3">
      <c r="Q4003" t="str">
        <f t="shared" si="129"/>
        <v/>
      </c>
      <c r="R4003" s="54" t="str">
        <f t="shared" si="128"/>
        <v/>
      </c>
    </row>
    <row r="4004" spans="17:18" x14ac:dyDescent="0.3">
      <c r="Q4004" t="str">
        <f t="shared" si="129"/>
        <v/>
      </c>
      <c r="R4004" s="54" t="str">
        <f t="shared" si="128"/>
        <v/>
      </c>
    </row>
    <row r="4005" spans="17:18" x14ac:dyDescent="0.3">
      <c r="Q4005" t="str">
        <f t="shared" si="129"/>
        <v/>
      </c>
      <c r="R4005" s="54" t="str">
        <f t="shared" si="128"/>
        <v/>
      </c>
    </row>
    <row r="4006" spans="17:18" x14ac:dyDescent="0.3">
      <c r="Q4006" t="str">
        <f t="shared" si="129"/>
        <v/>
      </c>
      <c r="R4006" s="54" t="str">
        <f t="shared" si="128"/>
        <v/>
      </c>
    </row>
    <row r="4007" spans="17:18" x14ac:dyDescent="0.3">
      <c r="Q4007" t="str">
        <f t="shared" si="129"/>
        <v/>
      </c>
      <c r="R4007" s="54" t="str">
        <f t="shared" si="128"/>
        <v/>
      </c>
    </row>
    <row r="4008" spans="17:18" x14ac:dyDescent="0.3">
      <c r="Q4008" t="str">
        <f t="shared" si="129"/>
        <v/>
      </c>
      <c r="R4008" s="54" t="str">
        <f t="shared" si="128"/>
        <v/>
      </c>
    </row>
    <row r="4009" spans="17:18" x14ac:dyDescent="0.3">
      <c r="Q4009" t="str">
        <f t="shared" si="129"/>
        <v/>
      </c>
      <c r="R4009" s="54" t="str">
        <f t="shared" si="128"/>
        <v/>
      </c>
    </row>
    <row r="4010" spans="17:18" x14ac:dyDescent="0.3">
      <c r="Q4010" t="str">
        <f t="shared" si="129"/>
        <v/>
      </c>
      <c r="R4010" s="54" t="str">
        <f t="shared" si="128"/>
        <v/>
      </c>
    </row>
    <row r="4011" spans="17:18" x14ac:dyDescent="0.3">
      <c r="Q4011" t="str">
        <f t="shared" si="129"/>
        <v/>
      </c>
      <c r="R4011" s="54" t="str">
        <f t="shared" si="128"/>
        <v/>
      </c>
    </row>
    <row r="4012" spans="17:18" x14ac:dyDescent="0.3">
      <c r="Q4012" t="str">
        <f t="shared" si="129"/>
        <v/>
      </c>
      <c r="R4012" s="54" t="str">
        <f t="shared" si="128"/>
        <v/>
      </c>
    </row>
    <row r="4013" spans="17:18" x14ac:dyDescent="0.3">
      <c r="Q4013" t="str">
        <f t="shared" si="129"/>
        <v/>
      </c>
      <c r="R4013" s="54" t="str">
        <f t="shared" si="128"/>
        <v/>
      </c>
    </row>
    <row r="4014" spans="17:18" x14ac:dyDescent="0.3">
      <c r="Q4014" t="str">
        <f t="shared" si="129"/>
        <v/>
      </c>
      <c r="R4014" s="54" t="str">
        <f t="shared" si="128"/>
        <v/>
      </c>
    </row>
    <row r="4015" spans="17:18" x14ac:dyDescent="0.3">
      <c r="Q4015" t="str">
        <f t="shared" si="129"/>
        <v/>
      </c>
      <c r="R4015" s="54" t="str">
        <f t="shared" si="128"/>
        <v/>
      </c>
    </row>
    <row r="4016" spans="17:18" x14ac:dyDescent="0.3">
      <c r="Q4016" t="str">
        <f t="shared" si="129"/>
        <v/>
      </c>
      <c r="R4016" s="54" t="str">
        <f t="shared" si="128"/>
        <v/>
      </c>
    </row>
    <row r="4017" spans="17:18" x14ac:dyDescent="0.3">
      <c r="Q4017" t="str">
        <f t="shared" si="129"/>
        <v/>
      </c>
      <c r="R4017" s="54" t="str">
        <f t="shared" si="128"/>
        <v/>
      </c>
    </row>
    <row r="4018" spans="17:18" x14ac:dyDescent="0.3">
      <c r="Q4018" t="str">
        <f t="shared" si="129"/>
        <v/>
      </c>
      <c r="R4018" s="54" t="str">
        <f t="shared" si="128"/>
        <v/>
      </c>
    </row>
    <row r="4019" spans="17:18" x14ac:dyDescent="0.3">
      <c r="Q4019" t="str">
        <f t="shared" si="129"/>
        <v/>
      </c>
      <c r="R4019" s="54" t="str">
        <f t="shared" si="128"/>
        <v/>
      </c>
    </row>
    <row r="4020" spans="17:18" x14ac:dyDescent="0.3">
      <c r="Q4020" t="str">
        <f t="shared" si="129"/>
        <v/>
      </c>
      <c r="R4020" s="54" t="str">
        <f t="shared" si="128"/>
        <v/>
      </c>
    </row>
    <row r="4021" spans="17:18" x14ac:dyDescent="0.3">
      <c r="Q4021" t="str">
        <f t="shared" si="129"/>
        <v/>
      </c>
      <c r="R4021" s="54" t="str">
        <f t="shared" si="128"/>
        <v/>
      </c>
    </row>
    <row r="4022" spans="17:18" x14ac:dyDescent="0.3">
      <c r="Q4022" t="str">
        <f t="shared" si="129"/>
        <v/>
      </c>
      <c r="R4022" s="54" t="str">
        <f t="shared" si="128"/>
        <v/>
      </c>
    </row>
    <row r="4023" spans="17:18" x14ac:dyDescent="0.3">
      <c r="Q4023" t="str">
        <f t="shared" si="129"/>
        <v/>
      </c>
      <c r="R4023" s="54" t="str">
        <f t="shared" si="128"/>
        <v/>
      </c>
    </row>
    <row r="4024" spans="17:18" x14ac:dyDescent="0.3">
      <c r="Q4024" t="str">
        <f t="shared" si="129"/>
        <v/>
      </c>
      <c r="R4024" s="54" t="str">
        <f t="shared" si="128"/>
        <v/>
      </c>
    </row>
    <row r="4025" spans="17:18" x14ac:dyDescent="0.3">
      <c r="Q4025" t="str">
        <f t="shared" si="129"/>
        <v/>
      </c>
      <c r="R4025" s="54" t="str">
        <f t="shared" si="128"/>
        <v/>
      </c>
    </row>
    <row r="4026" spans="17:18" x14ac:dyDescent="0.3">
      <c r="Q4026" t="str">
        <f t="shared" si="129"/>
        <v/>
      </c>
      <c r="R4026" s="54" t="str">
        <f t="shared" si="128"/>
        <v/>
      </c>
    </row>
    <row r="4027" spans="17:18" x14ac:dyDescent="0.3">
      <c r="Q4027" t="str">
        <f t="shared" si="129"/>
        <v/>
      </c>
      <c r="R4027" s="54" t="str">
        <f t="shared" si="128"/>
        <v/>
      </c>
    </row>
    <row r="4028" spans="17:18" x14ac:dyDescent="0.3">
      <c r="Q4028" t="str">
        <f t="shared" si="129"/>
        <v/>
      </c>
      <c r="R4028" s="54" t="str">
        <f t="shared" si="128"/>
        <v/>
      </c>
    </row>
    <row r="4029" spans="17:18" x14ac:dyDescent="0.3">
      <c r="Q4029" t="str">
        <f t="shared" si="129"/>
        <v/>
      </c>
      <c r="R4029" s="54" t="str">
        <f t="shared" si="128"/>
        <v/>
      </c>
    </row>
    <row r="4030" spans="17:18" x14ac:dyDescent="0.3">
      <c r="Q4030" t="str">
        <f t="shared" si="129"/>
        <v/>
      </c>
      <c r="R4030" s="54" t="str">
        <f t="shared" si="128"/>
        <v/>
      </c>
    </row>
    <row r="4031" spans="17:18" x14ac:dyDescent="0.3">
      <c r="Q4031" t="str">
        <f t="shared" si="129"/>
        <v/>
      </c>
      <c r="R4031" s="54" t="str">
        <f t="shared" si="128"/>
        <v/>
      </c>
    </row>
    <row r="4032" spans="17:18" x14ac:dyDescent="0.3">
      <c r="Q4032" t="str">
        <f t="shared" si="129"/>
        <v/>
      </c>
      <c r="R4032" s="54" t="str">
        <f t="shared" si="128"/>
        <v/>
      </c>
    </row>
    <row r="4033" spans="17:18" x14ac:dyDescent="0.3">
      <c r="Q4033" t="str">
        <f t="shared" si="129"/>
        <v/>
      </c>
      <c r="R4033" s="54" t="str">
        <f t="shared" si="128"/>
        <v/>
      </c>
    </row>
    <row r="4034" spans="17:18" x14ac:dyDescent="0.3">
      <c r="Q4034" t="str">
        <f t="shared" si="129"/>
        <v/>
      </c>
      <c r="R4034" s="54" t="str">
        <f t="shared" si="128"/>
        <v/>
      </c>
    </row>
    <row r="4035" spans="17:18" x14ac:dyDescent="0.3">
      <c r="Q4035" t="str">
        <f t="shared" si="129"/>
        <v/>
      </c>
      <c r="R4035" s="54" t="str">
        <f t="shared" ref="R4035:R4098" si="130">IF(F4049="","",IFERROR(IF(ISNUMBER(F4049),F4049,DATEVALUE(F4049)),""))</f>
        <v/>
      </c>
    </row>
    <row r="4036" spans="17:18" x14ac:dyDescent="0.3">
      <c r="Q4036" t="str">
        <f t="shared" si="129"/>
        <v/>
      </c>
      <c r="R4036" s="54" t="str">
        <f t="shared" si="130"/>
        <v/>
      </c>
    </row>
    <row r="4037" spans="17:18" x14ac:dyDescent="0.3">
      <c r="Q4037" t="str">
        <f t="shared" si="129"/>
        <v/>
      </c>
      <c r="R4037" s="54" t="str">
        <f t="shared" si="130"/>
        <v/>
      </c>
    </row>
    <row r="4038" spans="17:18" x14ac:dyDescent="0.3">
      <c r="Q4038" t="str">
        <f t="shared" si="129"/>
        <v/>
      </c>
      <c r="R4038" s="54" t="str">
        <f t="shared" si="130"/>
        <v/>
      </c>
    </row>
    <row r="4039" spans="17:18" x14ac:dyDescent="0.3">
      <c r="Q4039" t="str">
        <f t="shared" si="129"/>
        <v/>
      </c>
      <c r="R4039" s="54" t="str">
        <f t="shared" si="130"/>
        <v/>
      </c>
    </row>
    <row r="4040" spans="17:18" x14ac:dyDescent="0.3">
      <c r="Q4040" t="str">
        <f t="shared" si="129"/>
        <v/>
      </c>
      <c r="R4040" s="54" t="str">
        <f t="shared" si="130"/>
        <v/>
      </c>
    </row>
    <row r="4041" spans="17:18" x14ac:dyDescent="0.3">
      <c r="Q4041" t="str">
        <f t="shared" si="129"/>
        <v/>
      </c>
      <c r="R4041" s="54" t="str">
        <f t="shared" si="130"/>
        <v/>
      </c>
    </row>
    <row r="4042" spans="17:18" x14ac:dyDescent="0.3">
      <c r="Q4042" t="str">
        <f t="shared" si="129"/>
        <v/>
      </c>
      <c r="R4042" s="54" t="str">
        <f t="shared" si="130"/>
        <v/>
      </c>
    </row>
    <row r="4043" spans="17:18" x14ac:dyDescent="0.3">
      <c r="Q4043" t="str">
        <f t="shared" si="129"/>
        <v/>
      </c>
      <c r="R4043" s="54" t="str">
        <f t="shared" si="130"/>
        <v/>
      </c>
    </row>
    <row r="4044" spans="17:18" x14ac:dyDescent="0.3">
      <c r="Q4044" t="str">
        <f t="shared" si="129"/>
        <v/>
      </c>
      <c r="R4044" s="54" t="str">
        <f t="shared" si="130"/>
        <v/>
      </c>
    </row>
    <row r="4045" spans="17:18" x14ac:dyDescent="0.3">
      <c r="Q4045" t="str">
        <f t="shared" si="129"/>
        <v/>
      </c>
      <c r="R4045" s="54" t="str">
        <f t="shared" si="130"/>
        <v/>
      </c>
    </row>
    <row r="4046" spans="17:18" x14ac:dyDescent="0.3">
      <c r="Q4046" t="str">
        <f t="shared" si="129"/>
        <v/>
      </c>
      <c r="R4046" s="54" t="str">
        <f t="shared" si="130"/>
        <v/>
      </c>
    </row>
    <row r="4047" spans="17:18" x14ac:dyDescent="0.3">
      <c r="Q4047" t="str">
        <f t="shared" si="129"/>
        <v/>
      </c>
      <c r="R4047" s="54" t="str">
        <f t="shared" si="130"/>
        <v/>
      </c>
    </row>
    <row r="4048" spans="17:18" x14ac:dyDescent="0.3">
      <c r="Q4048" t="str">
        <f t="shared" si="129"/>
        <v/>
      </c>
      <c r="R4048" s="54" t="str">
        <f t="shared" si="130"/>
        <v/>
      </c>
    </row>
    <row r="4049" spans="17:18" x14ac:dyDescent="0.3">
      <c r="Q4049" t="str">
        <f t="shared" si="129"/>
        <v/>
      </c>
      <c r="R4049" s="54" t="str">
        <f t="shared" si="130"/>
        <v/>
      </c>
    </row>
    <row r="4050" spans="17:18" x14ac:dyDescent="0.3">
      <c r="Q4050" t="str">
        <f t="shared" si="129"/>
        <v/>
      </c>
      <c r="R4050" s="54" t="str">
        <f t="shared" si="130"/>
        <v/>
      </c>
    </row>
    <row r="4051" spans="17:18" x14ac:dyDescent="0.3">
      <c r="Q4051" t="str">
        <f t="shared" si="129"/>
        <v/>
      </c>
      <c r="R4051" s="54" t="str">
        <f t="shared" si="130"/>
        <v/>
      </c>
    </row>
    <row r="4052" spans="17:18" x14ac:dyDescent="0.3">
      <c r="Q4052" t="str">
        <f t="shared" si="129"/>
        <v/>
      </c>
      <c r="R4052" s="54" t="str">
        <f t="shared" si="130"/>
        <v/>
      </c>
    </row>
    <row r="4053" spans="17:18" x14ac:dyDescent="0.3">
      <c r="Q4053" t="str">
        <f t="shared" si="129"/>
        <v/>
      </c>
      <c r="R4053" s="54" t="str">
        <f t="shared" si="130"/>
        <v/>
      </c>
    </row>
    <row r="4054" spans="17:18" x14ac:dyDescent="0.3">
      <c r="Q4054" t="str">
        <f t="shared" si="129"/>
        <v/>
      </c>
      <c r="R4054" s="54" t="str">
        <f t="shared" si="130"/>
        <v/>
      </c>
    </row>
    <row r="4055" spans="17:18" x14ac:dyDescent="0.3">
      <c r="Q4055" t="str">
        <f t="shared" ref="Q4055:Q4118" si="131">IF(COUNTA(A4055:P4055)=0,"",IF(ISNUMBER(SEARCH("-AR-",E4069)),"Architectural",IF(ISNUMBER(SEARCH("-ST-",E4069)),"Structural",IF(ISNUMBER(SEARCH("-ME-",E4069)),"Mechanical",IF(ISNUMBER(SEARCH("-EL-",E4069)),"Electrical",IF(ISNUMBER(SEARCH("-GE-",E4069)),"General",IF(ISNUMBER(SEARCH("-AR-",D4069)),"Architectural",IF(ISNUMBER(SEARCH("-ST-",D4069)),"Structural",IF(ISNUMBER(SEARCH("-ME-",D4069)),"Mechanical",IF(ISNUMBER(SEARCH("-EL-",D4069)),"Electrical",IF(ISNUMBER(SEARCH("-GE-",D4069)),"General","Other")))))))))))</f>
        <v/>
      </c>
      <c r="R4055" s="54" t="str">
        <f t="shared" si="130"/>
        <v/>
      </c>
    </row>
    <row r="4056" spans="17:18" x14ac:dyDescent="0.3">
      <c r="Q4056" t="str">
        <f t="shared" si="131"/>
        <v/>
      </c>
      <c r="R4056" s="54" t="str">
        <f t="shared" si="130"/>
        <v/>
      </c>
    </row>
    <row r="4057" spans="17:18" x14ac:dyDescent="0.3">
      <c r="Q4057" t="str">
        <f t="shared" si="131"/>
        <v/>
      </c>
      <c r="R4057" s="54" t="str">
        <f t="shared" si="130"/>
        <v/>
      </c>
    </row>
    <row r="4058" spans="17:18" x14ac:dyDescent="0.3">
      <c r="Q4058" t="str">
        <f t="shared" si="131"/>
        <v/>
      </c>
      <c r="R4058" s="54" t="str">
        <f t="shared" si="130"/>
        <v/>
      </c>
    </row>
    <row r="4059" spans="17:18" x14ac:dyDescent="0.3">
      <c r="Q4059" t="str">
        <f t="shared" si="131"/>
        <v/>
      </c>
      <c r="R4059" s="54" t="str">
        <f t="shared" si="130"/>
        <v/>
      </c>
    </row>
    <row r="4060" spans="17:18" x14ac:dyDescent="0.3">
      <c r="Q4060" t="str">
        <f t="shared" si="131"/>
        <v/>
      </c>
      <c r="R4060" s="54" t="str">
        <f t="shared" si="130"/>
        <v/>
      </c>
    </row>
    <row r="4061" spans="17:18" x14ac:dyDescent="0.3">
      <c r="Q4061" t="str">
        <f t="shared" si="131"/>
        <v/>
      </c>
      <c r="R4061" s="54" t="str">
        <f t="shared" si="130"/>
        <v/>
      </c>
    </row>
    <row r="4062" spans="17:18" x14ac:dyDescent="0.3">
      <c r="Q4062" t="str">
        <f t="shared" si="131"/>
        <v/>
      </c>
      <c r="R4062" s="54" t="str">
        <f t="shared" si="130"/>
        <v/>
      </c>
    </row>
    <row r="4063" spans="17:18" x14ac:dyDescent="0.3">
      <c r="Q4063" t="str">
        <f t="shared" si="131"/>
        <v/>
      </c>
      <c r="R4063" s="54" t="str">
        <f t="shared" si="130"/>
        <v/>
      </c>
    </row>
    <row r="4064" spans="17:18" x14ac:dyDescent="0.3">
      <c r="Q4064" t="str">
        <f t="shared" si="131"/>
        <v/>
      </c>
      <c r="R4064" s="54" t="str">
        <f t="shared" si="130"/>
        <v/>
      </c>
    </row>
    <row r="4065" spans="17:18" x14ac:dyDescent="0.3">
      <c r="Q4065" t="str">
        <f t="shared" si="131"/>
        <v/>
      </c>
      <c r="R4065" s="54" t="str">
        <f t="shared" si="130"/>
        <v/>
      </c>
    </row>
    <row r="4066" spans="17:18" x14ac:dyDescent="0.3">
      <c r="Q4066" t="str">
        <f t="shared" si="131"/>
        <v/>
      </c>
      <c r="R4066" s="54" t="str">
        <f t="shared" si="130"/>
        <v/>
      </c>
    </row>
    <row r="4067" spans="17:18" x14ac:dyDescent="0.3">
      <c r="Q4067" t="str">
        <f t="shared" si="131"/>
        <v/>
      </c>
      <c r="R4067" s="54" t="str">
        <f t="shared" si="130"/>
        <v/>
      </c>
    </row>
    <row r="4068" spans="17:18" x14ac:dyDescent="0.3">
      <c r="Q4068" t="str">
        <f t="shared" si="131"/>
        <v/>
      </c>
      <c r="R4068" s="54" t="str">
        <f t="shared" si="130"/>
        <v/>
      </c>
    </row>
    <row r="4069" spans="17:18" x14ac:dyDescent="0.3">
      <c r="Q4069" t="str">
        <f t="shared" si="131"/>
        <v/>
      </c>
      <c r="R4069" s="54" t="str">
        <f t="shared" si="130"/>
        <v/>
      </c>
    </row>
    <row r="4070" spans="17:18" x14ac:dyDescent="0.3">
      <c r="Q4070" t="str">
        <f t="shared" si="131"/>
        <v/>
      </c>
      <c r="R4070" s="54" t="str">
        <f t="shared" si="130"/>
        <v/>
      </c>
    </row>
    <row r="4071" spans="17:18" x14ac:dyDescent="0.3">
      <c r="Q4071" t="str">
        <f t="shared" si="131"/>
        <v/>
      </c>
      <c r="R4071" s="54" t="str">
        <f t="shared" si="130"/>
        <v/>
      </c>
    </row>
    <row r="4072" spans="17:18" x14ac:dyDescent="0.3">
      <c r="Q4072" t="str">
        <f t="shared" si="131"/>
        <v/>
      </c>
      <c r="R4072" s="54" t="str">
        <f t="shared" si="130"/>
        <v/>
      </c>
    </row>
    <row r="4073" spans="17:18" x14ac:dyDescent="0.3">
      <c r="Q4073" t="str">
        <f t="shared" si="131"/>
        <v/>
      </c>
      <c r="R4073" s="54" t="str">
        <f t="shared" si="130"/>
        <v/>
      </c>
    </row>
    <row r="4074" spans="17:18" x14ac:dyDescent="0.3">
      <c r="Q4074" t="str">
        <f t="shared" si="131"/>
        <v/>
      </c>
      <c r="R4074" s="54" t="str">
        <f t="shared" si="130"/>
        <v/>
      </c>
    </row>
    <row r="4075" spans="17:18" x14ac:dyDescent="0.3">
      <c r="Q4075" t="str">
        <f t="shared" si="131"/>
        <v/>
      </c>
      <c r="R4075" s="54" t="str">
        <f t="shared" si="130"/>
        <v/>
      </c>
    </row>
    <row r="4076" spans="17:18" x14ac:dyDescent="0.3">
      <c r="Q4076" t="str">
        <f t="shared" si="131"/>
        <v/>
      </c>
      <c r="R4076" s="54" t="str">
        <f t="shared" si="130"/>
        <v/>
      </c>
    </row>
    <row r="4077" spans="17:18" x14ac:dyDescent="0.3">
      <c r="Q4077" t="str">
        <f t="shared" si="131"/>
        <v/>
      </c>
      <c r="R4077" s="54" t="str">
        <f t="shared" si="130"/>
        <v/>
      </c>
    </row>
    <row r="4078" spans="17:18" x14ac:dyDescent="0.3">
      <c r="Q4078" t="str">
        <f t="shared" si="131"/>
        <v/>
      </c>
      <c r="R4078" s="54" t="str">
        <f t="shared" si="130"/>
        <v/>
      </c>
    </row>
    <row r="4079" spans="17:18" x14ac:dyDescent="0.3">
      <c r="Q4079" t="str">
        <f t="shared" si="131"/>
        <v/>
      </c>
      <c r="R4079" s="54" t="str">
        <f t="shared" si="130"/>
        <v/>
      </c>
    </row>
    <row r="4080" spans="17:18" x14ac:dyDescent="0.3">
      <c r="Q4080" t="str">
        <f t="shared" si="131"/>
        <v/>
      </c>
      <c r="R4080" s="54" t="str">
        <f t="shared" si="130"/>
        <v/>
      </c>
    </row>
    <row r="4081" spans="17:18" x14ac:dyDescent="0.3">
      <c r="Q4081" t="str">
        <f t="shared" si="131"/>
        <v/>
      </c>
      <c r="R4081" s="54" t="str">
        <f t="shared" si="130"/>
        <v/>
      </c>
    </row>
    <row r="4082" spans="17:18" x14ac:dyDescent="0.3">
      <c r="Q4082" t="str">
        <f t="shared" si="131"/>
        <v/>
      </c>
      <c r="R4082" s="54" t="str">
        <f t="shared" si="130"/>
        <v/>
      </c>
    </row>
    <row r="4083" spans="17:18" x14ac:dyDescent="0.3">
      <c r="Q4083" t="str">
        <f t="shared" si="131"/>
        <v/>
      </c>
      <c r="R4083" s="54" t="str">
        <f t="shared" si="130"/>
        <v/>
      </c>
    </row>
    <row r="4084" spans="17:18" x14ac:dyDescent="0.3">
      <c r="Q4084" t="str">
        <f t="shared" si="131"/>
        <v/>
      </c>
      <c r="R4084" s="54" t="str">
        <f t="shared" si="130"/>
        <v/>
      </c>
    </row>
    <row r="4085" spans="17:18" x14ac:dyDescent="0.3">
      <c r="Q4085" t="str">
        <f t="shared" si="131"/>
        <v/>
      </c>
      <c r="R4085" s="54" t="str">
        <f t="shared" si="130"/>
        <v/>
      </c>
    </row>
    <row r="4086" spans="17:18" x14ac:dyDescent="0.3">
      <c r="Q4086" t="str">
        <f t="shared" si="131"/>
        <v/>
      </c>
      <c r="R4086" s="54" t="str">
        <f t="shared" si="130"/>
        <v/>
      </c>
    </row>
    <row r="4087" spans="17:18" x14ac:dyDescent="0.3">
      <c r="Q4087" t="str">
        <f t="shared" si="131"/>
        <v/>
      </c>
      <c r="R4087" s="54" t="str">
        <f t="shared" si="130"/>
        <v/>
      </c>
    </row>
    <row r="4088" spans="17:18" x14ac:dyDescent="0.3">
      <c r="Q4088" t="str">
        <f t="shared" si="131"/>
        <v/>
      </c>
      <c r="R4088" s="54" t="str">
        <f t="shared" si="130"/>
        <v/>
      </c>
    </row>
    <row r="4089" spans="17:18" x14ac:dyDescent="0.3">
      <c r="Q4089" t="str">
        <f t="shared" si="131"/>
        <v/>
      </c>
      <c r="R4089" s="54" t="str">
        <f t="shared" si="130"/>
        <v/>
      </c>
    </row>
    <row r="4090" spans="17:18" x14ac:dyDescent="0.3">
      <c r="Q4090" t="str">
        <f t="shared" si="131"/>
        <v/>
      </c>
      <c r="R4090" s="54" t="str">
        <f t="shared" si="130"/>
        <v/>
      </c>
    </row>
    <row r="4091" spans="17:18" x14ac:dyDescent="0.3">
      <c r="Q4091" t="str">
        <f t="shared" si="131"/>
        <v/>
      </c>
      <c r="R4091" s="54" t="str">
        <f t="shared" si="130"/>
        <v/>
      </c>
    </row>
    <row r="4092" spans="17:18" x14ac:dyDescent="0.3">
      <c r="Q4092" t="str">
        <f t="shared" si="131"/>
        <v/>
      </c>
      <c r="R4092" s="54" t="str">
        <f t="shared" si="130"/>
        <v/>
      </c>
    </row>
    <row r="4093" spans="17:18" x14ac:dyDescent="0.3">
      <c r="Q4093" t="str">
        <f t="shared" si="131"/>
        <v/>
      </c>
      <c r="R4093" s="54" t="str">
        <f t="shared" si="130"/>
        <v/>
      </c>
    </row>
    <row r="4094" spans="17:18" x14ac:dyDescent="0.3">
      <c r="Q4094" t="str">
        <f t="shared" si="131"/>
        <v/>
      </c>
      <c r="R4094" s="54" t="str">
        <f t="shared" si="130"/>
        <v/>
      </c>
    </row>
    <row r="4095" spans="17:18" x14ac:dyDescent="0.3">
      <c r="Q4095" t="str">
        <f t="shared" si="131"/>
        <v/>
      </c>
      <c r="R4095" s="54" t="str">
        <f t="shared" si="130"/>
        <v/>
      </c>
    </row>
    <row r="4096" spans="17:18" x14ac:dyDescent="0.3">
      <c r="Q4096" t="str">
        <f t="shared" si="131"/>
        <v/>
      </c>
      <c r="R4096" s="54" t="str">
        <f t="shared" si="130"/>
        <v/>
      </c>
    </row>
    <row r="4097" spans="17:18" x14ac:dyDescent="0.3">
      <c r="Q4097" t="str">
        <f t="shared" si="131"/>
        <v/>
      </c>
      <c r="R4097" s="54" t="str">
        <f t="shared" si="130"/>
        <v/>
      </c>
    </row>
    <row r="4098" spans="17:18" x14ac:dyDescent="0.3">
      <c r="Q4098" t="str">
        <f t="shared" si="131"/>
        <v/>
      </c>
      <c r="R4098" s="54" t="str">
        <f t="shared" si="130"/>
        <v/>
      </c>
    </row>
    <row r="4099" spans="17:18" x14ac:dyDescent="0.3">
      <c r="Q4099" t="str">
        <f t="shared" si="131"/>
        <v/>
      </c>
      <c r="R4099" s="54" t="str">
        <f t="shared" ref="R4099:R4162" si="132">IF(F4113="","",IFERROR(IF(ISNUMBER(F4113),F4113,DATEVALUE(F4113)),""))</f>
        <v/>
      </c>
    </row>
    <row r="4100" spans="17:18" x14ac:dyDescent="0.3">
      <c r="Q4100" t="str">
        <f t="shared" si="131"/>
        <v/>
      </c>
      <c r="R4100" s="54" t="str">
        <f t="shared" si="132"/>
        <v/>
      </c>
    </row>
    <row r="4101" spans="17:18" x14ac:dyDescent="0.3">
      <c r="Q4101" t="str">
        <f t="shared" si="131"/>
        <v/>
      </c>
      <c r="R4101" s="54" t="str">
        <f t="shared" si="132"/>
        <v/>
      </c>
    </row>
    <row r="4102" spans="17:18" x14ac:dyDescent="0.3">
      <c r="Q4102" t="str">
        <f t="shared" si="131"/>
        <v/>
      </c>
      <c r="R4102" s="54" t="str">
        <f t="shared" si="132"/>
        <v/>
      </c>
    </row>
    <row r="4103" spans="17:18" x14ac:dyDescent="0.3">
      <c r="Q4103" t="str">
        <f t="shared" si="131"/>
        <v/>
      </c>
      <c r="R4103" s="54" t="str">
        <f t="shared" si="132"/>
        <v/>
      </c>
    </row>
    <row r="4104" spans="17:18" x14ac:dyDescent="0.3">
      <c r="Q4104" t="str">
        <f t="shared" si="131"/>
        <v/>
      </c>
      <c r="R4104" s="54" t="str">
        <f t="shared" si="132"/>
        <v/>
      </c>
    </row>
    <row r="4105" spans="17:18" x14ac:dyDescent="0.3">
      <c r="Q4105" t="str">
        <f t="shared" si="131"/>
        <v/>
      </c>
      <c r="R4105" s="54" t="str">
        <f t="shared" si="132"/>
        <v/>
      </c>
    </row>
    <row r="4106" spans="17:18" x14ac:dyDescent="0.3">
      <c r="Q4106" t="str">
        <f t="shared" si="131"/>
        <v/>
      </c>
      <c r="R4106" s="54" t="str">
        <f t="shared" si="132"/>
        <v/>
      </c>
    </row>
    <row r="4107" spans="17:18" x14ac:dyDescent="0.3">
      <c r="Q4107" t="str">
        <f t="shared" si="131"/>
        <v/>
      </c>
      <c r="R4107" s="54" t="str">
        <f t="shared" si="132"/>
        <v/>
      </c>
    </row>
    <row r="4108" spans="17:18" x14ac:dyDescent="0.3">
      <c r="Q4108" t="str">
        <f t="shared" si="131"/>
        <v/>
      </c>
      <c r="R4108" s="54" t="str">
        <f t="shared" si="132"/>
        <v/>
      </c>
    </row>
    <row r="4109" spans="17:18" x14ac:dyDescent="0.3">
      <c r="Q4109" t="str">
        <f t="shared" si="131"/>
        <v/>
      </c>
      <c r="R4109" s="54" t="str">
        <f t="shared" si="132"/>
        <v/>
      </c>
    </row>
    <row r="4110" spans="17:18" x14ac:dyDescent="0.3">
      <c r="Q4110" t="str">
        <f t="shared" si="131"/>
        <v/>
      </c>
      <c r="R4110" s="54" t="str">
        <f t="shared" si="132"/>
        <v/>
      </c>
    </row>
    <row r="4111" spans="17:18" x14ac:dyDescent="0.3">
      <c r="Q4111" t="str">
        <f t="shared" si="131"/>
        <v/>
      </c>
      <c r="R4111" s="54" t="str">
        <f t="shared" si="132"/>
        <v/>
      </c>
    </row>
    <row r="4112" spans="17:18" x14ac:dyDescent="0.3">
      <c r="Q4112" t="str">
        <f t="shared" si="131"/>
        <v/>
      </c>
      <c r="R4112" s="54" t="str">
        <f t="shared" si="132"/>
        <v/>
      </c>
    </row>
    <row r="4113" spans="17:18" x14ac:dyDescent="0.3">
      <c r="Q4113" t="str">
        <f t="shared" si="131"/>
        <v/>
      </c>
      <c r="R4113" s="54" t="str">
        <f t="shared" si="132"/>
        <v/>
      </c>
    </row>
    <row r="4114" spans="17:18" x14ac:dyDescent="0.3">
      <c r="Q4114" t="str">
        <f t="shared" si="131"/>
        <v/>
      </c>
      <c r="R4114" s="54" t="str">
        <f t="shared" si="132"/>
        <v/>
      </c>
    </row>
    <row r="4115" spans="17:18" x14ac:dyDescent="0.3">
      <c r="Q4115" t="str">
        <f t="shared" si="131"/>
        <v/>
      </c>
      <c r="R4115" s="54" t="str">
        <f t="shared" si="132"/>
        <v/>
      </c>
    </row>
    <row r="4116" spans="17:18" x14ac:dyDescent="0.3">
      <c r="Q4116" t="str">
        <f t="shared" si="131"/>
        <v/>
      </c>
      <c r="R4116" s="54" t="str">
        <f t="shared" si="132"/>
        <v/>
      </c>
    </row>
    <row r="4117" spans="17:18" x14ac:dyDescent="0.3">
      <c r="Q4117" t="str">
        <f t="shared" si="131"/>
        <v/>
      </c>
      <c r="R4117" s="54" t="str">
        <f t="shared" si="132"/>
        <v/>
      </c>
    </row>
    <row r="4118" spans="17:18" x14ac:dyDescent="0.3">
      <c r="Q4118" t="str">
        <f t="shared" si="131"/>
        <v/>
      </c>
      <c r="R4118" s="54" t="str">
        <f t="shared" si="132"/>
        <v/>
      </c>
    </row>
    <row r="4119" spans="17:18" x14ac:dyDescent="0.3">
      <c r="Q4119" t="str">
        <f t="shared" ref="Q4119:Q4182" si="133">IF(COUNTA(A4119:P4119)=0,"",IF(ISNUMBER(SEARCH("-AR-",E4133)),"Architectural",IF(ISNUMBER(SEARCH("-ST-",E4133)),"Structural",IF(ISNUMBER(SEARCH("-ME-",E4133)),"Mechanical",IF(ISNUMBER(SEARCH("-EL-",E4133)),"Electrical",IF(ISNUMBER(SEARCH("-GE-",E4133)),"General",IF(ISNUMBER(SEARCH("-AR-",D4133)),"Architectural",IF(ISNUMBER(SEARCH("-ST-",D4133)),"Structural",IF(ISNUMBER(SEARCH("-ME-",D4133)),"Mechanical",IF(ISNUMBER(SEARCH("-EL-",D4133)),"Electrical",IF(ISNUMBER(SEARCH("-GE-",D4133)),"General","Other")))))))))))</f>
        <v/>
      </c>
      <c r="R4119" s="54" t="str">
        <f t="shared" si="132"/>
        <v/>
      </c>
    </row>
    <row r="4120" spans="17:18" x14ac:dyDescent="0.3">
      <c r="Q4120" t="str">
        <f t="shared" si="133"/>
        <v/>
      </c>
      <c r="R4120" s="54" t="str">
        <f t="shared" si="132"/>
        <v/>
      </c>
    </row>
    <row r="4121" spans="17:18" x14ac:dyDescent="0.3">
      <c r="Q4121" t="str">
        <f t="shared" si="133"/>
        <v/>
      </c>
      <c r="R4121" s="54" t="str">
        <f t="shared" si="132"/>
        <v/>
      </c>
    </row>
    <row r="4122" spans="17:18" x14ac:dyDescent="0.3">
      <c r="Q4122" t="str">
        <f t="shared" si="133"/>
        <v/>
      </c>
      <c r="R4122" s="54" t="str">
        <f t="shared" si="132"/>
        <v/>
      </c>
    </row>
    <row r="4123" spans="17:18" x14ac:dyDescent="0.3">
      <c r="Q4123" t="str">
        <f t="shared" si="133"/>
        <v/>
      </c>
      <c r="R4123" s="54" t="str">
        <f t="shared" si="132"/>
        <v/>
      </c>
    </row>
    <row r="4124" spans="17:18" x14ac:dyDescent="0.3">
      <c r="Q4124" t="str">
        <f t="shared" si="133"/>
        <v/>
      </c>
      <c r="R4124" s="54" t="str">
        <f t="shared" si="132"/>
        <v/>
      </c>
    </row>
    <row r="4125" spans="17:18" x14ac:dyDescent="0.3">
      <c r="Q4125" t="str">
        <f t="shared" si="133"/>
        <v/>
      </c>
      <c r="R4125" s="54" t="str">
        <f t="shared" si="132"/>
        <v/>
      </c>
    </row>
    <row r="4126" spans="17:18" x14ac:dyDescent="0.3">
      <c r="Q4126" t="str">
        <f t="shared" si="133"/>
        <v/>
      </c>
      <c r="R4126" s="54" t="str">
        <f t="shared" si="132"/>
        <v/>
      </c>
    </row>
    <row r="4127" spans="17:18" x14ac:dyDescent="0.3">
      <c r="Q4127" t="str">
        <f t="shared" si="133"/>
        <v/>
      </c>
      <c r="R4127" s="54" t="str">
        <f t="shared" si="132"/>
        <v/>
      </c>
    </row>
    <row r="4128" spans="17:18" x14ac:dyDescent="0.3">
      <c r="Q4128" t="str">
        <f t="shared" si="133"/>
        <v/>
      </c>
      <c r="R4128" s="54" t="str">
        <f t="shared" si="132"/>
        <v/>
      </c>
    </row>
    <row r="4129" spans="17:18" x14ac:dyDescent="0.3">
      <c r="Q4129" t="str">
        <f t="shared" si="133"/>
        <v/>
      </c>
      <c r="R4129" s="54" t="str">
        <f t="shared" si="132"/>
        <v/>
      </c>
    </row>
    <row r="4130" spans="17:18" x14ac:dyDescent="0.3">
      <c r="Q4130" t="str">
        <f t="shared" si="133"/>
        <v/>
      </c>
      <c r="R4130" s="54" t="str">
        <f t="shared" si="132"/>
        <v/>
      </c>
    </row>
    <row r="4131" spans="17:18" x14ac:dyDescent="0.3">
      <c r="Q4131" t="str">
        <f t="shared" si="133"/>
        <v/>
      </c>
      <c r="R4131" s="54" t="str">
        <f t="shared" si="132"/>
        <v/>
      </c>
    </row>
    <row r="4132" spans="17:18" x14ac:dyDescent="0.3">
      <c r="Q4132" t="str">
        <f t="shared" si="133"/>
        <v/>
      </c>
      <c r="R4132" s="54" t="str">
        <f t="shared" si="132"/>
        <v/>
      </c>
    </row>
    <row r="4133" spans="17:18" x14ac:dyDescent="0.3">
      <c r="Q4133" t="str">
        <f t="shared" si="133"/>
        <v/>
      </c>
      <c r="R4133" s="54" t="str">
        <f t="shared" si="132"/>
        <v/>
      </c>
    </row>
    <row r="4134" spans="17:18" x14ac:dyDescent="0.3">
      <c r="Q4134" t="str">
        <f t="shared" si="133"/>
        <v/>
      </c>
      <c r="R4134" s="54" t="str">
        <f t="shared" si="132"/>
        <v/>
      </c>
    </row>
    <row r="4135" spans="17:18" x14ac:dyDescent="0.3">
      <c r="Q4135" t="str">
        <f t="shared" si="133"/>
        <v/>
      </c>
      <c r="R4135" s="54" t="str">
        <f t="shared" si="132"/>
        <v/>
      </c>
    </row>
    <row r="4136" spans="17:18" x14ac:dyDescent="0.3">
      <c r="Q4136" t="str">
        <f t="shared" si="133"/>
        <v/>
      </c>
      <c r="R4136" s="54" t="str">
        <f t="shared" si="132"/>
        <v/>
      </c>
    </row>
    <row r="4137" spans="17:18" x14ac:dyDescent="0.3">
      <c r="Q4137" t="str">
        <f t="shared" si="133"/>
        <v/>
      </c>
      <c r="R4137" s="54" t="str">
        <f t="shared" si="132"/>
        <v/>
      </c>
    </row>
    <row r="4138" spans="17:18" x14ac:dyDescent="0.3">
      <c r="Q4138" t="str">
        <f t="shared" si="133"/>
        <v/>
      </c>
      <c r="R4138" s="54" t="str">
        <f t="shared" si="132"/>
        <v/>
      </c>
    </row>
    <row r="4139" spans="17:18" x14ac:dyDescent="0.3">
      <c r="Q4139" t="str">
        <f t="shared" si="133"/>
        <v/>
      </c>
      <c r="R4139" s="54" t="str">
        <f t="shared" si="132"/>
        <v/>
      </c>
    </row>
    <row r="4140" spans="17:18" x14ac:dyDescent="0.3">
      <c r="Q4140" t="str">
        <f t="shared" si="133"/>
        <v/>
      </c>
      <c r="R4140" s="54" t="str">
        <f t="shared" si="132"/>
        <v/>
      </c>
    </row>
    <row r="4141" spans="17:18" x14ac:dyDescent="0.3">
      <c r="Q4141" t="str">
        <f t="shared" si="133"/>
        <v/>
      </c>
      <c r="R4141" s="54" t="str">
        <f t="shared" si="132"/>
        <v/>
      </c>
    </row>
    <row r="4142" spans="17:18" x14ac:dyDescent="0.3">
      <c r="Q4142" t="str">
        <f t="shared" si="133"/>
        <v/>
      </c>
      <c r="R4142" s="54" t="str">
        <f t="shared" si="132"/>
        <v/>
      </c>
    </row>
    <row r="4143" spans="17:18" x14ac:dyDescent="0.3">
      <c r="Q4143" t="str">
        <f t="shared" si="133"/>
        <v/>
      </c>
      <c r="R4143" s="54" t="str">
        <f t="shared" si="132"/>
        <v/>
      </c>
    </row>
    <row r="4144" spans="17:18" x14ac:dyDescent="0.3">
      <c r="Q4144" t="str">
        <f t="shared" si="133"/>
        <v/>
      </c>
      <c r="R4144" s="54" t="str">
        <f t="shared" si="132"/>
        <v/>
      </c>
    </row>
    <row r="4145" spans="17:18" x14ac:dyDescent="0.3">
      <c r="Q4145" t="str">
        <f t="shared" si="133"/>
        <v/>
      </c>
      <c r="R4145" s="54" t="str">
        <f t="shared" si="132"/>
        <v/>
      </c>
    </row>
    <row r="4146" spans="17:18" x14ac:dyDescent="0.3">
      <c r="Q4146" t="str">
        <f t="shared" si="133"/>
        <v/>
      </c>
      <c r="R4146" s="54" t="str">
        <f t="shared" si="132"/>
        <v/>
      </c>
    </row>
    <row r="4147" spans="17:18" x14ac:dyDescent="0.3">
      <c r="Q4147" t="str">
        <f t="shared" si="133"/>
        <v/>
      </c>
      <c r="R4147" s="54" t="str">
        <f t="shared" si="132"/>
        <v/>
      </c>
    </row>
    <row r="4148" spans="17:18" x14ac:dyDescent="0.3">
      <c r="Q4148" t="str">
        <f t="shared" si="133"/>
        <v/>
      </c>
      <c r="R4148" s="54" t="str">
        <f t="shared" si="132"/>
        <v/>
      </c>
    </row>
    <row r="4149" spans="17:18" x14ac:dyDescent="0.3">
      <c r="Q4149" t="str">
        <f t="shared" si="133"/>
        <v/>
      </c>
      <c r="R4149" s="54" t="str">
        <f t="shared" si="132"/>
        <v/>
      </c>
    </row>
    <row r="4150" spans="17:18" x14ac:dyDescent="0.3">
      <c r="Q4150" t="str">
        <f t="shared" si="133"/>
        <v/>
      </c>
      <c r="R4150" s="54" t="str">
        <f t="shared" si="132"/>
        <v/>
      </c>
    </row>
    <row r="4151" spans="17:18" x14ac:dyDescent="0.3">
      <c r="Q4151" t="str">
        <f t="shared" si="133"/>
        <v/>
      </c>
      <c r="R4151" s="54" t="str">
        <f t="shared" si="132"/>
        <v/>
      </c>
    </row>
    <row r="4152" spans="17:18" x14ac:dyDescent="0.3">
      <c r="Q4152" t="str">
        <f t="shared" si="133"/>
        <v/>
      </c>
      <c r="R4152" s="54" t="str">
        <f t="shared" si="132"/>
        <v/>
      </c>
    </row>
    <row r="4153" spans="17:18" x14ac:dyDescent="0.3">
      <c r="Q4153" t="str">
        <f t="shared" si="133"/>
        <v/>
      </c>
      <c r="R4153" s="54" t="str">
        <f t="shared" si="132"/>
        <v/>
      </c>
    </row>
    <row r="4154" spans="17:18" x14ac:dyDescent="0.3">
      <c r="Q4154" t="str">
        <f t="shared" si="133"/>
        <v/>
      </c>
      <c r="R4154" s="54" t="str">
        <f t="shared" si="132"/>
        <v/>
      </c>
    </row>
    <row r="4155" spans="17:18" x14ac:dyDescent="0.3">
      <c r="Q4155" t="str">
        <f t="shared" si="133"/>
        <v/>
      </c>
      <c r="R4155" s="54" t="str">
        <f t="shared" si="132"/>
        <v/>
      </c>
    </row>
    <row r="4156" spans="17:18" x14ac:dyDescent="0.3">
      <c r="Q4156" t="str">
        <f t="shared" si="133"/>
        <v/>
      </c>
      <c r="R4156" s="54" t="str">
        <f t="shared" si="132"/>
        <v/>
      </c>
    </row>
    <row r="4157" spans="17:18" x14ac:dyDescent="0.3">
      <c r="Q4157" t="str">
        <f t="shared" si="133"/>
        <v/>
      </c>
      <c r="R4157" s="54" t="str">
        <f t="shared" si="132"/>
        <v/>
      </c>
    </row>
    <row r="4158" spans="17:18" x14ac:dyDescent="0.3">
      <c r="Q4158" t="str">
        <f t="shared" si="133"/>
        <v/>
      </c>
      <c r="R4158" s="54" t="str">
        <f t="shared" si="132"/>
        <v/>
      </c>
    </row>
    <row r="4159" spans="17:18" x14ac:dyDescent="0.3">
      <c r="Q4159" t="str">
        <f t="shared" si="133"/>
        <v/>
      </c>
      <c r="R4159" s="54" t="str">
        <f t="shared" si="132"/>
        <v/>
      </c>
    </row>
    <row r="4160" spans="17:18" x14ac:dyDescent="0.3">
      <c r="Q4160" t="str">
        <f t="shared" si="133"/>
        <v/>
      </c>
      <c r="R4160" s="54" t="str">
        <f t="shared" si="132"/>
        <v/>
      </c>
    </row>
    <row r="4161" spans="17:18" x14ac:dyDescent="0.3">
      <c r="Q4161" t="str">
        <f t="shared" si="133"/>
        <v/>
      </c>
      <c r="R4161" s="54" t="str">
        <f t="shared" si="132"/>
        <v/>
      </c>
    </row>
    <row r="4162" spans="17:18" x14ac:dyDescent="0.3">
      <c r="Q4162" t="str">
        <f t="shared" si="133"/>
        <v/>
      </c>
      <c r="R4162" s="54" t="str">
        <f t="shared" si="132"/>
        <v/>
      </c>
    </row>
    <row r="4163" spans="17:18" x14ac:dyDescent="0.3">
      <c r="Q4163" t="str">
        <f t="shared" si="133"/>
        <v/>
      </c>
      <c r="R4163" s="54" t="str">
        <f t="shared" ref="R4163:R4226" si="134">IF(F4177="","",IFERROR(IF(ISNUMBER(F4177),F4177,DATEVALUE(F4177)),""))</f>
        <v/>
      </c>
    </row>
    <row r="4164" spans="17:18" x14ac:dyDescent="0.3">
      <c r="Q4164" t="str">
        <f t="shared" si="133"/>
        <v/>
      </c>
      <c r="R4164" s="54" t="str">
        <f t="shared" si="134"/>
        <v/>
      </c>
    </row>
    <row r="4165" spans="17:18" x14ac:dyDescent="0.3">
      <c r="Q4165" t="str">
        <f t="shared" si="133"/>
        <v/>
      </c>
      <c r="R4165" s="54" t="str">
        <f t="shared" si="134"/>
        <v/>
      </c>
    </row>
    <row r="4166" spans="17:18" x14ac:dyDescent="0.3">
      <c r="Q4166" t="str">
        <f t="shared" si="133"/>
        <v/>
      </c>
      <c r="R4166" s="54" t="str">
        <f t="shared" si="134"/>
        <v/>
      </c>
    </row>
    <row r="4167" spans="17:18" x14ac:dyDescent="0.3">
      <c r="Q4167" t="str">
        <f t="shared" si="133"/>
        <v/>
      </c>
      <c r="R4167" s="54" t="str">
        <f t="shared" si="134"/>
        <v/>
      </c>
    </row>
    <row r="4168" spans="17:18" x14ac:dyDescent="0.3">
      <c r="Q4168" t="str">
        <f t="shared" si="133"/>
        <v/>
      </c>
      <c r="R4168" s="54" t="str">
        <f t="shared" si="134"/>
        <v/>
      </c>
    </row>
    <row r="4169" spans="17:18" x14ac:dyDescent="0.3">
      <c r="Q4169" t="str">
        <f t="shared" si="133"/>
        <v/>
      </c>
      <c r="R4169" s="54" t="str">
        <f t="shared" si="134"/>
        <v/>
      </c>
    </row>
    <row r="4170" spans="17:18" x14ac:dyDescent="0.3">
      <c r="Q4170" t="str">
        <f t="shared" si="133"/>
        <v/>
      </c>
      <c r="R4170" s="54" t="str">
        <f t="shared" si="134"/>
        <v/>
      </c>
    </row>
    <row r="4171" spans="17:18" x14ac:dyDescent="0.3">
      <c r="Q4171" t="str">
        <f t="shared" si="133"/>
        <v/>
      </c>
      <c r="R4171" s="54" t="str">
        <f t="shared" si="134"/>
        <v/>
      </c>
    </row>
    <row r="4172" spans="17:18" x14ac:dyDescent="0.3">
      <c r="Q4172" t="str">
        <f t="shared" si="133"/>
        <v/>
      </c>
      <c r="R4172" s="54" t="str">
        <f t="shared" si="134"/>
        <v/>
      </c>
    </row>
    <row r="4173" spans="17:18" x14ac:dyDescent="0.3">
      <c r="Q4173" t="str">
        <f t="shared" si="133"/>
        <v/>
      </c>
      <c r="R4173" s="54" t="str">
        <f t="shared" si="134"/>
        <v/>
      </c>
    </row>
    <row r="4174" spans="17:18" x14ac:dyDescent="0.3">
      <c r="Q4174" t="str">
        <f t="shared" si="133"/>
        <v/>
      </c>
      <c r="R4174" s="54" t="str">
        <f t="shared" si="134"/>
        <v/>
      </c>
    </row>
    <row r="4175" spans="17:18" x14ac:dyDescent="0.3">
      <c r="Q4175" t="str">
        <f t="shared" si="133"/>
        <v/>
      </c>
      <c r="R4175" s="54" t="str">
        <f t="shared" si="134"/>
        <v/>
      </c>
    </row>
    <row r="4176" spans="17:18" x14ac:dyDescent="0.3">
      <c r="Q4176" t="str">
        <f t="shared" si="133"/>
        <v/>
      </c>
      <c r="R4176" s="54" t="str">
        <f t="shared" si="134"/>
        <v/>
      </c>
    </row>
    <row r="4177" spans="17:18" x14ac:dyDescent="0.3">
      <c r="Q4177" t="str">
        <f t="shared" si="133"/>
        <v/>
      </c>
      <c r="R4177" s="54" t="str">
        <f t="shared" si="134"/>
        <v/>
      </c>
    </row>
    <row r="4178" spans="17:18" x14ac:dyDescent="0.3">
      <c r="Q4178" t="str">
        <f t="shared" si="133"/>
        <v/>
      </c>
      <c r="R4178" s="54" t="str">
        <f t="shared" si="134"/>
        <v/>
      </c>
    </row>
    <row r="4179" spans="17:18" x14ac:dyDescent="0.3">
      <c r="Q4179" t="str">
        <f t="shared" si="133"/>
        <v/>
      </c>
      <c r="R4179" s="54" t="str">
        <f t="shared" si="134"/>
        <v/>
      </c>
    </row>
    <row r="4180" spans="17:18" x14ac:dyDescent="0.3">
      <c r="Q4180" t="str">
        <f t="shared" si="133"/>
        <v/>
      </c>
      <c r="R4180" s="54" t="str">
        <f t="shared" si="134"/>
        <v/>
      </c>
    </row>
    <row r="4181" spans="17:18" x14ac:dyDescent="0.3">
      <c r="Q4181" t="str">
        <f t="shared" si="133"/>
        <v/>
      </c>
      <c r="R4181" s="54" t="str">
        <f t="shared" si="134"/>
        <v/>
      </c>
    </row>
    <row r="4182" spans="17:18" x14ac:dyDescent="0.3">
      <c r="Q4182" t="str">
        <f t="shared" si="133"/>
        <v/>
      </c>
      <c r="R4182" s="54" t="str">
        <f t="shared" si="134"/>
        <v/>
      </c>
    </row>
    <row r="4183" spans="17:18" x14ac:dyDescent="0.3">
      <c r="Q4183" t="str">
        <f t="shared" ref="Q4183:Q4246" si="135">IF(COUNTA(A4183:P4183)=0,"",IF(ISNUMBER(SEARCH("-AR-",E4197)),"Architectural",IF(ISNUMBER(SEARCH("-ST-",E4197)),"Structural",IF(ISNUMBER(SEARCH("-ME-",E4197)),"Mechanical",IF(ISNUMBER(SEARCH("-EL-",E4197)),"Electrical",IF(ISNUMBER(SEARCH("-GE-",E4197)),"General",IF(ISNUMBER(SEARCH("-AR-",D4197)),"Architectural",IF(ISNUMBER(SEARCH("-ST-",D4197)),"Structural",IF(ISNUMBER(SEARCH("-ME-",D4197)),"Mechanical",IF(ISNUMBER(SEARCH("-EL-",D4197)),"Electrical",IF(ISNUMBER(SEARCH("-GE-",D4197)),"General","Other")))))))))))</f>
        <v/>
      </c>
      <c r="R4183" s="54" t="str">
        <f t="shared" si="134"/>
        <v/>
      </c>
    </row>
    <row r="4184" spans="17:18" x14ac:dyDescent="0.3">
      <c r="Q4184" t="str">
        <f t="shared" si="135"/>
        <v/>
      </c>
      <c r="R4184" s="54" t="str">
        <f t="shared" si="134"/>
        <v/>
      </c>
    </row>
    <row r="4185" spans="17:18" x14ac:dyDescent="0.3">
      <c r="Q4185" t="str">
        <f t="shared" si="135"/>
        <v/>
      </c>
      <c r="R4185" s="54" t="str">
        <f t="shared" si="134"/>
        <v/>
      </c>
    </row>
    <row r="4186" spans="17:18" x14ac:dyDescent="0.3">
      <c r="Q4186" t="str">
        <f t="shared" si="135"/>
        <v/>
      </c>
      <c r="R4186" s="54" t="str">
        <f t="shared" si="134"/>
        <v/>
      </c>
    </row>
    <row r="4187" spans="17:18" x14ac:dyDescent="0.3">
      <c r="Q4187" t="str">
        <f t="shared" si="135"/>
        <v/>
      </c>
      <c r="R4187" s="54" t="str">
        <f t="shared" si="134"/>
        <v/>
      </c>
    </row>
    <row r="4188" spans="17:18" x14ac:dyDescent="0.3">
      <c r="Q4188" t="str">
        <f t="shared" si="135"/>
        <v/>
      </c>
      <c r="R4188" s="54" t="str">
        <f t="shared" si="134"/>
        <v/>
      </c>
    </row>
    <row r="4189" spans="17:18" x14ac:dyDescent="0.3">
      <c r="Q4189" t="str">
        <f t="shared" si="135"/>
        <v/>
      </c>
      <c r="R4189" s="54" t="str">
        <f t="shared" si="134"/>
        <v/>
      </c>
    </row>
    <row r="4190" spans="17:18" x14ac:dyDescent="0.3">
      <c r="Q4190" t="str">
        <f t="shared" si="135"/>
        <v/>
      </c>
      <c r="R4190" s="54" t="str">
        <f t="shared" si="134"/>
        <v/>
      </c>
    </row>
    <row r="4191" spans="17:18" x14ac:dyDescent="0.3">
      <c r="Q4191" t="str">
        <f t="shared" si="135"/>
        <v/>
      </c>
      <c r="R4191" s="54" t="str">
        <f t="shared" si="134"/>
        <v/>
      </c>
    </row>
    <row r="4192" spans="17:18" x14ac:dyDescent="0.3">
      <c r="Q4192" t="str">
        <f t="shared" si="135"/>
        <v/>
      </c>
      <c r="R4192" s="54" t="str">
        <f t="shared" si="134"/>
        <v/>
      </c>
    </row>
    <row r="4193" spans="17:18" x14ac:dyDescent="0.3">
      <c r="Q4193" t="str">
        <f t="shared" si="135"/>
        <v/>
      </c>
      <c r="R4193" s="54" t="str">
        <f t="shared" si="134"/>
        <v/>
      </c>
    </row>
    <row r="4194" spans="17:18" x14ac:dyDescent="0.3">
      <c r="Q4194" t="str">
        <f t="shared" si="135"/>
        <v/>
      </c>
      <c r="R4194" s="54" t="str">
        <f t="shared" si="134"/>
        <v/>
      </c>
    </row>
    <row r="4195" spans="17:18" x14ac:dyDescent="0.3">
      <c r="Q4195" t="str">
        <f t="shared" si="135"/>
        <v/>
      </c>
      <c r="R4195" s="54" t="str">
        <f t="shared" si="134"/>
        <v/>
      </c>
    </row>
    <row r="4196" spans="17:18" x14ac:dyDescent="0.3">
      <c r="Q4196" t="str">
        <f t="shared" si="135"/>
        <v/>
      </c>
      <c r="R4196" s="54" t="str">
        <f t="shared" si="134"/>
        <v/>
      </c>
    </row>
    <row r="4197" spans="17:18" x14ac:dyDescent="0.3">
      <c r="Q4197" t="str">
        <f t="shared" si="135"/>
        <v/>
      </c>
      <c r="R4197" s="54" t="str">
        <f t="shared" si="134"/>
        <v/>
      </c>
    </row>
    <row r="4198" spans="17:18" x14ac:dyDescent="0.3">
      <c r="Q4198" t="str">
        <f t="shared" si="135"/>
        <v/>
      </c>
      <c r="R4198" s="54" t="str">
        <f t="shared" si="134"/>
        <v/>
      </c>
    </row>
    <row r="4199" spans="17:18" x14ac:dyDescent="0.3">
      <c r="Q4199" t="str">
        <f t="shared" si="135"/>
        <v/>
      </c>
      <c r="R4199" s="54" t="str">
        <f t="shared" si="134"/>
        <v/>
      </c>
    </row>
    <row r="4200" spans="17:18" x14ac:dyDescent="0.3">
      <c r="Q4200" t="str">
        <f t="shared" si="135"/>
        <v/>
      </c>
      <c r="R4200" s="54" t="str">
        <f t="shared" si="134"/>
        <v/>
      </c>
    </row>
    <row r="4201" spans="17:18" x14ac:dyDescent="0.3">
      <c r="Q4201" t="str">
        <f t="shared" si="135"/>
        <v/>
      </c>
      <c r="R4201" s="54" t="str">
        <f t="shared" si="134"/>
        <v/>
      </c>
    </row>
    <row r="4202" spans="17:18" x14ac:dyDescent="0.3">
      <c r="Q4202" t="str">
        <f t="shared" si="135"/>
        <v/>
      </c>
      <c r="R4202" s="54" t="str">
        <f t="shared" si="134"/>
        <v/>
      </c>
    </row>
    <row r="4203" spans="17:18" x14ac:dyDescent="0.3">
      <c r="Q4203" t="str">
        <f t="shared" si="135"/>
        <v/>
      </c>
      <c r="R4203" s="54" t="str">
        <f t="shared" si="134"/>
        <v/>
      </c>
    </row>
    <row r="4204" spans="17:18" x14ac:dyDescent="0.3">
      <c r="Q4204" t="str">
        <f t="shared" si="135"/>
        <v/>
      </c>
      <c r="R4204" s="54" t="str">
        <f t="shared" si="134"/>
        <v/>
      </c>
    </row>
    <row r="4205" spans="17:18" x14ac:dyDescent="0.3">
      <c r="Q4205" t="str">
        <f t="shared" si="135"/>
        <v/>
      </c>
      <c r="R4205" s="54" t="str">
        <f t="shared" si="134"/>
        <v/>
      </c>
    </row>
    <row r="4206" spans="17:18" x14ac:dyDescent="0.3">
      <c r="Q4206" t="str">
        <f t="shared" si="135"/>
        <v/>
      </c>
      <c r="R4206" s="54" t="str">
        <f t="shared" si="134"/>
        <v/>
      </c>
    </row>
    <row r="4207" spans="17:18" x14ac:dyDescent="0.3">
      <c r="Q4207" t="str">
        <f t="shared" si="135"/>
        <v/>
      </c>
      <c r="R4207" s="54" t="str">
        <f t="shared" si="134"/>
        <v/>
      </c>
    </row>
    <row r="4208" spans="17:18" x14ac:dyDescent="0.3">
      <c r="Q4208" t="str">
        <f t="shared" si="135"/>
        <v/>
      </c>
      <c r="R4208" s="54" t="str">
        <f t="shared" si="134"/>
        <v/>
      </c>
    </row>
    <row r="4209" spans="17:18" x14ac:dyDescent="0.3">
      <c r="Q4209" t="str">
        <f t="shared" si="135"/>
        <v/>
      </c>
      <c r="R4209" s="54" t="str">
        <f t="shared" si="134"/>
        <v/>
      </c>
    </row>
    <row r="4210" spans="17:18" x14ac:dyDescent="0.3">
      <c r="Q4210" t="str">
        <f t="shared" si="135"/>
        <v/>
      </c>
      <c r="R4210" s="54" t="str">
        <f t="shared" si="134"/>
        <v/>
      </c>
    </row>
    <row r="4211" spans="17:18" x14ac:dyDescent="0.3">
      <c r="Q4211" t="str">
        <f t="shared" si="135"/>
        <v/>
      </c>
      <c r="R4211" s="54" t="str">
        <f t="shared" si="134"/>
        <v/>
      </c>
    </row>
    <row r="4212" spans="17:18" x14ac:dyDescent="0.3">
      <c r="Q4212" t="str">
        <f t="shared" si="135"/>
        <v/>
      </c>
      <c r="R4212" s="54" t="str">
        <f t="shared" si="134"/>
        <v/>
      </c>
    </row>
    <row r="4213" spans="17:18" x14ac:dyDescent="0.3">
      <c r="Q4213" t="str">
        <f t="shared" si="135"/>
        <v/>
      </c>
      <c r="R4213" s="54" t="str">
        <f t="shared" si="134"/>
        <v/>
      </c>
    </row>
    <row r="4214" spans="17:18" x14ac:dyDescent="0.3">
      <c r="Q4214" t="str">
        <f t="shared" si="135"/>
        <v/>
      </c>
      <c r="R4214" s="54" t="str">
        <f t="shared" si="134"/>
        <v/>
      </c>
    </row>
    <row r="4215" spans="17:18" x14ac:dyDescent="0.3">
      <c r="Q4215" t="str">
        <f t="shared" si="135"/>
        <v/>
      </c>
      <c r="R4215" s="54" t="str">
        <f t="shared" si="134"/>
        <v/>
      </c>
    </row>
    <row r="4216" spans="17:18" x14ac:dyDescent="0.3">
      <c r="Q4216" t="str">
        <f t="shared" si="135"/>
        <v/>
      </c>
      <c r="R4216" s="54" t="str">
        <f t="shared" si="134"/>
        <v/>
      </c>
    </row>
    <row r="4217" spans="17:18" x14ac:dyDescent="0.3">
      <c r="Q4217" t="str">
        <f t="shared" si="135"/>
        <v/>
      </c>
      <c r="R4217" s="54" t="str">
        <f t="shared" si="134"/>
        <v/>
      </c>
    </row>
    <row r="4218" spans="17:18" x14ac:dyDescent="0.3">
      <c r="Q4218" t="str">
        <f t="shared" si="135"/>
        <v/>
      </c>
      <c r="R4218" s="54" t="str">
        <f t="shared" si="134"/>
        <v/>
      </c>
    </row>
    <row r="4219" spans="17:18" x14ac:dyDescent="0.3">
      <c r="Q4219" t="str">
        <f t="shared" si="135"/>
        <v/>
      </c>
      <c r="R4219" s="54" t="str">
        <f t="shared" si="134"/>
        <v/>
      </c>
    </row>
    <row r="4220" spans="17:18" x14ac:dyDescent="0.3">
      <c r="Q4220" t="str">
        <f t="shared" si="135"/>
        <v/>
      </c>
      <c r="R4220" s="54" t="str">
        <f t="shared" si="134"/>
        <v/>
      </c>
    </row>
    <row r="4221" spans="17:18" x14ac:dyDescent="0.3">
      <c r="Q4221" t="str">
        <f t="shared" si="135"/>
        <v/>
      </c>
      <c r="R4221" s="54" t="str">
        <f t="shared" si="134"/>
        <v/>
      </c>
    </row>
    <row r="4222" spans="17:18" x14ac:dyDescent="0.3">
      <c r="Q4222" t="str">
        <f t="shared" si="135"/>
        <v/>
      </c>
      <c r="R4222" s="54" t="str">
        <f t="shared" si="134"/>
        <v/>
      </c>
    </row>
    <row r="4223" spans="17:18" x14ac:dyDescent="0.3">
      <c r="Q4223" t="str">
        <f t="shared" si="135"/>
        <v/>
      </c>
      <c r="R4223" s="54" t="str">
        <f t="shared" si="134"/>
        <v/>
      </c>
    </row>
    <row r="4224" spans="17:18" x14ac:dyDescent="0.3">
      <c r="Q4224" t="str">
        <f t="shared" si="135"/>
        <v/>
      </c>
      <c r="R4224" s="54" t="str">
        <f t="shared" si="134"/>
        <v/>
      </c>
    </row>
    <row r="4225" spans="17:18" x14ac:dyDescent="0.3">
      <c r="Q4225" t="str">
        <f t="shared" si="135"/>
        <v/>
      </c>
      <c r="R4225" s="54" t="str">
        <f t="shared" si="134"/>
        <v/>
      </c>
    </row>
    <row r="4226" spans="17:18" x14ac:dyDescent="0.3">
      <c r="Q4226" t="str">
        <f t="shared" si="135"/>
        <v/>
      </c>
      <c r="R4226" s="54" t="str">
        <f t="shared" si="134"/>
        <v/>
      </c>
    </row>
    <row r="4227" spans="17:18" x14ac:dyDescent="0.3">
      <c r="Q4227" t="str">
        <f t="shared" si="135"/>
        <v/>
      </c>
      <c r="R4227" s="54" t="str">
        <f t="shared" ref="R4227:R4290" si="136">IF(F4241="","",IFERROR(IF(ISNUMBER(F4241),F4241,DATEVALUE(F4241)),""))</f>
        <v/>
      </c>
    </row>
    <row r="4228" spans="17:18" x14ac:dyDescent="0.3">
      <c r="Q4228" t="str">
        <f t="shared" si="135"/>
        <v/>
      </c>
      <c r="R4228" s="54" t="str">
        <f t="shared" si="136"/>
        <v/>
      </c>
    </row>
    <row r="4229" spans="17:18" x14ac:dyDescent="0.3">
      <c r="Q4229" t="str">
        <f t="shared" si="135"/>
        <v/>
      </c>
      <c r="R4229" s="54" t="str">
        <f t="shared" si="136"/>
        <v/>
      </c>
    </row>
    <row r="4230" spans="17:18" x14ac:dyDescent="0.3">
      <c r="Q4230" t="str">
        <f t="shared" si="135"/>
        <v/>
      </c>
      <c r="R4230" s="54" t="str">
        <f t="shared" si="136"/>
        <v/>
      </c>
    </row>
    <row r="4231" spans="17:18" x14ac:dyDescent="0.3">
      <c r="Q4231" t="str">
        <f t="shared" si="135"/>
        <v/>
      </c>
      <c r="R4231" s="54" t="str">
        <f t="shared" si="136"/>
        <v/>
      </c>
    </row>
    <row r="4232" spans="17:18" x14ac:dyDescent="0.3">
      <c r="Q4232" t="str">
        <f t="shared" si="135"/>
        <v/>
      </c>
      <c r="R4232" s="54" t="str">
        <f t="shared" si="136"/>
        <v/>
      </c>
    </row>
    <row r="4233" spans="17:18" x14ac:dyDescent="0.3">
      <c r="Q4233" t="str">
        <f t="shared" si="135"/>
        <v/>
      </c>
      <c r="R4233" s="54" t="str">
        <f t="shared" si="136"/>
        <v/>
      </c>
    </row>
    <row r="4234" spans="17:18" x14ac:dyDescent="0.3">
      <c r="Q4234" t="str">
        <f t="shared" si="135"/>
        <v/>
      </c>
      <c r="R4234" s="54" t="str">
        <f t="shared" si="136"/>
        <v/>
      </c>
    </row>
    <row r="4235" spans="17:18" x14ac:dyDescent="0.3">
      <c r="Q4235" t="str">
        <f t="shared" si="135"/>
        <v/>
      </c>
      <c r="R4235" s="54" t="str">
        <f t="shared" si="136"/>
        <v/>
      </c>
    </row>
    <row r="4236" spans="17:18" x14ac:dyDescent="0.3">
      <c r="Q4236" t="str">
        <f t="shared" si="135"/>
        <v/>
      </c>
      <c r="R4236" s="54" t="str">
        <f t="shared" si="136"/>
        <v/>
      </c>
    </row>
    <row r="4237" spans="17:18" x14ac:dyDescent="0.3">
      <c r="Q4237" t="str">
        <f t="shared" si="135"/>
        <v/>
      </c>
      <c r="R4237" s="54" t="str">
        <f t="shared" si="136"/>
        <v/>
      </c>
    </row>
    <row r="4238" spans="17:18" x14ac:dyDescent="0.3">
      <c r="Q4238" t="str">
        <f t="shared" si="135"/>
        <v/>
      </c>
      <c r="R4238" s="54" t="str">
        <f t="shared" si="136"/>
        <v/>
      </c>
    </row>
    <row r="4239" spans="17:18" x14ac:dyDescent="0.3">
      <c r="Q4239" t="str">
        <f t="shared" si="135"/>
        <v/>
      </c>
      <c r="R4239" s="54" t="str">
        <f t="shared" si="136"/>
        <v/>
      </c>
    </row>
    <row r="4240" spans="17:18" x14ac:dyDescent="0.3">
      <c r="Q4240" t="str">
        <f t="shared" si="135"/>
        <v/>
      </c>
      <c r="R4240" s="54" t="str">
        <f t="shared" si="136"/>
        <v/>
      </c>
    </row>
    <row r="4241" spans="17:18" x14ac:dyDescent="0.3">
      <c r="Q4241" t="str">
        <f t="shared" si="135"/>
        <v/>
      </c>
      <c r="R4241" s="54" t="str">
        <f t="shared" si="136"/>
        <v/>
      </c>
    </row>
    <row r="4242" spans="17:18" x14ac:dyDescent="0.3">
      <c r="Q4242" t="str">
        <f t="shared" si="135"/>
        <v/>
      </c>
      <c r="R4242" s="54" t="str">
        <f t="shared" si="136"/>
        <v/>
      </c>
    </row>
    <row r="4243" spans="17:18" x14ac:dyDescent="0.3">
      <c r="Q4243" t="str">
        <f t="shared" si="135"/>
        <v/>
      </c>
      <c r="R4243" s="54" t="str">
        <f t="shared" si="136"/>
        <v/>
      </c>
    </row>
    <row r="4244" spans="17:18" x14ac:dyDescent="0.3">
      <c r="Q4244" t="str">
        <f t="shared" si="135"/>
        <v/>
      </c>
      <c r="R4244" s="54" t="str">
        <f t="shared" si="136"/>
        <v/>
      </c>
    </row>
    <row r="4245" spans="17:18" x14ac:dyDescent="0.3">
      <c r="Q4245" t="str">
        <f t="shared" si="135"/>
        <v/>
      </c>
      <c r="R4245" s="54" t="str">
        <f t="shared" si="136"/>
        <v/>
      </c>
    </row>
    <row r="4246" spans="17:18" x14ac:dyDescent="0.3">
      <c r="Q4246" t="str">
        <f t="shared" si="135"/>
        <v/>
      </c>
      <c r="R4246" s="54" t="str">
        <f t="shared" si="136"/>
        <v/>
      </c>
    </row>
    <row r="4247" spans="17:18" x14ac:dyDescent="0.3">
      <c r="Q4247" t="str">
        <f t="shared" ref="Q4247:Q4310" si="137">IF(COUNTA(A4247:P4247)=0,"",IF(ISNUMBER(SEARCH("-AR-",E4261)),"Architectural",IF(ISNUMBER(SEARCH("-ST-",E4261)),"Structural",IF(ISNUMBER(SEARCH("-ME-",E4261)),"Mechanical",IF(ISNUMBER(SEARCH("-EL-",E4261)),"Electrical",IF(ISNUMBER(SEARCH("-GE-",E4261)),"General",IF(ISNUMBER(SEARCH("-AR-",D4261)),"Architectural",IF(ISNUMBER(SEARCH("-ST-",D4261)),"Structural",IF(ISNUMBER(SEARCH("-ME-",D4261)),"Mechanical",IF(ISNUMBER(SEARCH("-EL-",D4261)),"Electrical",IF(ISNUMBER(SEARCH("-GE-",D4261)),"General","Other")))))))))))</f>
        <v/>
      </c>
      <c r="R4247" s="54" t="str">
        <f t="shared" si="136"/>
        <v/>
      </c>
    </row>
    <row r="4248" spans="17:18" x14ac:dyDescent="0.3">
      <c r="Q4248" t="str">
        <f t="shared" si="137"/>
        <v/>
      </c>
      <c r="R4248" s="54" t="str">
        <f t="shared" si="136"/>
        <v/>
      </c>
    </row>
    <row r="4249" spans="17:18" x14ac:dyDescent="0.3">
      <c r="Q4249" t="str">
        <f t="shared" si="137"/>
        <v/>
      </c>
      <c r="R4249" s="54" t="str">
        <f t="shared" si="136"/>
        <v/>
      </c>
    </row>
    <row r="4250" spans="17:18" x14ac:dyDescent="0.3">
      <c r="Q4250" t="str">
        <f t="shared" si="137"/>
        <v/>
      </c>
      <c r="R4250" s="54" t="str">
        <f t="shared" si="136"/>
        <v/>
      </c>
    </row>
    <row r="4251" spans="17:18" x14ac:dyDescent="0.3">
      <c r="Q4251" t="str">
        <f t="shared" si="137"/>
        <v/>
      </c>
      <c r="R4251" s="54" t="str">
        <f t="shared" si="136"/>
        <v/>
      </c>
    </row>
    <row r="4252" spans="17:18" x14ac:dyDescent="0.3">
      <c r="Q4252" t="str">
        <f t="shared" si="137"/>
        <v/>
      </c>
      <c r="R4252" s="54" t="str">
        <f t="shared" si="136"/>
        <v/>
      </c>
    </row>
    <row r="4253" spans="17:18" x14ac:dyDescent="0.3">
      <c r="Q4253" t="str">
        <f t="shared" si="137"/>
        <v/>
      </c>
      <c r="R4253" s="54" t="str">
        <f t="shared" si="136"/>
        <v/>
      </c>
    </row>
    <row r="4254" spans="17:18" x14ac:dyDescent="0.3">
      <c r="Q4254" t="str">
        <f t="shared" si="137"/>
        <v/>
      </c>
      <c r="R4254" s="54" t="str">
        <f t="shared" si="136"/>
        <v/>
      </c>
    </row>
    <row r="4255" spans="17:18" x14ac:dyDescent="0.3">
      <c r="Q4255" t="str">
        <f t="shared" si="137"/>
        <v/>
      </c>
      <c r="R4255" s="54" t="str">
        <f t="shared" si="136"/>
        <v/>
      </c>
    </row>
    <row r="4256" spans="17:18" x14ac:dyDescent="0.3">
      <c r="Q4256" t="str">
        <f t="shared" si="137"/>
        <v/>
      </c>
      <c r="R4256" s="54" t="str">
        <f t="shared" si="136"/>
        <v/>
      </c>
    </row>
    <row r="4257" spans="17:18" x14ac:dyDescent="0.3">
      <c r="Q4257" t="str">
        <f t="shared" si="137"/>
        <v/>
      </c>
      <c r="R4257" s="54" t="str">
        <f t="shared" si="136"/>
        <v/>
      </c>
    </row>
    <row r="4258" spans="17:18" x14ac:dyDescent="0.3">
      <c r="Q4258" t="str">
        <f t="shared" si="137"/>
        <v/>
      </c>
      <c r="R4258" s="54" t="str">
        <f t="shared" si="136"/>
        <v/>
      </c>
    </row>
    <row r="4259" spans="17:18" x14ac:dyDescent="0.3">
      <c r="Q4259" t="str">
        <f t="shared" si="137"/>
        <v/>
      </c>
      <c r="R4259" s="54" t="str">
        <f t="shared" si="136"/>
        <v/>
      </c>
    </row>
    <row r="4260" spans="17:18" x14ac:dyDescent="0.3">
      <c r="Q4260" t="str">
        <f t="shared" si="137"/>
        <v/>
      </c>
      <c r="R4260" s="54" t="str">
        <f t="shared" si="136"/>
        <v/>
      </c>
    </row>
    <row r="4261" spans="17:18" x14ac:dyDescent="0.3">
      <c r="Q4261" t="str">
        <f t="shared" si="137"/>
        <v/>
      </c>
      <c r="R4261" s="54" t="str">
        <f t="shared" si="136"/>
        <v/>
      </c>
    </row>
    <row r="4262" spans="17:18" x14ac:dyDescent="0.3">
      <c r="Q4262" t="str">
        <f t="shared" si="137"/>
        <v/>
      </c>
      <c r="R4262" s="54" t="str">
        <f t="shared" si="136"/>
        <v/>
      </c>
    </row>
    <row r="4263" spans="17:18" x14ac:dyDescent="0.3">
      <c r="Q4263" t="str">
        <f t="shared" si="137"/>
        <v/>
      </c>
      <c r="R4263" s="54" t="str">
        <f t="shared" si="136"/>
        <v/>
      </c>
    </row>
    <row r="4264" spans="17:18" x14ac:dyDescent="0.3">
      <c r="Q4264" t="str">
        <f t="shared" si="137"/>
        <v/>
      </c>
      <c r="R4264" s="54" t="str">
        <f t="shared" si="136"/>
        <v/>
      </c>
    </row>
    <row r="4265" spans="17:18" x14ac:dyDescent="0.3">
      <c r="Q4265" t="str">
        <f t="shared" si="137"/>
        <v/>
      </c>
      <c r="R4265" s="54" t="str">
        <f t="shared" si="136"/>
        <v/>
      </c>
    </row>
    <row r="4266" spans="17:18" x14ac:dyDescent="0.3">
      <c r="Q4266" t="str">
        <f t="shared" si="137"/>
        <v/>
      </c>
      <c r="R4266" s="54" t="str">
        <f t="shared" si="136"/>
        <v/>
      </c>
    </row>
    <row r="4267" spans="17:18" x14ac:dyDescent="0.3">
      <c r="Q4267" t="str">
        <f t="shared" si="137"/>
        <v/>
      </c>
      <c r="R4267" s="54" t="str">
        <f t="shared" si="136"/>
        <v/>
      </c>
    </row>
    <row r="4268" spans="17:18" x14ac:dyDescent="0.3">
      <c r="Q4268" t="str">
        <f t="shared" si="137"/>
        <v/>
      </c>
      <c r="R4268" s="54" t="str">
        <f t="shared" si="136"/>
        <v/>
      </c>
    </row>
    <row r="4269" spans="17:18" x14ac:dyDescent="0.3">
      <c r="Q4269" t="str">
        <f t="shared" si="137"/>
        <v/>
      </c>
      <c r="R4269" s="54" t="str">
        <f t="shared" si="136"/>
        <v/>
      </c>
    </row>
    <row r="4270" spans="17:18" x14ac:dyDescent="0.3">
      <c r="Q4270" t="str">
        <f t="shared" si="137"/>
        <v/>
      </c>
      <c r="R4270" s="54" t="str">
        <f t="shared" si="136"/>
        <v/>
      </c>
    </row>
    <row r="4271" spans="17:18" x14ac:dyDescent="0.3">
      <c r="Q4271" t="str">
        <f t="shared" si="137"/>
        <v/>
      </c>
      <c r="R4271" s="54" t="str">
        <f t="shared" si="136"/>
        <v/>
      </c>
    </row>
    <row r="4272" spans="17:18" x14ac:dyDescent="0.3">
      <c r="Q4272" t="str">
        <f t="shared" si="137"/>
        <v/>
      </c>
      <c r="R4272" s="54" t="str">
        <f t="shared" si="136"/>
        <v/>
      </c>
    </row>
    <row r="4273" spans="17:18" x14ac:dyDescent="0.3">
      <c r="Q4273" t="str">
        <f t="shared" si="137"/>
        <v/>
      </c>
      <c r="R4273" s="54" t="str">
        <f t="shared" si="136"/>
        <v/>
      </c>
    </row>
    <row r="4274" spans="17:18" x14ac:dyDescent="0.3">
      <c r="Q4274" t="str">
        <f t="shared" si="137"/>
        <v/>
      </c>
      <c r="R4274" s="54" t="str">
        <f t="shared" si="136"/>
        <v/>
      </c>
    </row>
    <row r="4275" spans="17:18" x14ac:dyDescent="0.3">
      <c r="Q4275" t="str">
        <f t="shared" si="137"/>
        <v/>
      </c>
      <c r="R4275" s="54" t="str">
        <f t="shared" si="136"/>
        <v/>
      </c>
    </row>
    <row r="4276" spans="17:18" x14ac:dyDescent="0.3">
      <c r="Q4276" t="str">
        <f t="shared" si="137"/>
        <v/>
      </c>
      <c r="R4276" s="54" t="str">
        <f t="shared" si="136"/>
        <v/>
      </c>
    </row>
    <row r="4277" spans="17:18" x14ac:dyDescent="0.3">
      <c r="Q4277" t="str">
        <f t="shared" si="137"/>
        <v/>
      </c>
      <c r="R4277" s="54" t="str">
        <f t="shared" si="136"/>
        <v/>
      </c>
    </row>
    <row r="4278" spans="17:18" x14ac:dyDescent="0.3">
      <c r="Q4278" t="str">
        <f t="shared" si="137"/>
        <v/>
      </c>
      <c r="R4278" s="54" t="str">
        <f t="shared" si="136"/>
        <v/>
      </c>
    </row>
    <row r="4279" spans="17:18" x14ac:dyDescent="0.3">
      <c r="Q4279" t="str">
        <f t="shared" si="137"/>
        <v/>
      </c>
      <c r="R4279" s="54" t="str">
        <f t="shared" si="136"/>
        <v/>
      </c>
    </row>
    <row r="4280" spans="17:18" x14ac:dyDescent="0.3">
      <c r="Q4280" t="str">
        <f t="shared" si="137"/>
        <v/>
      </c>
      <c r="R4280" s="54" t="str">
        <f t="shared" si="136"/>
        <v/>
      </c>
    </row>
    <row r="4281" spans="17:18" x14ac:dyDescent="0.3">
      <c r="Q4281" t="str">
        <f t="shared" si="137"/>
        <v/>
      </c>
      <c r="R4281" s="54" t="str">
        <f t="shared" si="136"/>
        <v/>
      </c>
    </row>
    <row r="4282" spans="17:18" x14ac:dyDescent="0.3">
      <c r="Q4282" t="str">
        <f t="shared" si="137"/>
        <v/>
      </c>
      <c r="R4282" s="54" t="str">
        <f t="shared" si="136"/>
        <v/>
      </c>
    </row>
    <row r="4283" spans="17:18" x14ac:dyDescent="0.3">
      <c r="Q4283" t="str">
        <f t="shared" si="137"/>
        <v/>
      </c>
      <c r="R4283" s="54" t="str">
        <f t="shared" si="136"/>
        <v/>
      </c>
    </row>
    <row r="4284" spans="17:18" x14ac:dyDescent="0.3">
      <c r="Q4284" t="str">
        <f t="shared" si="137"/>
        <v/>
      </c>
      <c r="R4284" s="54" t="str">
        <f t="shared" si="136"/>
        <v/>
      </c>
    </row>
    <row r="4285" spans="17:18" x14ac:dyDescent="0.3">
      <c r="Q4285" t="str">
        <f t="shared" si="137"/>
        <v/>
      </c>
      <c r="R4285" s="54" t="str">
        <f t="shared" si="136"/>
        <v/>
      </c>
    </row>
    <row r="4286" spans="17:18" x14ac:dyDescent="0.3">
      <c r="Q4286" t="str">
        <f t="shared" si="137"/>
        <v/>
      </c>
      <c r="R4286" s="54" t="str">
        <f t="shared" si="136"/>
        <v/>
      </c>
    </row>
    <row r="4287" spans="17:18" x14ac:dyDescent="0.3">
      <c r="Q4287" t="str">
        <f t="shared" si="137"/>
        <v/>
      </c>
      <c r="R4287" s="54" t="str">
        <f t="shared" si="136"/>
        <v/>
      </c>
    </row>
    <row r="4288" spans="17:18" x14ac:dyDescent="0.3">
      <c r="Q4288" t="str">
        <f t="shared" si="137"/>
        <v/>
      </c>
      <c r="R4288" s="54" t="str">
        <f t="shared" si="136"/>
        <v/>
      </c>
    </row>
    <row r="4289" spans="17:18" x14ac:dyDescent="0.3">
      <c r="Q4289" t="str">
        <f t="shared" si="137"/>
        <v/>
      </c>
      <c r="R4289" s="54" t="str">
        <f t="shared" si="136"/>
        <v/>
      </c>
    </row>
    <row r="4290" spans="17:18" x14ac:dyDescent="0.3">
      <c r="Q4290" t="str">
        <f t="shared" si="137"/>
        <v/>
      </c>
      <c r="R4290" s="54" t="str">
        <f t="shared" si="136"/>
        <v/>
      </c>
    </row>
    <row r="4291" spans="17:18" x14ac:dyDescent="0.3">
      <c r="Q4291" t="str">
        <f t="shared" si="137"/>
        <v/>
      </c>
      <c r="R4291" s="54" t="str">
        <f t="shared" ref="R4291:R4354" si="138">IF(F4305="","",IFERROR(IF(ISNUMBER(F4305),F4305,DATEVALUE(F4305)),""))</f>
        <v/>
      </c>
    </row>
    <row r="4292" spans="17:18" x14ac:dyDescent="0.3">
      <c r="Q4292" t="str">
        <f t="shared" si="137"/>
        <v/>
      </c>
      <c r="R4292" s="54" t="str">
        <f t="shared" si="138"/>
        <v/>
      </c>
    </row>
    <row r="4293" spans="17:18" x14ac:dyDescent="0.3">
      <c r="Q4293" t="str">
        <f t="shared" si="137"/>
        <v/>
      </c>
      <c r="R4293" s="54" t="str">
        <f t="shared" si="138"/>
        <v/>
      </c>
    </row>
    <row r="4294" spans="17:18" x14ac:dyDescent="0.3">
      <c r="Q4294" t="str">
        <f t="shared" si="137"/>
        <v/>
      </c>
      <c r="R4294" s="54" t="str">
        <f t="shared" si="138"/>
        <v/>
      </c>
    </row>
    <row r="4295" spans="17:18" x14ac:dyDescent="0.3">
      <c r="Q4295" t="str">
        <f t="shared" si="137"/>
        <v/>
      </c>
      <c r="R4295" s="54" t="str">
        <f t="shared" si="138"/>
        <v/>
      </c>
    </row>
    <row r="4296" spans="17:18" x14ac:dyDescent="0.3">
      <c r="Q4296" t="str">
        <f t="shared" si="137"/>
        <v/>
      </c>
      <c r="R4296" s="54" t="str">
        <f t="shared" si="138"/>
        <v/>
      </c>
    </row>
    <row r="4297" spans="17:18" x14ac:dyDescent="0.3">
      <c r="Q4297" t="str">
        <f t="shared" si="137"/>
        <v/>
      </c>
      <c r="R4297" s="54" t="str">
        <f t="shared" si="138"/>
        <v/>
      </c>
    </row>
    <row r="4298" spans="17:18" x14ac:dyDescent="0.3">
      <c r="Q4298" t="str">
        <f t="shared" si="137"/>
        <v/>
      </c>
      <c r="R4298" s="54" t="str">
        <f t="shared" si="138"/>
        <v/>
      </c>
    </row>
    <row r="4299" spans="17:18" x14ac:dyDescent="0.3">
      <c r="Q4299" t="str">
        <f t="shared" si="137"/>
        <v/>
      </c>
      <c r="R4299" s="54" t="str">
        <f t="shared" si="138"/>
        <v/>
      </c>
    </row>
    <row r="4300" spans="17:18" x14ac:dyDescent="0.3">
      <c r="Q4300" t="str">
        <f t="shared" si="137"/>
        <v/>
      </c>
      <c r="R4300" s="54" t="str">
        <f t="shared" si="138"/>
        <v/>
      </c>
    </row>
    <row r="4301" spans="17:18" x14ac:dyDescent="0.3">
      <c r="Q4301" t="str">
        <f t="shared" si="137"/>
        <v/>
      </c>
      <c r="R4301" s="54" t="str">
        <f t="shared" si="138"/>
        <v/>
      </c>
    </row>
    <row r="4302" spans="17:18" x14ac:dyDescent="0.3">
      <c r="Q4302" t="str">
        <f t="shared" si="137"/>
        <v/>
      </c>
      <c r="R4302" s="54" t="str">
        <f t="shared" si="138"/>
        <v/>
      </c>
    </row>
    <row r="4303" spans="17:18" x14ac:dyDescent="0.3">
      <c r="Q4303" t="str">
        <f t="shared" si="137"/>
        <v/>
      </c>
      <c r="R4303" s="54" t="str">
        <f t="shared" si="138"/>
        <v/>
      </c>
    </row>
    <row r="4304" spans="17:18" x14ac:dyDescent="0.3">
      <c r="Q4304" t="str">
        <f t="shared" si="137"/>
        <v/>
      </c>
      <c r="R4304" s="54" t="str">
        <f t="shared" si="138"/>
        <v/>
      </c>
    </row>
    <row r="4305" spans="17:18" x14ac:dyDescent="0.3">
      <c r="Q4305" t="str">
        <f t="shared" si="137"/>
        <v/>
      </c>
      <c r="R4305" s="54" t="str">
        <f t="shared" si="138"/>
        <v/>
      </c>
    </row>
    <row r="4306" spans="17:18" x14ac:dyDescent="0.3">
      <c r="Q4306" t="str">
        <f t="shared" si="137"/>
        <v/>
      </c>
      <c r="R4306" s="54" t="str">
        <f t="shared" si="138"/>
        <v/>
      </c>
    </row>
    <row r="4307" spans="17:18" x14ac:dyDescent="0.3">
      <c r="Q4307" t="str">
        <f t="shared" si="137"/>
        <v/>
      </c>
      <c r="R4307" s="54" t="str">
        <f t="shared" si="138"/>
        <v/>
      </c>
    </row>
    <row r="4308" spans="17:18" x14ac:dyDescent="0.3">
      <c r="Q4308" t="str">
        <f t="shared" si="137"/>
        <v/>
      </c>
      <c r="R4308" s="54" t="str">
        <f t="shared" si="138"/>
        <v/>
      </c>
    </row>
    <row r="4309" spans="17:18" x14ac:dyDescent="0.3">
      <c r="Q4309" t="str">
        <f t="shared" si="137"/>
        <v/>
      </c>
      <c r="R4309" s="54" t="str">
        <f t="shared" si="138"/>
        <v/>
      </c>
    </row>
    <row r="4310" spans="17:18" x14ac:dyDescent="0.3">
      <c r="Q4310" t="str">
        <f t="shared" si="137"/>
        <v/>
      </c>
      <c r="R4310" s="54" t="str">
        <f t="shared" si="138"/>
        <v/>
      </c>
    </row>
    <row r="4311" spans="17:18" x14ac:dyDescent="0.3">
      <c r="Q4311" t="str">
        <f t="shared" ref="Q4311:Q4374" si="139">IF(COUNTA(A4311:P4311)=0,"",IF(ISNUMBER(SEARCH("-AR-",E4325)),"Architectural",IF(ISNUMBER(SEARCH("-ST-",E4325)),"Structural",IF(ISNUMBER(SEARCH("-ME-",E4325)),"Mechanical",IF(ISNUMBER(SEARCH("-EL-",E4325)),"Electrical",IF(ISNUMBER(SEARCH("-GE-",E4325)),"General",IF(ISNUMBER(SEARCH("-AR-",D4325)),"Architectural",IF(ISNUMBER(SEARCH("-ST-",D4325)),"Structural",IF(ISNUMBER(SEARCH("-ME-",D4325)),"Mechanical",IF(ISNUMBER(SEARCH("-EL-",D4325)),"Electrical",IF(ISNUMBER(SEARCH("-GE-",D4325)),"General","Other")))))))))))</f>
        <v/>
      </c>
      <c r="R4311" s="54" t="str">
        <f t="shared" si="138"/>
        <v/>
      </c>
    </row>
    <row r="4312" spans="17:18" x14ac:dyDescent="0.3">
      <c r="Q4312" t="str">
        <f t="shared" si="139"/>
        <v/>
      </c>
      <c r="R4312" s="54" t="str">
        <f t="shared" si="138"/>
        <v/>
      </c>
    </row>
    <row r="4313" spans="17:18" x14ac:dyDescent="0.3">
      <c r="Q4313" t="str">
        <f t="shared" si="139"/>
        <v/>
      </c>
      <c r="R4313" s="54" t="str">
        <f t="shared" si="138"/>
        <v/>
      </c>
    </row>
    <row r="4314" spans="17:18" x14ac:dyDescent="0.3">
      <c r="Q4314" t="str">
        <f t="shared" si="139"/>
        <v/>
      </c>
      <c r="R4314" s="54" t="str">
        <f t="shared" si="138"/>
        <v/>
      </c>
    </row>
    <row r="4315" spans="17:18" x14ac:dyDescent="0.3">
      <c r="Q4315" t="str">
        <f t="shared" si="139"/>
        <v/>
      </c>
      <c r="R4315" s="54" t="str">
        <f t="shared" si="138"/>
        <v/>
      </c>
    </row>
    <row r="4316" spans="17:18" x14ac:dyDescent="0.3">
      <c r="Q4316" t="str">
        <f t="shared" si="139"/>
        <v/>
      </c>
      <c r="R4316" s="54" t="str">
        <f t="shared" si="138"/>
        <v/>
      </c>
    </row>
    <row r="4317" spans="17:18" x14ac:dyDescent="0.3">
      <c r="Q4317" t="str">
        <f t="shared" si="139"/>
        <v/>
      </c>
      <c r="R4317" s="54" t="str">
        <f t="shared" si="138"/>
        <v/>
      </c>
    </row>
    <row r="4318" spans="17:18" x14ac:dyDescent="0.3">
      <c r="Q4318" t="str">
        <f t="shared" si="139"/>
        <v/>
      </c>
      <c r="R4318" s="54" t="str">
        <f t="shared" si="138"/>
        <v/>
      </c>
    </row>
    <row r="4319" spans="17:18" x14ac:dyDescent="0.3">
      <c r="Q4319" t="str">
        <f t="shared" si="139"/>
        <v/>
      </c>
      <c r="R4319" s="54" t="str">
        <f t="shared" si="138"/>
        <v/>
      </c>
    </row>
    <row r="4320" spans="17:18" x14ac:dyDescent="0.3">
      <c r="Q4320" t="str">
        <f t="shared" si="139"/>
        <v/>
      </c>
      <c r="R4320" s="54" t="str">
        <f t="shared" si="138"/>
        <v/>
      </c>
    </row>
    <row r="4321" spans="17:18" x14ac:dyDescent="0.3">
      <c r="Q4321" t="str">
        <f t="shared" si="139"/>
        <v/>
      </c>
      <c r="R4321" s="54" t="str">
        <f t="shared" si="138"/>
        <v/>
      </c>
    </row>
    <row r="4322" spans="17:18" x14ac:dyDescent="0.3">
      <c r="Q4322" t="str">
        <f t="shared" si="139"/>
        <v/>
      </c>
      <c r="R4322" s="54" t="str">
        <f t="shared" si="138"/>
        <v/>
      </c>
    </row>
    <row r="4323" spans="17:18" x14ac:dyDescent="0.3">
      <c r="Q4323" t="str">
        <f t="shared" si="139"/>
        <v/>
      </c>
      <c r="R4323" s="54" t="str">
        <f t="shared" si="138"/>
        <v/>
      </c>
    </row>
    <row r="4324" spans="17:18" x14ac:dyDescent="0.3">
      <c r="Q4324" t="str">
        <f t="shared" si="139"/>
        <v/>
      </c>
      <c r="R4324" s="54" t="str">
        <f t="shared" si="138"/>
        <v/>
      </c>
    </row>
    <row r="4325" spans="17:18" x14ac:dyDescent="0.3">
      <c r="Q4325" t="str">
        <f t="shared" si="139"/>
        <v/>
      </c>
      <c r="R4325" s="54" t="str">
        <f t="shared" si="138"/>
        <v/>
      </c>
    </row>
    <row r="4326" spans="17:18" x14ac:dyDescent="0.3">
      <c r="Q4326" t="str">
        <f t="shared" si="139"/>
        <v/>
      </c>
      <c r="R4326" s="54" t="str">
        <f t="shared" si="138"/>
        <v/>
      </c>
    </row>
    <row r="4327" spans="17:18" x14ac:dyDescent="0.3">
      <c r="Q4327" t="str">
        <f t="shared" si="139"/>
        <v/>
      </c>
      <c r="R4327" s="54" t="str">
        <f t="shared" si="138"/>
        <v/>
      </c>
    </row>
    <row r="4328" spans="17:18" x14ac:dyDescent="0.3">
      <c r="Q4328" t="str">
        <f t="shared" si="139"/>
        <v/>
      </c>
      <c r="R4328" s="54" t="str">
        <f t="shared" si="138"/>
        <v/>
      </c>
    </row>
    <row r="4329" spans="17:18" x14ac:dyDescent="0.3">
      <c r="Q4329" t="str">
        <f t="shared" si="139"/>
        <v/>
      </c>
      <c r="R4329" s="54" t="str">
        <f t="shared" si="138"/>
        <v/>
      </c>
    </row>
    <row r="4330" spans="17:18" x14ac:dyDescent="0.3">
      <c r="Q4330" t="str">
        <f t="shared" si="139"/>
        <v/>
      </c>
      <c r="R4330" s="54" t="str">
        <f t="shared" si="138"/>
        <v/>
      </c>
    </row>
    <row r="4331" spans="17:18" x14ac:dyDescent="0.3">
      <c r="Q4331" t="str">
        <f t="shared" si="139"/>
        <v/>
      </c>
      <c r="R4331" s="54" t="str">
        <f t="shared" si="138"/>
        <v/>
      </c>
    </row>
    <row r="4332" spans="17:18" x14ac:dyDescent="0.3">
      <c r="Q4332" t="str">
        <f t="shared" si="139"/>
        <v/>
      </c>
      <c r="R4332" s="54" t="str">
        <f t="shared" si="138"/>
        <v/>
      </c>
    </row>
    <row r="4333" spans="17:18" x14ac:dyDescent="0.3">
      <c r="Q4333" t="str">
        <f t="shared" si="139"/>
        <v/>
      </c>
      <c r="R4333" s="54" t="str">
        <f t="shared" si="138"/>
        <v/>
      </c>
    </row>
    <row r="4334" spans="17:18" x14ac:dyDescent="0.3">
      <c r="Q4334" t="str">
        <f t="shared" si="139"/>
        <v/>
      </c>
      <c r="R4334" s="54" t="str">
        <f t="shared" si="138"/>
        <v/>
      </c>
    </row>
    <row r="4335" spans="17:18" x14ac:dyDescent="0.3">
      <c r="Q4335" t="str">
        <f t="shared" si="139"/>
        <v/>
      </c>
      <c r="R4335" s="54" t="str">
        <f t="shared" si="138"/>
        <v/>
      </c>
    </row>
    <row r="4336" spans="17:18" x14ac:dyDescent="0.3">
      <c r="Q4336" t="str">
        <f t="shared" si="139"/>
        <v/>
      </c>
      <c r="R4336" s="54" t="str">
        <f t="shared" si="138"/>
        <v/>
      </c>
    </row>
    <row r="4337" spans="17:18" x14ac:dyDescent="0.3">
      <c r="Q4337" t="str">
        <f t="shared" si="139"/>
        <v/>
      </c>
      <c r="R4337" s="54" t="str">
        <f t="shared" si="138"/>
        <v/>
      </c>
    </row>
    <row r="4338" spans="17:18" x14ac:dyDescent="0.3">
      <c r="Q4338" t="str">
        <f t="shared" si="139"/>
        <v/>
      </c>
      <c r="R4338" s="54" t="str">
        <f t="shared" si="138"/>
        <v/>
      </c>
    </row>
    <row r="4339" spans="17:18" x14ac:dyDescent="0.3">
      <c r="Q4339" t="str">
        <f t="shared" si="139"/>
        <v/>
      </c>
      <c r="R4339" s="54" t="str">
        <f t="shared" si="138"/>
        <v/>
      </c>
    </row>
    <row r="4340" spans="17:18" x14ac:dyDescent="0.3">
      <c r="Q4340" t="str">
        <f t="shared" si="139"/>
        <v/>
      </c>
      <c r="R4340" s="54" t="str">
        <f t="shared" si="138"/>
        <v/>
      </c>
    </row>
    <row r="4341" spans="17:18" x14ac:dyDescent="0.3">
      <c r="Q4341" t="str">
        <f t="shared" si="139"/>
        <v/>
      </c>
      <c r="R4341" s="54" t="str">
        <f t="shared" si="138"/>
        <v/>
      </c>
    </row>
    <row r="4342" spans="17:18" x14ac:dyDescent="0.3">
      <c r="Q4342" t="str">
        <f t="shared" si="139"/>
        <v/>
      </c>
      <c r="R4342" s="54" t="str">
        <f t="shared" si="138"/>
        <v/>
      </c>
    </row>
    <row r="4343" spans="17:18" x14ac:dyDescent="0.3">
      <c r="Q4343" t="str">
        <f t="shared" si="139"/>
        <v/>
      </c>
      <c r="R4343" s="54" t="str">
        <f t="shared" si="138"/>
        <v/>
      </c>
    </row>
    <row r="4344" spans="17:18" x14ac:dyDescent="0.3">
      <c r="Q4344" t="str">
        <f t="shared" si="139"/>
        <v/>
      </c>
      <c r="R4344" s="54" t="str">
        <f t="shared" si="138"/>
        <v/>
      </c>
    </row>
    <row r="4345" spans="17:18" x14ac:dyDescent="0.3">
      <c r="Q4345" t="str">
        <f t="shared" si="139"/>
        <v/>
      </c>
      <c r="R4345" s="54" t="str">
        <f t="shared" si="138"/>
        <v/>
      </c>
    </row>
    <row r="4346" spans="17:18" x14ac:dyDescent="0.3">
      <c r="Q4346" t="str">
        <f t="shared" si="139"/>
        <v/>
      </c>
      <c r="R4346" s="54" t="str">
        <f t="shared" si="138"/>
        <v/>
      </c>
    </row>
    <row r="4347" spans="17:18" x14ac:dyDescent="0.3">
      <c r="Q4347" t="str">
        <f t="shared" si="139"/>
        <v/>
      </c>
      <c r="R4347" s="54" t="str">
        <f t="shared" si="138"/>
        <v/>
      </c>
    </row>
    <row r="4348" spans="17:18" x14ac:dyDescent="0.3">
      <c r="Q4348" t="str">
        <f t="shared" si="139"/>
        <v/>
      </c>
      <c r="R4348" s="54" t="str">
        <f t="shared" si="138"/>
        <v/>
      </c>
    </row>
    <row r="4349" spans="17:18" x14ac:dyDescent="0.3">
      <c r="Q4349" t="str">
        <f t="shared" si="139"/>
        <v/>
      </c>
      <c r="R4349" s="54" t="str">
        <f t="shared" si="138"/>
        <v/>
      </c>
    </row>
    <row r="4350" spans="17:18" x14ac:dyDescent="0.3">
      <c r="Q4350" t="str">
        <f t="shared" si="139"/>
        <v/>
      </c>
      <c r="R4350" s="54" t="str">
        <f t="shared" si="138"/>
        <v/>
      </c>
    </row>
    <row r="4351" spans="17:18" x14ac:dyDescent="0.3">
      <c r="Q4351" t="str">
        <f t="shared" si="139"/>
        <v/>
      </c>
      <c r="R4351" s="54" t="str">
        <f t="shared" si="138"/>
        <v/>
      </c>
    </row>
    <row r="4352" spans="17:18" x14ac:dyDescent="0.3">
      <c r="Q4352" t="str">
        <f t="shared" si="139"/>
        <v/>
      </c>
      <c r="R4352" s="54" t="str">
        <f t="shared" si="138"/>
        <v/>
      </c>
    </row>
    <row r="4353" spans="17:18" x14ac:dyDescent="0.3">
      <c r="Q4353" t="str">
        <f t="shared" si="139"/>
        <v/>
      </c>
      <c r="R4353" s="54" t="str">
        <f t="shared" si="138"/>
        <v/>
      </c>
    </row>
    <row r="4354" spans="17:18" x14ac:dyDescent="0.3">
      <c r="Q4354" t="str">
        <f t="shared" si="139"/>
        <v/>
      </c>
      <c r="R4354" s="54" t="str">
        <f t="shared" si="138"/>
        <v/>
      </c>
    </row>
    <row r="4355" spans="17:18" x14ac:dyDescent="0.3">
      <c r="Q4355" t="str">
        <f t="shared" si="139"/>
        <v/>
      </c>
      <c r="R4355" s="54" t="str">
        <f t="shared" ref="R4355:R4418" si="140">IF(F4369="","",IFERROR(IF(ISNUMBER(F4369),F4369,DATEVALUE(F4369)),""))</f>
        <v/>
      </c>
    </row>
    <row r="4356" spans="17:18" x14ac:dyDescent="0.3">
      <c r="Q4356" t="str">
        <f t="shared" si="139"/>
        <v/>
      </c>
      <c r="R4356" s="54" t="str">
        <f t="shared" si="140"/>
        <v/>
      </c>
    </row>
    <row r="4357" spans="17:18" x14ac:dyDescent="0.3">
      <c r="Q4357" t="str">
        <f t="shared" si="139"/>
        <v/>
      </c>
      <c r="R4357" s="54" t="str">
        <f t="shared" si="140"/>
        <v/>
      </c>
    </row>
    <row r="4358" spans="17:18" x14ac:dyDescent="0.3">
      <c r="Q4358" t="str">
        <f t="shared" si="139"/>
        <v/>
      </c>
      <c r="R4358" s="54" t="str">
        <f t="shared" si="140"/>
        <v/>
      </c>
    </row>
    <row r="4359" spans="17:18" x14ac:dyDescent="0.3">
      <c r="Q4359" t="str">
        <f t="shared" si="139"/>
        <v/>
      </c>
      <c r="R4359" s="54" t="str">
        <f t="shared" si="140"/>
        <v/>
      </c>
    </row>
    <row r="4360" spans="17:18" x14ac:dyDescent="0.3">
      <c r="Q4360" t="str">
        <f t="shared" si="139"/>
        <v/>
      </c>
      <c r="R4360" s="54" t="str">
        <f t="shared" si="140"/>
        <v/>
      </c>
    </row>
    <row r="4361" spans="17:18" x14ac:dyDescent="0.3">
      <c r="Q4361" t="str">
        <f t="shared" si="139"/>
        <v/>
      </c>
      <c r="R4361" s="54" t="str">
        <f t="shared" si="140"/>
        <v/>
      </c>
    </row>
    <row r="4362" spans="17:18" x14ac:dyDescent="0.3">
      <c r="Q4362" t="str">
        <f t="shared" si="139"/>
        <v/>
      </c>
      <c r="R4362" s="54" t="str">
        <f t="shared" si="140"/>
        <v/>
      </c>
    </row>
    <row r="4363" spans="17:18" x14ac:dyDescent="0.3">
      <c r="Q4363" t="str">
        <f t="shared" si="139"/>
        <v/>
      </c>
      <c r="R4363" s="54" t="str">
        <f t="shared" si="140"/>
        <v/>
      </c>
    </row>
    <row r="4364" spans="17:18" x14ac:dyDescent="0.3">
      <c r="Q4364" t="str">
        <f t="shared" si="139"/>
        <v/>
      </c>
      <c r="R4364" s="54" t="str">
        <f t="shared" si="140"/>
        <v/>
      </c>
    </row>
    <row r="4365" spans="17:18" x14ac:dyDescent="0.3">
      <c r="Q4365" t="str">
        <f t="shared" si="139"/>
        <v/>
      </c>
      <c r="R4365" s="54" t="str">
        <f t="shared" si="140"/>
        <v/>
      </c>
    </row>
    <row r="4366" spans="17:18" x14ac:dyDescent="0.3">
      <c r="Q4366" t="str">
        <f t="shared" si="139"/>
        <v/>
      </c>
      <c r="R4366" s="54" t="str">
        <f t="shared" si="140"/>
        <v/>
      </c>
    </row>
    <row r="4367" spans="17:18" x14ac:dyDescent="0.3">
      <c r="Q4367" t="str">
        <f t="shared" si="139"/>
        <v/>
      </c>
      <c r="R4367" s="54" t="str">
        <f t="shared" si="140"/>
        <v/>
      </c>
    </row>
    <row r="4368" spans="17:18" x14ac:dyDescent="0.3">
      <c r="Q4368" t="str">
        <f t="shared" si="139"/>
        <v/>
      </c>
      <c r="R4368" s="54" t="str">
        <f t="shared" si="140"/>
        <v/>
      </c>
    </row>
    <row r="4369" spans="17:18" x14ac:dyDescent="0.3">
      <c r="Q4369" t="str">
        <f t="shared" si="139"/>
        <v/>
      </c>
      <c r="R4369" s="54" t="str">
        <f t="shared" si="140"/>
        <v/>
      </c>
    </row>
    <row r="4370" spans="17:18" x14ac:dyDescent="0.3">
      <c r="Q4370" t="str">
        <f t="shared" si="139"/>
        <v/>
      </c>
      <c r="R4370" s="54" t="str">
        <f t="shared" si="140"/>
        <v/>
      </c>
    </row>
    <row r="4371" spans="17:18" x14ac:dyDescent="0.3">
      <c r="Q4371" t="str">
        <f t="shared" si="139"/>
        <v/>
      </c>
      <c r="R4371" s="54" t="str">
        <f t="shared" si="140"/>
        <v/>
      </c>
    </row>
    <row r="4372" spans="17:18" x14ac:dyDescent="0.3">
      <c r="Q4372" t="str">
        <f t="shared" si="139"/>
        <v/>
      </c>
      <c r="R4372" s="54" t="str">
        <f t="shared" si="140"/>
        <v/>
      </c>
    </row>
    <row r="4373" spans="17:18" x14ac:dyDescent="0.3">
      <c r="Q4373" t="str">
        <f t="shared" si="139"/>
        <v/>
      </c>
      <c r="R4373" s="54" t="str">
        <f t="shared" si="140"/>
        <v/>
      </c>
    </row>
    <row r="4374" spans="17:18" x14ac:dyDescent="0.3">
      <c r="Q4374" t="str">
        <f t="shared" si="139"/>
        <v/>
      </c>
      <c r="R4374" s="54" t="str">
        <f t="shared" si="140"/>
        <v/>
      </c>
    </row>
    <row r="4375" spans="17:18" x14ac:dyDescent="0.3">
      <c r="Q4375" t="str">
        <f t="shared" ref="Q4375:Q4438" si="141">IF(COUNTA(A4375:P4375)=0,"",IF(ISNUMBER(SEARCH("-AR-",E4389)),"Architectural",IF(ISNUMBER(SEARCH("-ST-",E4389)),"Structural",IF(ISNUMBER(SEARCH("-ME-",E4389)),"Mechanical",IF(ISNUMBER(SEARCH("-EL-",E4389)),"Electrical",IF(ISNUMBER(SEARCH("-GE-",E4389)),"General",IF(ISNUMBER(SEARCH("-AR-",D4389)),"Architectural",IF(ISNUMBER(SEARCH("-ST-",D4389)),"Structural",IF(ISNUMBER(SEARCH("-ME-",D4389)),"Mechanical",IF(ISNUMBER(SEARCH("-EL-",D4389)),"Electrical",IF(ISNUMBER(SEARCH("-GE-",D4389)),"General","Other")))))))))))</f>
        <v/>
      </c>
      <c r="R4375" s="54" t="str">
        <f t="shared" si="140"/>
        <v/>
      </c>
    </row>
    <row r="4376" spans="17:18" x14ac:dyDescent="0.3">
      <c r="Q4376" t="str">
        <f t="shared" si="141"/>
        <v/>
      </c>
      <c r="R4376" s="54" t="str">
        <f t="shared" si="140"/>
        <v/>
      </c>
    </row>
    <row r="4377" spans="17:18" x14ac:dyDescent="0.3">
      <c r="Q4377" t="str">
        <f t="shared" si="141"/>
        <v/>
      </c>
      <c r="R4377" s="54" t="str">
        <f t="shared" si="140"/>
        <v/>
      </c>
    </row>
    <row r="4378" spans="17:18" x14ac:dyDescent="0.3">
      <c r="Q4378" t="str">
        <f t="shared" si="141"/>
        <v/>
      </c>
      <c r="R4378" s="54" t="str">
        <f t="shared" si="140"/>
        <v/>
      </c>
    </row>
    <row r="4379" spans="17:18" x14ac:dyDescent="0.3">
      <c r="Q4379" t="str">
        <f t="shared" si="141"/>
        <v/>
      </c>
      <c r="R4379" s="54" t="str">
        <f t="shared" si="140"/>
        <v/>
      </c>
    </row>
    <row r="4380" spans="17:18" x14ac:dyDescent="0.3">
      <c r="Q4380" t="str">
        <f t="shared" si="141"/>
        <v/>
      </c>
      <c r="R4380" s="54" t="str">
        <f t="shared" si="140"/>
        <v/>
      </c>
    </row>
    <row r="4381" spans="17:18" x14ac:dyDescent="0.3">
      <c r="Q4381" t="str">
        <f t="shared" si="141"/>
        <v/>
      </c>
      <c r="R4381" s="54" t="str">
        <f t="shared" si="140"/>
        <v/>
      </c>
    </row>
    <row r="4382" spans="17:18" x14ac:dyDescent="0.3">
      <c r="Q4382" t="str">
        <f t="shared" si="141"/>
        <v/>
      </c>
      <c r="R4382" s="54" t="str">
        <f t="shared" si="140"/>
        <v/>
      </c>
    </row>
    <row r="4383" spans="17:18" x14ac:dyDescent="0.3">
      <c r="Q4383" t="str">
        <f t="shared" si="141"/>
        <v/>
      </c>
      <c r="R4383" s="54" t="str">
        <f t="shared" si="140"/>
        <v/>
      </c>
    </row>
    <row r="4384" spans="17:18" x14ac:dyDescent="0.3">
      <c r="Q4384" t="str">
        <f t="shared" si="141"/>
        <v/>
      </c>
      <c r="R4384" s="54" t="str">
        <f t="shared" si="140"/>
        <v/>
      </c>
    </row>
    <row r="4385" spans="17:18" x14ac:dyDescent="0.3">
      <c r="Q4385" t="str">
        <f t="shared" si="141"/>
        <v/>
      </c>
      <c r="R4385" s="54" t="str">
        <f t="shared" si="140"/>
        <v/>
      </c>
    </row>
    <row r="4386" spans="17:18" x14ac:dyDescent="0.3">
      <c r="Q4386" t="str">
        <f t="shared" si="141"/>
        <v/>
      </c>
      <c r="R4386" s="54" t="str">
        <f t="shared" si="140"/>
        <v/>
      </c>
    </row>
    <row r="4387" spans="17:18" x14ac:dyDescent="0.3">
      <c r="Q4387" t="str">
        <f t="shared" si="141"/>
        <v/>
      </c>
      <c r="R4387" s="54" t="str">
        <f t="shared" si="140"/>
        <v/>
      </c>
    </row>
    <row r="4388" spans="17:18" x14ac:dyDescent="0.3">
      <c r="Q4388" t="str">
        <f t="shared" si="141"/>
        <v/>
      </c>
      <c r="R4388" s="54" t="str">
        <f t="shared" si="140"/>
        <v/>
      </c>
    </row>
    <row r="4389" spans="17:18" x14ac:dyDescent="0.3">
      <c r="Q4389" t="str">
        <f t="shared" si="141"/>
        <v/>
      </c>
      <c r="R4389" s="54" t="str">
        <f t="shared" si="140"/>
        <v/>
      </c>
    </row>
    <row r="4390" spans="17:18" x14ac:dyDescent="0.3">
      <c r="Q4390" t="str">
        <f t="shared" si="141"/>
        <v/>
      </c>
      <c r="R4390" s="54" t="str">
        <f t="shared" si="140"/>
        <v/>
      </c>
    </row>
    <row r="4391" spans="17:18" x14ac:dyDescent="0.3">
      <c r="Q4391" t="str">
        <f t="shared" si="141"/>
        <v/>
      </c>
      <c r="R4391" s="54" t="str">
        <f t="shared" si="140"/>
        <v/>
      </c>
    </row>
    <row r="4392" spans="17:18" x14ac:dyDescent="0.3">
      <c r="Q4392" t="str">
        <f t="shared" si="141"/>
        <v/>
      </c>
      <c r="R4392" s="54" t="str">
        <f t="shared" si="140"/>
        <v/>
      </c>
    </row>
    <row r="4393" spans="17:18" x14ac:dyDescent="0.3">
      <c r="Q4393" t="str">
        <f t="shared" si="141"/>
        <v/>
      </c>
      <c r="R4393" s="54" t="str">
        <f t="shared" si="140"/>
        <v/>
      </c>
    </row>
    <row r="4394" spans="17:18" x14ac:dyDescent="0.3">
      <c r="Q4394" t="str">
        <f t="shared" si="141"/>
        <v/>
      </c>
      <c r="R4394" s="54" t="str">
        <f t="shared" si="140"/>
        <v/>
      </c>
    </row>
    <row r="4395" spans="17:18" x14ac:dyDescent="0.3">
      <c r="Q4395" t="str">
        <f t="shared" si="141"/>
        <v/>
      </c>
      <c r="R4395" s="54" t="str">
        <f t="shared" si="140"/>
        <v/>
      </c>
    </row>
    <row r="4396" spans="17:18" x14ac:dyDescent="0.3">
      <c r="Q4396" t="str">
        <f t="shared" si="141"/>
        <v/>
      </c>
      <c r="R4396" s="54" t="str">
        <f t="shared" si="140"/>
        <v/>
      </c>
    </row>
    <row r="4397" spans="17:18" x14ac:dyDescent="0.3">
      <c r="Q4397" t="str">
        <f t="shared" si="141"/>
        <v/>
      </c>
      <c r="R4397" s="54" t="str">
        <f t="shared" si="140"/>
        <v/>
      </c>
    </row>
    <row r="4398" spans="17:18" x14ac:dyDescent="0.3">
      <c r="Q4398" t="str">
        <f t="shared" si="141"/>
        <v/>
      </c>
      <c r="R4398" s="54" t="str">
        <f t="shared" si="140"/>
        <v/>
      </c>
    </row>
    <row r="4399" spans="17:18" x14ac:dyDescent="0.3">
      <c r="Q4399" t="str">
        <f t="shared" si="141"/>
        <v/>
      </c>
      <c r="R4399" s="54" t="str">
        <f t="shared" si="140"/>
        <v/>
      </c>
    </row>
    <row r="4400" spans="17:18" x14ac:dyDescent="0.3">
      <c r="Q4400" t="str">
        <f t="shared" si="141"/>
        <v/>
      </c>
      <c r="R4400" s="54" t="str">
        <f t="shared" si="140"/>
        <v/>
      </c>
    </row>
    <row r="4401" spans="17:18" x14ac:dyDescent="0.3">
      <c r="Q4401" t="str">
        <f t="shared" si="141"/>
        <v/>
      </c>
      <c r="R4401" s="54" t="str">
        <f t="shared" si="140"/>
        <v/>
      </c>
    </row>
    <row r="4402" spans="17:18" x14ac:dyDescent="0.3">
      <c r="Q4402" t="str">
        <f t="shared" si="141"/>
        <v/>
      </c>
      <c r="R4402" s="54" t="str">
        <f t="shared" si="140"/>
        <v/>
      </c>
    </row>
    <row r="4403" spans="17:18" x14ac:dyDescent="0.3">
      <c r="Q4403" t="str">
        <f t="shared" si="141"/>
        <v/>
      </c>
      <c r="R4403" s="54" t="str">
        <f t="shared" si="140"/>
        <v/>
      </c>
    </row>
    <row r="4404" spans="17:18" x14ac:dyDescent="0.3">
      <c r="Q4404" t="str">
        <f t="shared" si="141"/>
        <v/>
      </c>
      <c r="R4404" s="54" t="str">
        <f t="shared" si="140"/>
        <v/>
      </c>
    </row>
    <row r="4405" spans="17:18" x14ac:dyDescent="0.3">
      <c r="Q4405" t="str">
        <f t="shared" si="141"/>
        <v/>
      </c>
      <c r="R4405" s="54" t="str">
        <f t="shared" si="140"/>
        <v/>
      </c>
    </row>
    <row r="4406" spans="17:18" x14ac:dyDescent="0.3">
      <c r="Q4406" t="str">
        <f t="shared" si="141"/>
        <v/>
      </c>
      <c r="R4406" s="54" t="str">
        <f t="shared" si="140"/>
        <v/>
      </c>
    </row>
    <row r="4407" spans="17:18" x14ac:dyDescent="0.3">
      <c r="Q4407" t="str">
        <f t="shared" si="141"/>
        <v/>
      </c>
      <c r="R4407" s="54" t="str">
        <f t="shared" si="140"/>
        <v/>
      </c>
    </row>
    <row r="4408" spans="17:18" x14ac:dyDescent="0.3">
      <c r="Q4408" t="str">
        <f t="shared" si="141"/>
        <v/>
      </c>
      <c r="R4408" s="54" t="str">
        <f t="shared" si="140"/>
        <v/>
      </c>
    </row>
    <row r="4409" spans="17:18" x14ac:dyDescent="0.3">
      <c r="Q4409" t="str">
        <f t="shared" si="141"/>
        <v/>
      </c>
      <c r="R4409" s="54" t="str">
        <f t="shared" si="140"/>
        <v/>
      </c>
    </row>
    <row r="4410" spans="17:18" x14ac:dyDescent="0.3">
      <c r="Q4410" t="str">
        <f t="shared" si="141"/>
        <v/>
      </c>
      <c r="R4410" s="54" t="str">
        <f t="shared" si="140"/>
        <v/>
      </c>
    </row>
    <row r="4411" spans="17:18" x14ac:dyDescent="0.3">
      <c r="Q4411" t="str">
        <f t="shared" si="141"/>
        <v/>
      </c>
      <c r="R4411" s="54" t="str">
        <f t="shared" si="140"/>
        <v/>
      </c>
    </row>
    <row r="4412" spans="17:18" x14ac:dyDescent="0.3">
      <c r="Q4412" t="str">
        <f t="shared" si="141"/>
        <v/>
      </c>
      <c r="R4412" s="54" t="str">
        <f t="shared" si="140"/>
        <v/>
      </c>
    </row>
    <row r="4413" spans="17:18" x14ac:dyDescent="0.3">
      <c r="Q4413" t="str">
        <f t="shared" si="141"/>
        <v/>
      </c>
      <c r="R4413" s="54" t="str">
        <f t="shared" si="140"/>
        <v/>
      </c>
    </row>
    <row r="4414" spans="17:18" x14ac:dyDescent="0.3">
      <c r="Q4414" t="str">
        <f t="shared" si="141"/>
        <v/>
      </c>
      <c r="R4414" s="54" t="str">
        <f t="shared" si="140"/>
        <v/>
      </c>
    </row>
    <row r="4415" spans="17:18" x14ac:dyDescent="0.3">
      <c r="Q4415" t="str">
        <f t="shared" si="141"/>
        <v/>
      </c>
      <c r="R4415" s="54" t="str">
        <f t="shared" si="140"/>
        <v/>
      </c>
    </row>
    <row r="4416" spans="17:18" x14ac:dyDescent="0.3">
      <c r="Q4416" t="str">
        <f t="shared" si="141"/>
        <v/>
      </c>
      <c r="R4416" s="54" t="str">
        <f t="shared" si="140"/>
        <v/>
      </c>
    </row>
    <row r="4417" spans="17:18" x14ac:dyDescent="0.3">
      <c r="Q4417" t="str">
        <f t="shared" si="141"/>
        <v/>
      </c>
      <c r="R4417" s="54" t="str">
        <f t="shared" si="140"/>
        <v/>
      </c>
    </row>
    <row r="4418" spans="17:18" x14ac:dyDescent="0.3">
      <c r="Q4418" t="str">
        <f t="shared" si="141"/>
        <v/>
      </c>
      <c r="R4418" s="54" t="str">
        <f t="shared" si="140"/>
        <v/>
      </c>
    </row>
    <row r="4419" spans="17:18" x14ac:dyDescent="0.3">
      <c r="Q4419" t="str">
        <f t="shared" si="141"/>
        <v/>
      </c>
      <c r="R4419" s="54" t="str">
        <f t="shared" ref="R4419:R4482" si="142">IF(F4433="","",IFERROR(IF(ISNUMBER(F4433),F4433,DATEVALUE(F4433)),""))</f>
        <v/>
      </c>
    </row>
    <row r="4420" spans="17:18" x14ac:dyDescent="0.3">
      <c r="Q4420" t="str">
        <f t="shared" si="141"/>
        <v/>
      </c>
      <c r="R4420" s="54" t="str">
        <f t="shared" si="142"/>
        <v/>
      </c>
    </row>
    <row r="4421" spans="17:18" x14ac:dyDescent="0.3">
      <c r="Q4421" t="str">
        <f t="shared" si="141"/>
        <v/>
      </c>
      <c r="R4421" s="54" t="str">
        <f t="shared" si="142"/>
        <v/>
      </c>
    </row>
    <row r="4422" spans="17:18" x14ac:dyDescent="0.3">
      <c r="Q4422" t="str">
        <f t="shared" si="141"/>
        <v/>
      </c>
      <c r="R4422" s="54" t="str">
        <f t="shared" si="142"/>
        <v/>
      </c>
    </row>
    <row r="4423" spans="17:18" x14ac:dyDescent="0.3">
      <c r="Q4423" t="str">
        <f t="shared" si="141"/>
        <v/>
      </c>
      <c r="R4423" s="54" t="str">
        <f t="shared" si="142"/>
        <v/>
      </c>
    </row>
    <row r="4424" spans="17:18" x14ac:dyDescent="0.3">
      <c r="Q4424" t="str">
        <f t="shared" si="141"/>
        <v/>
      </c>
      <c r="R4424" s="54" t="str">
        <f t="shared" si="142"/>
        <v/>
      </c>
    </row>
    <row r="4425" spans="17:18" x14ac:dyDescent="0.3">
      <c r="Q4425" t="str">
        <f t="shared" si="141"/>
        <v/>
      </c>
      <c r="R4425" s="54" t="str">
        <f t="shared" si="142"/>
        <v/>
      </c>
    </row>
    <row r="4426" spans="17:18" x14ac:dyDescent="0.3">
      <c r="Q4426" t="str">
        <f t="shared" si="141"/>
        <v/>
      </c>
      <c r="R4426" s="54" t="str">
        <f t="shared" si="142"/>
        <v/>
      </c>
    </row>
    <row r="4427" spans="17:18" x14ac:dyDescent="0.3">
      <c r="Q4427" t="str">
        <f t="shared" si="141"/>
        <v/>
      </c>
      <c r="R4427" s="54" t="str">
        <f t="shared" si="142"/>
        <v/>
      </c>
    </row>
    <row r="4428" spans="17:18" x14ac:dyDescent="0.3">
      <c r="Q4428" t="str">
        <f t="shared" si="141"/>
        <v/>
      </c>
      <c r="R4428" s="54" t="str">
        <f t="shared" si="142"/>
        <v/>
      </c>
    </row>
    <row r="4429" spans="17:18" x14ac:dyDescent="0.3">
      <c r="Q4429" t="str">
        <f t="shared" si="141"/>
        <v/>
      </c>
      <c r="R4429" s="54" t="str">
        <f t="shared" si="142"/>
        <v/>
      </c>
    </row>
    <row r="4430" spans="17:18" x14ac:dyDescent="0.3">
      <c r="Q4430" t="str">
        <f t="shared" si="141"/>
        <v/>
      </c>
      <c r="R4430" s="54" t="str">
        <f t="shared" si="142"/>
        <v/>
      </c>
    </row>
    <row r="4431" spans="17:18" x14ac:dyDescent="0.3">
      <c r="Q4431" t="str">
        <f t="shared" si="141"/>
        <v/>
      </c>
      <c r="R4431" s="54" t="str">
        <f t="shared" si="142"/>
        <v/>
      </c>
    </row>
    <row r="4432" spans="17:18" x14ac:dyDescent="0.3">
      <c r="Q4432" t="str">
        <f t="shared" si="141"/>
        <v/>
      </c>
      <c r="R4432" s="54" t="str">
        <f t="shared" si="142"/>
        <v/>
      </c>
    </row>
    <row r="4433" spans="17:18" x14ac:dyDescent="0.3">
      <c r="Q4433" t="str">
        <f t="shared" si="141"/>
        <v/>
      </c>
      <c r="R4433" s="54" t="str">
        <f t="shared" si="142"/>
        <v/>
      </c>
    </row>
    <row r="4434" spans="17:18" x14ac:dyDescent="0.3">
      <c r="Q4434" t="str">
        <f t="shared" si="141"/>
        <v/>
      </c>
      <c r="R4434" s="54" t="str">
        <f t="shared" si="142"/>
        <v/>
      </c>
    </row>
    <row r="4435" spans="17:18" x14ac:dyDescent="0.3">
      <c r="Q4435" t="str">
        <f t="shared" si="141"/>
        <v/>
      </c>
      <c r="R4435" s="54" t="str">
        <f t="shared" si="142"/>
        <v/>
      </c>
    </row>
    <row r="4436" spans="17:18" x14ac:dyDescent="0.3">
      <c r="Q4436" t="str">
        <f t="shared" si="141"/>
        <v/>
      </c>
      <c r="R4436" s="54" t="str">
        <f t="shared" si="142"/>
        <v/>
      </c>
    </row>
    <row r="4437" spans="17:18" x14ac:dyDescent="0.3">
      <c r="Q4437" t="str">
        <f t="shared" si="141"/>
        <v/>
      </c>
      <c r="R4437" s="54" t="str">
        <f t="shared" si="142"/>
        <v/>
      </c>
    </row>
    <row r="4438" spans="17:18" x14ac:dyDescent="0.3">
      <c r="Q4438" t="str">
        <f t="shared" si="141"/>
        <v/>
      </c>
      <c r="R4438" s="54" t="str">
        <f t="shared" si="142"/>
        <v/>
      </c>
    </row>
    <row r="4439" spans="17:18" x14ac:dyDescent="0.3">
      <c r="Q4439" t="str">
        <f t="shared" ref="Q4439:Q4502" si="143">IF(COUNTA(A4439:P4439)=0,"",IF(ISNUMBER(SEARCH("-AR-",E4453)),"Architectural",IF(ISNUMBER(SEARCH("-ST-",E4453)),"Structural",IF(ISNUMBER(SEARCH("-ME-",E4453)),"Mechanical",IF(ISNUMBER(SEARCH("-EL-",E4453)),"Electrical",IF(ISNUMBER(SEARCH("-GE-",E4453)),"General",IF(ISNUMBER(SEARCH("-AR-",D4453)),"Architectural",IF(ISNUMBER(SEARCH("-ST-",D4453)),"Structural",IF(ISNUMBER(SEARCH("-ME-",D4453)),"Mechanical",IF(ISNUMBER(SEARCH("-EL-",D4453)),"Electrical",IF(ISNUMBER(SEARCH("-GE-",D4453)),"General","Other")))))))))))</f>
        <v/>
      </c>
      <c r="R4439" s="54" t="str">
        <f t="shared" si="142"/>
        <v/>
      </c>
    </row>
    <row r="4440" spans="17:18" x14ac:dyDescent="0.3">
      <c r="Q4440" t="str">
        <f t="shared" si="143"/>
        <v/>
      </c>
      <c r="R4440" s="54" t="str">
        <f t="shared" si="142"/>
        <v/>
      </c>
    </row>
    <row r="4441" spans="17:18" x14ac:dyDescent="0.3">
      <c r="Q4441" t="str">
        <f t="shared" si="143"/>
        <v/>
      </c>
      <c r="R4441" s="54" t="str">
        <f t="shared" si="142"/>
        <v/>
      </c>
    </row>
    <row r="4442" spans="17:18" x14ac:dyDescent="0.3">
      <c r="Q4442" t="str">
        <f t="shared" si="143"/>
        <v/>
      </c>
      <c r="R4442" s="54" t="str">
        <f t="shared" si="142"/>
        <v/>
      </c>
    </row>
    <row r="4443" spans="17:18" x14ac:dyDescent="0.3">
      <c r="Q4443" t="str">
        <f t="shared" si="143"/>
        <v/>
      </c>
      <c r="R4443" s="54" t="str">
        <f t="shared" si="142"/>
        <v/>
      </c>
    </row>
    <row r="4444" spans="17:18" x14ac:dyDescent="0.3">
      <c r="Q4444" t="str">
        <f t="shared" si="143"/>
        <v/>
      </c>
      <c r="R4444" s="54" t="str">
        <f t="shared" si="142"/>
        <v/>
      </c>
    </row>
    <row r="4445" spans="17:18" x14ac:dyDescent="0.3">
      <c r="Q4445" t="str">
        <f t="shared" si="143"/>
        <v/>
      </c>
      <c r="R4445" s="54" t="str">
        <f t="shared" si="142"/>
        <v/>
      </c>
    </row>
    <row r="4446" spans="17:18" x14ac:dyDescent="0.3">
      <c r="Q4446" t="str">
        <f t="shared" si="143"/>
        <v/>
      </c>
      <c r="R4446" s="54" t="str">
        <f t="shared" si="142"/>
        <v/>
      </c>
    </row>
    <row r="4447" spans="17:18" x14ac:dyDescent="0.3">
      <c r="Q4447" t="str">
        <f t="shared" si="143"/>
        <v/>
      </c>
      <c r="R4447" s="54" t="str">
        <f t="shared" si="142"/>
        <v/>
      </c>
    </row>
    <row r="4448" spans="17:18" x14ac:dyDescent="0.3">
      <c r="Q4448" t="str">
        <f t="shared" si="143"/>
        <v/>
      </c>
      <c r="R4448" s="54" t="str">
        <f t="shared" si="142"/>
        <v/>
      </c>
    </row>
    <row r="4449" spans="17:18" x14ac:dyDescent="0.3">
      <c r="Q4449" t="str">
        <f t="shared" si="143"/>
        <v/>
      </c>
      <c r="R4449" s="54" t="str">
        <f t="shared" si="142"/>
        <v/>
      </c>
    </row>
    <row r="4450" spans="17:18" x14ac:dyDescent="0.3">
      <c r="Q4450" t="str">
        <f t="shared" si="143"/>
        <v/>
      </c>
      <c r="R4450" s="54" t="str">
        <f t="shared" si="142"/>
        <v/>
      </c>
    </row>
    <row r="4451" spans="17:18" x14ac:dyDescent="0.3">
      <c r="Q4451" t="str">
        <f t="shared" si="143"/>
        <v/>
      </c>
      <c r="R4451" s="54" t="str">
        <f t="shared" si="142"/>
        <v/>
      </c>
    </row>
    <row r="4452" spans="17:18" x14ac:dyDescent="0.3">
      <c r="Q4452" t="str">
        <f t="shared" si="143"/>
        <v/>
      </c>
      <c r="R4452" s="54" t="str">
        <f t="shared" si="142"/>
        <v/>
      </c>
    </row>
    <row r="4453" spans="17:18" x14ac:dyDescent="0.3">
      <c r="Q4453" t="str">
        <f t="shared" si="143"/>
        <v/>
      </c>
      <c r="R4453" s="54" t="str">
        <f t="shared" si="142"/>
        <v/>
      </c>
    </row>
    <row r="4454" spans="17:18" x14ac:dyDescent="0.3">
      <c r="Q4454" t="str">
        <f t="shared" si="143"/>
        <v/>
      </c>
      <c r="R4454" s="54" t="str">
        <f t="shared" si="142"/>
        <v/>
      </c>
    </row>
    <row r="4455" spans="17:18" x14ac:dyDescent="0.3">
      <c r="Q4455" t="str">
        <f t="shared" si="143"/>
        <v/>
      </c>
      <c r="R4455" s="54" t="str">
        <f t="shared" si="142"/>
        <v/>
      </c>
    </row>
    <row r="4456" spans="17:18" x14ac:dyDescent="0.3">
      <c r="Q4456" t="str">
        <f t="shared" si="143"/>
        <v/>
      </c>
      <c r="R4456" s="54" t="str">
        <f t="shared" si="142"/>
        <v/>
      </c>
    </row>
    <row r="4457" spans="17:18" x14ac:dyDescent="0.3">
      <c r="Q4457" t="str">
        <f t="shared" si="143"/>
        <v/>
      </c>
      <c r="R4457" s="54" t="str">
        <f t="shared" si="142"/>
        <v/>
      </c>
    </row>
    <row r="4458" spans="17:18" x14ac:dyDescent="0.3">
      <c r="Q4458" t="str">
        <f t="shared" si="143"/>
        <v/>
      </c>
      <c r="R4458" s="54" t="str">
        <f t="shared" si="142"/>
        <v/>
      </c>
    </row>
    <row r="4459" spans="17:18" x14ac:dyDescent="0.3">
      <c r="Q4459" t="str">
        <f t="shared" si="143"/>
        <v/>
      </c>
      <c r="R4459" s="54" t="str">
        <f t="shared" si="142"/>
        <v/>
      </c>
    </row>
    <row r="4460" spans="17:18" x14ac:dyDescent="0.3">
      <c r="Q4460" t="str">
        <f t="shared" si="143"/>
        <v/>
      </c>
      <c r="R4460" s="54" t="str">
        <f t="shared" si="142"/>
        <v/>
      </c>
    </row>
    <row r="4461" spans="17:18" x14ac:dyDescent="0.3">
      <c r="Q4461" t="str">
        <f t="shared" si="143"/>
        <v/>
      </c>
      <c r="R4461" s="54" t="str">
        <f t="shared" si="142"/>
        <v/>
      </c>
    </row>
    <row r="4462" spans="17:18" x14ac:dyDescent="0.3">
      <c r="Q4462" t="str">
        <f t="shared" si="143"/>
        <v/>
      </c>
      <c r="R4462" s="54" t="str">
        <f t="shared" si="142"/>
        <v/>
      </c>
    </row>
    <row r="4463" spans="17:18" x14ac:dyDescent="0.3">
      <c r="Q4463" t="str">
        <f t="shared" si="143"/>
        <v/>
      </c>
      <c r="R4463" s="54" t="str">
        <f t="shared" si="142"/>
        <v/>
      </c>
    </row>
    <row r="4464" spans="17:18" x14ac:dyDescent="0.3">
      <c r="Q4464" t="str">
        <f t="shared" si="143"/>
        <v/>
      </c>
      <c r="R4464" s="54" t="str">
        <f t="shared" si="142"/>
        <v/>
      </c>
    </row>
    <row r="4465" spans="17:18" x14ac:dyDescent="0.3">
      <c r="Q4465" t="str">
        <f t="shared" si="143"/>
        <v/>
      </c>
      <c r="R4465" s="54" t="str">
        <f t="shared" si="142"/>
        <v/>
      </c>
    </row>
    <row r="4466" spans="17:18" x14ac:dyDescent="0.3">
      <c r="Q4466" t="str">
        <f t="shared" si="143"/>
        <v/>
      </c>
      <c r="R4466" s="54" t="str">
        <f t="shared" si="142"/>
        <v/>
      </c>
    </row>
    <row r="4467" spans="17:18" x14ac:dyDescent="0.3">
      <c r="Q4467" t="str">
        <f t="shared" si="143"/>
        <v/>
      </c>
      <c r="R4467" s="54" t="str">
        <f t="shared" si="142"/>
        <v/>
      </c>
    </row>
    <row r="4468" spans="17:18" x14ac:dyDescent="0.3">
      <c r="Q4468" t="str">
        <f t="shared" si="143"/>
        <v/>
      </c>
      <c r="R4468" s="54" t="str">
        <f t="shared" si="142"/>
        <v/>
      </c>
    </row>
    <row r="4469" spans="17:18" x14ac:dyDescent="0.3">
      <c r="Q4469" t="str">
        <f t="shared" si="143"/>
        <v/>
      </c>
      <c r="R4469" s="54" t="str">
        <f t="shared" si="142"/>
        <v/>
      </c>
    </row>
    <row r="4470" spans="17:18" x14ac:dyDescent="0.3">
      <c r="Q4470" t="str">
        <f t="shared" si="143"/>
        <v/>
      </c>
      <c r="R4470" s="54" t="str">
        <f t="shared" si="142"/>
        <v/>
      </c>
    </row>
    <row r="4471" spans="17:18" x14ac:dyDescent="0.3">
      <c r="Q4471" t="str">
        <f t="shared" si="143"/>
        <v/>
      </c>
      <c r="R4471" s="54" t="str">
        <f t="shared" si="142"/>
        <v/>
      </c>
    </row>
    <row r="4472" spans="17:18" x14ac:dyDescent="0.3">
      <c r="Q4472" t="str">
        <f t="shared" si="143"/>
        <v/>
      </c>
      <c r="R4472" s="54" t="str">
        <f t="shared" si="142"/>
        <v/>
      </c>
    </row>
    <row r="4473" spans="17:18" x14ac:dyDescent="0.3">
      <c r="Q4473" t="str">
        <f t="shared" si="143"/>
        <v/>
      </c>
      <c r="R4473" s="54" t="str">
        <f t="shared" si="142"/>
        <v/>
      </c>
    </row>
    <row r="4474" spans="17:18" x14ac:dyDescent="0.3">
      <c r="Q4474" t="str">
        <f t="shared" si="143"/>
        <v/>
      </c>
      <c r="R4474" s="54" t="str">
        <f t="shared" si="142"/>
        <v/>
      </c>
    </row>
    <row r="4475" spans="17:18" x14ac:dyDescent="0.3">
      <c r="Q4475" t="str">
        <f t="shared" si="143"/>
        <v/>
      </c>
      <c r="R4475" s="54" t="str">
        <f t="shared" si="142"/>
        <v/>
      </c>
    </row>
    <row r="4476" spans="17:18" x14ac:dyDescent="0.3">
      <c r="Q4476" t="str">
        <f t="shared" si="143"/>
        <v/>
      </c>
      <c r="R4476" s="54" t="str">
        <f t="shared" si="142"/>
        <v/>
      </c>
    </row>
    <row r="4477" spans="17:18" x14ac:dyDescent="0.3">
      <c r="Q4477" t="str">
        <f t="shared" si="143"/>
        <v/>
      </c>
      <c r="R4477" s="54" t="str">
        <f t="shared" si="142"/>
        <v/>
      </c>
    </row>
    <row r="4478" spans="17:18" x14ac:dyDescent="0.3">
      <c r="Q4478" t="str">
        <f t="shared" si="143"/>
        <v/>
      </c>
      <c r="R4478" s="54" t="str">
        <f t="shared" si="142"/>
        <v/>
      </c>
    </row>
    <row r="4479" spans="17:18" x14ac:dyDescent="0.3">
      <c r="Q4479" t="str">
        <f t="shared" si="143"/>
        <v/>
      </c>
      <c r="R4479" s="54" t="str">
        <f t="shared" si="142"/>
        <v/>
      </c>
    </row>
    <row r="4480" spans="17:18" x14ac:dyDescent="0.3">
      <c r="Q4480" t="str">
        <f t="shared" si="143"/>
        <v/>
      </c>
      <c r="R4480" s="54" t="str">
        <f t="shared" si="142"/>
        <v/>
      </c>
    </row>
    <row r="4481" spans="17:18" x14ac:dyDescent="0.3">
      <c r="Q4481" t="str">
        <f t="shared" si="143"/>
        <v/>
      </c>
      <c r="R4481" s="54" t="str">
        <f t="shared" si="142"/>
        <v/>
      </c>
    </row>
    <row r="4482" spans="17:18" x14ac:dyDescent="0.3">
      <c r="Q4482" t="str">
        <f t="shared" si="143"/>
        <v/>
      </c>
      <c r="R4482" s="54" t="str">
        <f t="shared" si="142"/>
        <v/>
      </c>
    </row>
    <row r="4483" spans="17:18" x14ac:dyDescent="0.3">
      <c r="Q4483" t="str">
        <f t="shared" si="143"/>
        <v/>
      </c>
      <c r="R4483" s="54" t="str">
        <f t="shared" ref="R4483:R4546" si="144">IF(F4497="","",IFERROR(IF(ISNUMBER(F4497),F4497,DATEVALUE(F4497)),""))</f>
        <v/>
      </c>
    </row>
    <row r="4484" spans="17:18" x14ac:dyDescent="0.3">
      <c r="Q4484" t="str">
        <f t="shared" si="143"/>
        <v/>
      </c>
      <c r="R4484" s="54" t="str">
        <f t="shared" si="144"/>
        <v/>
      </c>
    </row>
    <row r="4485" spans="17:18" x14ac:dyDescent="0.3">
      <c r="Q4485" t="str">
        <f t="shared" si="143"/>
        <v/>
      </c>
      <c r="R4485" s="54" t="str">
        <f t="shared" si="144"/>
        <v/>
      </c>
    </row>
    <row r="4486" spans="17:18" x14ac:dyDescent="0.3">
      <c r="Q4486" t="str">
        <f t="shared" si="143"/>
        <v/>
      </c>
      <c r="R4486" s="54" t="str">
        <f t="shared" si="144"/>
        <v/>
      </c>
    </row>
    <row r="4487" spans="17:18" x14ac:dyDescent="0.3">
      <c r="Q4487" t="str">
        <f t="shared" si="143"/>
        <v/>
      </c>
      <c r="R4487" s="54" t="str">
        <f t="shared" si="144"/>
        <v/>
      </c>
    </row>
    <row r="4488" spans="17:18" x14ac:dyDescent="0.3">
      <c r="Q4488" t="str">
        <f t="shared" si="143"/>
        <v/>
      </c>
      <c r="R4488" s="54" t="str">
        <f t="shared" si="144"/>
        <v/>
      </c>
    </row>
    <row r="4489" spans="17:18" x14ac:dyDescent="0.3">
      <c r="Q4489" t="str">
        <f t="shared" si="143"/>
        <v/>
      </c>
      <c r="R4489" s="54" t="str">
        <f t="shared" si="144"/>
        <v/>
      </c>
    </row>
    <row r="4490" spans="17:18" x14ac:dyDescent="0.3">
      <c r="Q4490" t="str">
        <f t="shared" si="143"/>
        <v/>
      </c>
      <c r="R4490" s="54" t="str">
        <f t="shared" si="144"/>
        <v/>
      </c>
    </row>
    <row r="4491" spans="17:18" x14ac:dyDescent="0.3">
      <c r="Q4491" t="str">
        <f t="shared" si="143"/>
        <v/>
      </c>
      <c r="R4491" s="54" t="str">
        <f t="shared" si="144"/>
        <v/>
      </c>
    </row>
    <row r="4492" spans="17:18" x14ac:dyDescent="0.3">
      <c r="Q4492" t="str">
        <f t="shared" si="143"/>
        <v/>
      </c>
      <c r="R4492" s="54" t="str">
        <f t="shared" si="144"/>
        <v/>
      </c>
    </row>
    <row r="4493" spans="17:18" x14ac:dyDescent="0.3">
      <c r="Q4493" t="str">
        <f t="shared" si="143"/>
        <v/>
      </c>
      <c r="R4493" s="54" t="str">
        <f t="shared" si="144"/>
        <v/>
      </c>
    </row>
    <row r="4494" spans="17:18" x14ac:dyDescent="0.3">
      <c r="Q4494" t="str">
        <f t="shared" si="143"/>
        <v/>
      </c>
      <c r="R4494" s="54" t="str">
        <f t="shared" si="144"/>
        <v/>
      </c>
    </row>
    <row r="4495" spans="17:18" x14ac:dyDescent="0.3">
      <c r="Q4495" t="str">
        <f t="shared" si="143"/>
        <v/>
      </c>
      <c r="R4495" s="54" t="str">
        <f t="shared" si="144"/>
        <v/>
      </c>
    </row>
    <row r="4496" spans="17:18" x14ac:dyDescent="0.3">
      <c r="Q4496" t="str">
        <f t="shared" si="143"/>
        <v/>
      </c>
      <c r="R4496" s="54" t="str">
        <f t="shared" si="144"/>
        <v/>
      </c>
    </row>
    <row r="4497" spans="17:18" x14ac:dyDescent="0.3">
      <c r="Q4497" t="str">
        <f t="shared" si="143"/>
        <v/>
      </c>
      <c r="R4497" s="54" t="str">
        <f t="shared" si="144"/>
        <v/>
      </c>
    </row>
    <row r="4498" spans="17:18" x14ac:dyDescent="0.3">
      <c r="Q4498" t="str">
        <f t="shared" si="143"/>
        <v/>
      </c>
      <c r="R4498" s="54" t="str">
        <f t="shared" si="144"/>
        <v/>
      </c>
    </row>
    <row r="4499" spans="17:18" x14ac:dyDescent="0.3">
      <c r="Q4499" t="str">
        <f t="shared" si="143"/>
        <v/>
      </c>
      <c r="R4499" s="54" t="str">
        <f t="shared" si="144"/>
        <v/>
      </c>
    </row>
    <row r="4500" spans="17:18" x14ac:dyDescent="0.3">
      <c r="Q4500" t="str">
        <f t="shared" si="143"/>
        <v/>
      </c>
      <c r="R4500" s="54" t="str">
        <f t="shared" si="144"/>
        <v/>
      </c>
    </row>
    <row r="4501" spans="17:18" x14ac:dyDescent="0.3">
      <c r="Q4501" t="str">
        <f t="shared" si="143"/>
        <v/>
      </c>
      <c r="R4501" s="54" t="str">
        <f t="shared" si="144"/>
        <v/>
      </c>
    </row>
    <row r="4502" spans="17:18" x14ac:dyDescent="0.3">
      <c r="Q4502" t="str">
        <f t="shared" si="143"/>
        <v/>
      </c>
      <c r="R4502" s="54" t="str">
        <f t="shared" si="144"/>
        <v/>
      </c>
    </row>
    <row r="4503" spans="17:18" x14ac:dyDescent="0.3">
      <c r="Q4503" t="str">
        <f t="shared" ref="Q4503:Q4566" si="145">IF(COUNTA(A4503:P4503)=0,"",IF(ISNUMBER(SEARCH("-AR-",E4517)),"Architectural",IF(ISNUMBER(SEARCH("-ST-",E4517)),"Structural",IF(ISNUMBER(SEARCH("-ME-",E4517)),"Mechanical",IF(ISNUMBER(SEARCH("-EL-",E4517)),"Electrical",IF(ISNUMBER(SEARCH("-GE-",E4517)),"General",IF(ISNUMBER(SEARCH("-AR-",D4517)),"Architectural",IF(ISNUMBER(SEARCH("-ST-",D4517)),"Structural",IF(ISNUMBER(SEARCH("-ME-",D4517)),"Mechanical",IF(ISNUMBER(SEARCH("-EL-",D4517)),"Electrical",IF(ISNUMBER(SEARCH("-GE-",D4517)),"General","Other")))))))))))</f>
        <v/>
      </c>
      <c r="R4503" s="54" t="str">
        <f t="shared" si="144"/>
        <v/>
      </c>
    </row>
    <row r="4504" spans="17:18" x14ac:dyDescent="0.3">
      <c r="Q4504" t="str">
        <f t="shared" si="145"/>
        <v/>
      </c>
      <c r="R4504" s="54" t="str">
        <f t="shared" si="144"/>
        <v/>
      </c>
    </row>
    <row r="4505" spans="17:18" x14ac:dyDescent="0.3">
      <c r="Q4505" t="str">
        <f t="shared" si="145"/>
        <v/>
      </c>
      <c r="R4505" s="54" t="str">
        <f t="shared" si="144"/>
        <v/>
      </c>
    </row>
    <row r="4506" spans="17:18" x14ac:dyDescent="0.3">
      <c r="Q4506" t="str">
        <f t="shared" si="145"/>
        <v/>
      </c>
      <c r="R4506" s="54" t="str">
        <f t="shared" si="144"/>
        <v/>
      </c>
    </row>
    <row r="4507" spans="17:18" x14ac:dyDescent="0.3">
      <c r="Q4507" t="str">
        <f t="shared" si="145"/>
        <v/>
      </c>
      <c r="R4507" s="54" t="str">
        <f t="shared" si="144"/>
        <v/>
      </c>
    </row>
    <row r="4508" spans="17:18" x14ac:dyDescent="0.3">
      <c r="Q4508" t="str">
        <f t="shared" si="145"/>
        <v/>
      </c>
      <c r="R4508" s="54" t="str">
        <f t="shared" si="144"/>
        <v/>
      </c>
    </row>
    <row r="4509" spans="17:18" x14ac:dyDescent="0.3">
      <c r="Q4509" t="str">
        <f t="shared" si="145"/>
        <v/>
      </c>
      <c r="R4509" s="54" t="str">
        <f t="shared" si="144"/>
        <v/>
      </c>
    </row>
    <row r="4510" spans="17:18" x14ac:dyDescent="0.3">
      <c r="Q4510" t="str">
        <f t="shared" si="145"/>
        <v/>
      </c>
      <c r="R4510" s="54" t="str">
        <f t="shared" si="144"/>
        <v/>
      </c>
    </row>
    <row r="4511" spans="17:18" x14ac:dyDescent="0.3">
      <c r="Q4511" t="str">
        <f t="shared" si="145"/>
        <v/>
      </c>
      <c r="R4511" s="54" t="str">
        <f t="shared" si="144"/>
        <v/>
      </c>
    </row>
    <row r="4512" spans="17:18" x14ac:dyDescent="0.3">
      <c r="Q4512" t="str">
        <f t="shared" si="145"/>
        <v/>
      </c>
      <c r="R4512" s="54" t="str">
        <f t="shared" si="144"/>
        <v/>
      </c>
    </row>
    <row r="4513" spans="17:18" x14ac:dyDescent="0.3">
      <c r="Q4513" t="str">
        <f t="shared" si="145"/>
        <v/>
      </c>
      <c r="R4513" s="54" t="str">
        <f t="shared" si="144"/>
        <v/>
      </c>
    </row>
    <row r="4514" spans="17:18" x14ac:dyDescent="0.3">
      <c r="Q4514" t="str">
        <f t="shared" si="145"/>
        <v/>
      </c>
      <c r="R4514" s="54" t="str">
        <f t="shared" si="144"/>
        <v/>
      </c>
    </row>
    <row r="4515" spans="17:18" x14ac:dyDescent="0.3">
      <c r="Q4515" t="str">
        <f t="shared" si="145"/>
        <v/>
      </c>
      <c r="R4515" s="54" t="str">
        <f t="shared" si="144"/>
        <v/>
      </c>
    </row>
    <row r="4516" spans="17:18" x14ac:dyDescent="0.3">
      <c r="Q4516" t="str">
        <f t="shared" si="145"/>
        <v/>
      </c>
      <c r="R4516" s="54" t="str">
        <f t="shared" si="144"/>
        <v/>
      </c>
    </row>
    <row r="4517" spans="17:18" x14ac:dyDescent="0.3">
      <c r="Q4517" t="str">
        <f t="shared" si="145"/>
        <v/>
      </c>
      <c r="R4517" s="54" t="str">
        <f t="shared" si="144"/>
        <v/>
      </c>
    </row>
    <row r="4518" spans="17:18" x14ac:dyDescent="0.3">
      <c r="Q4518" t="str">
        <f t="shared" si="145"/>
        <v/>
      </c>
      <c r="R4518" s="54" t="str">
        <f t="shared" si="144"/>
        <v/>
      </c>
    </row>
    <row r="4519" spans="17:18" x14ac:dyDescent="0.3">
      <c r="Q4519" t="str">
        <f t="shared" si="145"/>
        <v/>
      </c>
      <c r="R4519" s="54" t="str">
        <f t="shared" si="144"/>
        <v/>
      </c>
    </row>
    <row r="4520" spans="17:18" x14ac:dyDescent="0.3">
      <c r="Q4520" t="str">
        <f t="shared" si="145"/>
        <v/>
      </c>
      <c r="R4520" s="54" t="str">
        <f t="shared" si="144"/>
        <v/>
      </c>
    </row>
    <row r="4521" spans="17:18" x14ac:dyDescent="0.3">
      <c r="Q4521" t="str">
        <f t="shared" si="145"/>
        <v/>
      </c>
      <c r="R4521" s="54" t="str">
        <f t="shared" si="144"/>
        <v/>
      </c>
    </row>
    <row r="4522" spans="17:18" x14ac:dyDescent="0.3">
      <c r="Q4522" t="str">
        <f t="shared" si="145"/>
        <v/>
      </c>
      <c r="R4522" s="54" t="str">
        <f t="shared" si="144"/>
        <v/>
      </c>
    </row>
    <row r="4523" spans="17:18" x14ac:dyDescent="0.3">
      <c r="Q4523" t="str">
        <f t="shared" si="145"/>
        <v/>
      </c>
      <c r="R4523" s="54" t="str">
        <f t="shared" si="144"/>
        <v/>
      </c>
    </row>
    <row r="4524" spans="17:18" x14ac:dyDescent="0.3">
      <c r="Q4524" t="str">
        <f t="shared" si="145"/>
        <v/>
      </c>
      <c r="R4524" s="54" t="str">
        <f t="shared" si="144"/>
        <v/>
      </c>
    </row>
    <row r="4525" spans="17:18" x14ac:dyDescent="0.3">
      <c r="Q4525" t="str">
        <f t="shared" si="145"/>
        <v/>
      </c>
      <c r="R4525" s="54" t="str">
        <f t="shared" si="144"/>
        <v/>
      </c>
    </row>
    <row r="4526" spans="17:18" x14ac:dyDescent="0.3">
      <c r="Q4526" t="str">
        <f t="shared" si="145"/>
        <v/>
      </c>
      <c r="R4526" s="54" t="str">
        <f t="shared" si="144"/>
        <v/>
      </c>
    </row>
    <row r="4527" spans="17:18" x14ac:dyDescent="0.3">
      <c r="Q4527" t="str">
        <f t="shared" si="145"/>
        <v/>
      </c>
      <c r="R4527" s="54" t="str">
        <f t="shared" si="144"/>
        <v/>
      </c>
    </row>
    <row r="4528" spans="17:18" x14ac:dyDescent="0.3">
      <c r="Q4528" t="str">
        <f t="shared" si="145"/>
        <v/>
      </c>
      <c r="R4528" s="54" t="str">
        <f t="shared" si="144"/>
        <v/>
      </c>
    </row>
    <row r="4529" spans="17:18" x14ac:dyDescent="0.3">
      <c r="Q4529" t="str">
        <f t="shared" si="145"/>
        <v/>
      </c>
      <c r="R4529" s="54" t="str">
        <f t="shared" si="144"/>
        <v/>
      </c>
    </row>
    <row r="4530" spans="17:18" x14ac:dyDescent="0.3">
      <c r="Q4530" t="str">
        <f t="shared" si="145"/>
        <v/>
      </c>
      <c r="R4530" s="54" t="str">
        <f t="shared" si="144"/>
        <v/>
      </c>
    </row>
    <row r="4531" spans="17:18" x14ac:dyDescent="0.3">
      <c r="Q4531" t="str">
        <f t="shared" si="145"/>
        <v/>
      </c>
      <c r="R4531" s="54" t="str">
        <f t="shared" si="144"/>
        <v/>
      </c>
    </row>
    <row r="4532" spans="17:18" x14ac:dyDescent="0.3">
      <c r="Q4532" t="str">
        <f t="shared" si="145"/>
        <v/>
      </c>
      <c r="R4532" s="54" t="str">
        <f t="shared" si="144"/>
        <v/>
      </c>
    </row>
    <row r="4533" spans="17:18" x14ac:dyDescent="0.3">
      <c r="Q4533" t="str">
        <f t="shared" si="145"/>
        <v/>
      </c>
      <c r="R4533" s="54" t="str">
        <f t="shared" si="144"/>
        <v/>
      </c>
    </row>
    <row r="4534" spans="17:18" x14ac:dyDescent="0.3">
      <c r="Q4534" t="str">
        <f t="shared" si="145"/>
        <v/>
      </c>
      <c r="R4534" s="54" t="str">
        <f t="shared" si="144"/>
        <v/>
      </c>
    </row>
    <row r="4535" spans="17:18" x14ac:dyDescent="0.3">
      <c r="Q4535" t="str">
        <f t="shared" si="145"/>
        <v/>
      </c>
      <c r="R4535" s="54" t="str">
        <f t="shared" si="144"/>
        <v/>
      </c>
    </row>
    <row r="4536" spans="17:18" x14ac:dyDescent="0.3">
      <c r="Q4536" t="str">
        <f t="shared" si="145"/>
        <v/>
      </c>
      <c r="R4536" s="54" t="str">
        <f t="shared" si="144"/>
        <v/>
      </c>
    </row>
    <row r="4537" spans="17:18" x14ac:dyDescent="0.3">
      <c r="Q4537" t="str">
        <f t="shared" si="145"/>
        <v/>
      </c>
      <c r="R4537" s="54" t="str">
        <f t="shared" si="144"/>
        <v/>
      </c>
    </row>
    <row r="4538" spans="17:18" x14ac:dyDescent="0.3">
      <c r="Q4538" t="str">
        <f t="shared" si="145"/>
        <v/>
      </c>
      <c r="R4538" s="54" t="str">
        <f t="shared" si="144"/>
        <v/>
      </c>
    </row>
    <row r="4539" spans="17:18" x14ac:dyDescent="0.3">
      <c r="Q4539" t="str">
        <f t="shared" si="145"/>
        <v/>
      </c>
      <c r="R4539" s="54" t="str">
        <f t="shared" si="144"/>
        <v/>
      </c>
    </row>
    <row r="4540" spans="17:18" x14ac:dyDescent="0.3">
      <c r="Q4540" t="str">
        <f t="shared" si="145"/>
        <v/>
      </c>
      <c r="R4540" s="54" t="str">
        <f t="shared" si="144"/>
        <v/>
      </c>
    </row>
    <row r="4541" spans="17:18" x14ac:dyDescent="0.3">
      <c r="Q4541" t="str">
        <f t="shared" si="145"/>
        <v/>
      </c>
      <c r="R4541" s="54" t="str">
        <f t="shared" si="144"/>
        <v/>
      </c>
    </row>
    <row r="4542" spans="17:18" x14ac:dyDescent="0.3">
      <c r="Q4542" t="str">
        <f t="shared" si="145"/>
        <v/>
      </c>
      <c r="R4542" s="54" t="str">
        <f t="shared" si="144"/>
        <v/>
      </c>
    </row>
    <row r="4543" spans="17:18" x14ac:dyDescent="0.3">
      <c r="Q4543" t="str">
        <f t="shared" si="145"/>
        <v/>
      </c>
      <c r="R4543" s="54" t="str">
        <f t="shared" si="144"/>
        <v/>
      </c>
    </row>
    <row r="4544" spans="17:18" x14ac:dyDescent="0.3">
      <c r="Q4544" t="str">
        <f t="shared" si="145"/>
        <v/>
      </c>
      <c r="R4544" s="54" t="str">
        <f t="shared" si="144"/>
        <v/>
      </c>
    </row>
    <row r="4545" spans="17:18" x14ac:dyDescent="0.3">
      <c r="Q4545" t="str">
        <f t="shared" si="145"/>
        <v/>
      </c>
      <c r="R4545" s="54" t="str">
        <f t="shared" si="144"/>
        <v/>
      </c>
    </row>
    <row r="4546" spans="17:18" x14ac:dyDescent="0.3">
      <c r="Q4546" t="str">
        <f t="shared" si="145"/>
        <v/>
      </c>
      <c r="R4546" s="54" t="str">
        <f t="shared" si="144"/>
        <v/>
      </c>
    </row>
    <row r="4547" spans="17:18" x14ac:dyDescent="0.3">
      <c r="Q4547" t="str">
        <f t="shared" si="145"/>
        <v/>
      </c>
      <c r="R4547" s="54" t="str">
        <f t="shared" ref="R4547:R4610" si="146">IF(F4561="","",IFERROR(IF(ISNUMBER(F4561),F4561,DATEVALUE(F4561)),""))</f>
        <v/>
      </c>
    </row>
    <row r="4548" spans="17:18" x14ac:dyDescent="0.3">
      <c r="Q4548" t="str">
        <f t="shared" si="145"/>
        <v/>
      </c>
      <c r="R4548" s="54" t="str">
        <f t="shared" si="146"/>
        <v/>
      </c>
    </row>
    <row r="4549" spans="17:18" x14ac:dyDescent="0.3">
      <c r="Q4549" t="str">
        <f t="shared" si="145"/>
        <v/>
      </c>
      <c r="R4549" s="54" t="str">
        <f t="shared" si="146"/>
        <v/>
      </c>
    </row>
    <row r="4550" spans="17:18" x14ac:dyDescent="0.3">
      <c r="Q4550" t="str">
        <f t="shared" si="145"/>
        <v/>
      </c>
      <c r="R4550" s="54" t="str">
        <f t="shared" si="146"/>
        <v/>
      </c>
    </row>
    <row r="4551" spans="17:18" x14ac:dyDescent="0.3">
      <c r="Q4551" t="str">
        <f t="shared" si="145"/>
        <v/>
      </c>
      <c r="R4551" s="54" t="str">
        <f t="shared" si="146"/>
        <v/>
      </c>
    </row>
    <row r="4552" spans="17:18" x14ac:dyDescent="0.3">
      <c r="Q4552" t="str">
        <f t="shared" si="145"/>
        <v/>
      </c>
      <c r="R4552" s="54" t="str">
        <f t="shared" si="146"/>
        <v/>
      </c>
    </row>
    <row r="4553" spans="17:18" x14ac:dyDescent="0.3">
      <c r="Q4553" t="str">
        <f t="shared" si="145"/>
        <v/>
      </c>
      <c r="R4553" s="54" t="str">
        <f t="shared" si="146"/>
        <v/>
      </c>
    </row>
    <row r="4554" spans="17:18" x14ac:dyDescent="0.3">
      <c r="Q4554" t="str">
        <f t="shared" si="145"/>
        <v/>
      </c>
      <c r="R4554" s="54" t="str">
        <f t="shared" si="146"/>
        <v/>
      </c>
    </row>
    <row r="4555" spans="17:18" x14ac:dyDescent="0.3">
      <c r="Q4555" t="str">
        <f t="shared" si="145"/>
        <v/>
      </c>
      <c r="R4555" s="54" t="str">
        <f t="shared" si="146"/>
        <v/>
      </c>
    </row>
    <row r="4556" spans="17:18" x14ac:dyDescent="0.3">
      <c r="Q4556" t="str">
        <f t="shared" si="145"/>
        <v/>
      </c>
      <c r="R4556" s="54" t="str">
        <f t="shared" si="146"/>
        <v/>
      </c>
    </row>
    <row r="4557" spans="17:18" x14ac:dyDescent="0.3">
      <c r="Q4557" t="str">
        <f t="shared" si="145"/>
        <v/>
      </c>
      <c r="R4557" s="54" t="str">
        <f t="shared" si="146"/>
        <v/>
      </c>
    </row>
    <row r="4558" spans="17:18" x14ac:dyDescent="0.3">
      <c r="Q4558" t="str">
        <f t="shared" si="145"/>
        <v/>
      </c>
      <c r="R4558" s="54" t="str">
        <f t="shared" si="146"/>
        <v/>
      </c>
    </row>
    <row r="4559" spans="17:18" x14ac:dyDescent="0.3">
      <c r="Q4559" t="str">
        <f t="shared" si="145"/>
        <v/>
      </c>
      <c r="R4559" s="54" t="str">
        <f t="shared" si="146"/>
        <v/>
      </c>
    </row>
    <row r="4560" spans="17:18" x14ac:dyDescent="0.3">
      <c r="Q4560" t="str">
        <f t="shared" si="145"/>
        <v/>
      </c>
      <c r="R4560" s="54" t="str">
        <f t="shared" si="146"/>
        <v/>
      </c>
    </row>
    <row r="4561" spans="17:18" x14ac:dyDescent="0.3">
      <c r="Q4561" t="str">
        <f t="shared" si="145"/>
        <v/>
      </c>
      <c r="R4561" s="54" t="str">
        <f t="shared" si="146"/>
        <v/>
      </c>
    </row>
    <row r="4562" spans="17:18" x14ac:dyDescent="0.3">
      <c r="Q4562" t="str">
        <f t="shared" si="145"/>
        <v/>
      </c>
      <c r="R4562" s="54" t="str">
        <f t="shared" si="146"/>
        <v/>
      </c>
    </row>
    <row r="4563" spans="17:18" x14ac:dyDescent="0.3">
      <c r="Q4563" t="str">
        <f t="shared" si="145"/>
        <v/>
      </c>
      <c r="R4563" s="54" t="str">
        <f t="shared" si="146"/>
        <v/>
      </c>
    </row>
    <row r="4564" spans="17:18" x14ac:dyDescent="0.3">
      <c r="Q4564" t="str">
        <f t="shared" si="145"/>
        <v/>
      </c>
      <c r="R4564" s="54" t="str">
        <f t="shared" si="146"/>
        <v/>
      </c>
    </row>
    <row r="4565" spans="17:18" x14ac:dyDescent="0.3">
      <c r="Q4565" t="str">
        <f t="shared" si="145"/>
        <v/>
      </c>
      <c r="R4565" s="54" t="str">
        <f t="shared" si="146"/>
        <v/>
      </c>
    </row>
    <row r="4566" spans="17:18" x14ac:dyDescent="0.3">
      <c r="Q4566" t="str">
        <f t="shared" si="145"/>
        <v/>
      </c>
      <c r="R4566" s="54" t="str">
        <f t="shared" si="146"/>
        <v/>
      </c>
    </row>
    <row r="4567" spans="17:18" x14ac:dyDescent="0.3">
      <c r="Q4567" t="str">
        <f t="shared" ref="Q4567:Q4630" si="147">IF(COUNTA(A4567:P4567)=0,"",IF(ISNUMBER(SEARCH("-AR-",E4581)),"Architectural",IF(ISNUMBER(SEARCH("-ST-",E4581)),"Structural",IF(ISNUMBER(SEARCH("-ME-",E4581)),"Mechanical",IF(ISNUMBER(SEARCH("-EL-",E4581)),"Electrical",IF(ISNUMBER(SEARCH("-GE-",E4581)),"General",IF(ISNUMBER(SEARCH("-AR-",D4581)),"Architectural",IF(ISNUMBER(SEARCH("-ST-",D4581)),"Structural",IF(ISNUMBER(SEARCH("-ME-",D4581)),"Mechanical",IF(ISNUMBER(SEARCH("-EL-",D4581)),"Electrical",IF(ISNUMBER(SEARCH("-GE-",D4581)),"General","Other")))))))))))</f>
        <v/>
      </c>
      <c r="R4567" s="54" t="str">
        <f t="shared" si="146"/>
        <v/>
      </c>
    </row>
    <row r="4568" spans="17:18" x14ac:dyDescent="0.3">
      <c r="Q4568" t="str">
        <f t="shared" si="147"/>
        <v/>
      </c>
      <c r="R4568" s="54" t="str">
        <f t="shared" si="146"/>
        <v/>
      </c>
    </row>
    <row r="4569" spans="17:18" x14ac:dyDescent="0.3">
      <c r="Q4569" t="str">
        <f t="shared" si="147"/>
        <v/>
      </c>
      <c r="R4569" s="54" t="str">
        <f t="shared" si="146"/>
        <v/>
      </c>
    </row>
    <row r="4570" spans="17:18" x14ac:dyDescent="0.3">
      <c r="Q4570" t="str">
        <f t="shared" si="147"/>
        <v/>
      </c>
      <c r="R4570" s="54" t="str">
        <f t="shared" si="146"/>
        <v/>
      </c>
    </row>
    <row r="4571" spans="17:18" x14ac:dyDescent="0.3">
      <c r="Q4571" t="str">
        <f t="shared" si="147"/>
        <v/>
      </c>
      <c r="R4571" s="54" t="str">
        <f t="shared" si="146"/>
        <v/>
      </c>
    </row>
    <row r="4572" spans="17:18" x14ac:dyDescent="0.3">
      <c r="Q4572" t="str">
        <f t="shared" si="147"/>
        <v/>
      </c>
      <c r="R4572" s="54" t="str">
        <f t="shared" si="146"/>
        <v/>
      </c>
    </row>
    <row r="4573" spans="17:18" x14ac:dyDescent="0.3">
      <c r="Q4573" t="str">
        <f t="shared" si="147"/>
        <v/>
      </c>
      <c r="R4573" s="54" t="str">
        <f t="shared" si="146"/>
        <v/>
      </c>
    </row>
    <row r="4574" spans="17:18" x14ac:dyDescent="0.3">
      <c r="Q4574" t="str">
        <f t="shared" si="147"/>
        <v/>
      </c>
      <c r="R4574" s="54" t="str">
        <f t="shared" si="146"/>
        <v/>
      </c>
    </row>
    <row r="4575" spans="17:18" x14ac:dyDescent="0.3">
      <c r="Q4575" t="str">
        <f t="shared" si="147"/>
        <v/>
      </c>
      <c r="R4575" s="54" t="str">
        <f t="shared" si="146"/>
        <v/>
      </c>
    </row>
    <row r="4576" spans="17:18" x14ac:dyDescent="0.3">
      <c r="Q4576" t="str">
        <f t="shared" si="147"/>
        <v/>
      </c>
      <c r="R4576" s="54" t="str">
        <f t="shared" si="146"/>
        <v/>
      </c>
    </row>
    <row r="4577" spans="17:18" x14ac:dyDescent="0.3">
      <c r="Q4577" t="str">
        <f t="shared" si="147"/>
        <v/>
      </c>
      <c r="R4577" s="54" t="str">
        <f t="shared" si="146"/>
        <v/>
      </c>
    </row>
    <row r="4578" spans="17:18" x14ac:dyDescent="0.3">
      <c r="Q4578" t="str">
        <f t="shared" si="147"/>
        <v/>
      </c>
      <c r="R4578" s="54" t="str">
        <f t="shared" si="146"/>
        <v/>
      </c>
    </row>
    <row r="4579" spans="17:18" x14ac:dyDescent="0.3">
      <c r="Q4579" t="str">
        <f t="shared" si="147"/>
        <v/>
      </c>
      <c r="R4579" s="54" t="str">
        <f t="shared" si="146"/>
        <v/>
      </c>
    </row>
    <row r="4580" spans="17:18" x14ac:dyDescent="0.3">
      <c r="Q4580" t="str">
        <f t="shared" si="147"/>
        <v/>
      </c>
      <c r="R4580" s="54" t="str">
        <f t="shared" si="146"/>
        <v/>
      </c>
    </row>
    <row r="4581" spans="17:18" x14ac:dyDescent="0.3">
      <c r="Q4581" t="str">
        <f t="shared" si="147"/>
        <v/>
      </c>
      <c r="R4581" s="54" t="str">
        <f t="shared" si="146"/>
        <v/>
      </c>
    </row>
    <row r="4582" spans="17:18" x14ac:dyDescent="0.3">
      <c r="Q4582" t="str">
        <f t="shared" si="147"/>
        <v/>
      </c>
      <c r="R4582" s="54" t="str">
        <f t="shared" si="146"/>
        <v/>
      </c>
    </row>
    <row r="4583" spans="17:18" x14ac:dyDescent="0.3">
      <c r="Q4583" t="str">
        <f t="shared" si="147"/>
        <v/>
      </c>
      <c r="R4583" s="54" t="str">
        <f t="shared" si="146"/>
        <v/>
      </c>
    </row>
    <row r="4584" spans="17:18" x14ac:dyDescent="0.3">
      <c r="Q4584" t="str">
        <f t="shared" si="147"/>
        <v/>
      </c>
      <c r="R4584" s="54" t="str">
        <f t="shared" si="146"/>
        <v/>
      </c>
    </row>
    <row r="4585" spans="17:18" x14ac:dyDescent="0.3">
      <c r="Q4585" t="str">
        <f t="shared" si="147"/>
        <v/>
      </c>
      <c r="R4585" s="54" t="str">
        <f t="shared" si="146"/>
        <v/>
      </c>
    </row>
    <row r="4586" spans="17:18" x14ac:dyDescent="0.3">
      <c r="Q4586" t="str">
        <f t="shared" si="147"/>
        <v/>
      </c>
      <c r="R4586" s="54" t="str">
        <f t="shared" si="146"/>
        <v/>
      </c>
    </row>
    <row r="4587" spans="17:18" x14ac:dyDescent="0.3">
      <c r="Q4587" t="str">
        <f t="shared" si="147"/>
        <v/>
      </c>
      <c r="R4587" s="54" t="str">
        <f t="shared" si="146"/>
        <v/>
      </c>
    </row>
    <row r="4588" spans="17:18" x14ac:dyDescent="0.3">
      <c r="Q4588" t="str">
        <f t="shared" si="147"/>
        <v/>
      </c>
      <c r="R4588" s="54" t="str">
        <f t="shared" si="146"/>
        <v/>
      </c>
    </row>
    <row r="4589" spans="17:18" x14ac:dyDescent="0.3">
      <c r="Q4589" t="str">
        <f t="shared" si="147"/>
        <v/>
      </c>
      <c r="R4589" s="54" t="str">
        <f t="shared" si="146"/>
        <v/>
      </c>
    </row>
    <row r="4590" spans="17:18" x14ac:dyDescent="0.3">
      <c r="Q4590" t="str">
        <f t="shared" si="147"/>
        <v/>
      </c>
      <c r="R4590" s="54" t="str">
        <f t="shared" si="146"/>
        <v/>
      </c>
    </row>
    <row r="4591" spans="17:18" x14ac:dyDescent="0.3">
      <c r="Q4591" t="str">
        <f t="shared" si="147"/>
        <v/>
      </c>
      <c r="R4591" s="54" t="str">
        <f t="shared" si="146"/>
        <v/>
      </c>
    </row>
    <row r="4592" spans="17:18" x14ac:dyDescent="0.3">
      <c r="Q4592" t="str">
        <f t="shared" si="147"/>
        <v/>
      </c>
      <c r="R4592" s="54" t="str">
        <f t="shared" si="146"/>
        <v/>
      </c>
    </row>
    <row r="4593" spans="17:18" x14ac:dyDescent="0.3">
      <c r="Q4593" t="str">
        <f t="shared" si="147"/>
        <v/>
      </c>
      <c r="R4593" s="54" t="str">
        <f t="shared" si="146"/>
        <v/>
      </c>
    </row>
    <row r="4594" spans="17:18" x14ac:dyDescent="0.3">
      <c r="Q4594" t="str">
        <f t="shared" si="147"/>
        <v/>
      </c>
      <c r="R4594" s="54" t="str">
        <f t="shared" si="146"/>
        <v/>
      </c>
    </row>
    <row r="4595" spans="17:18" x14ac:dyDescent="0.3">
      <c r="Q4595" t="str">
        <f t="shared" si="147"/>
        <v/>
      </c>
      <c r="R4595" s="54" t="str">
        <f t="shared" si="146"/>
        <v/>
      </c>
    </row>
    <row r="4596" spans="17:18" x14ac:dyDescent="0.3">
      <c r="Q4596" t="str">
        <f t="shared" si="147"/>
        <v/>
      </c>
      <c r="R4596" s="54" t="str">
        <f t="shared" si="146"/>
        <v/>
      </c>
    </row>
    <row r="4597" spans="17:18" x14ac:dyDescent="0.3">
      <c r="Q4597" t="str">
        <f t="shared" si="147"/>
        <v/>
      </c>
      <c r="R4597" s="54" t="str">
        <f t="shared" si="146"/>
        <v/>
      </c>
    </row>
    <row r="4598" spans="17:18" x14ac:dyDescent="0.3">
      <c r="Q4598" t="str">
        <f t="shared" si="147"/>
        <v/>
      </c>
      <c r="R4598" s="54" t="str">
        <f t="shared" si="146"/>
        <v/>
      </c>
    </row>
    <row r="4599" spans="17:18" x14ac:dyDescent="0.3">
      <c r="Q4599" t="str">
        <f t="shared" si="147"/>
        <v/>
      </c>
      <c r="R4599" s="54" t="str">
        <f t="shared" si="146"/>
        <v/>
      </c>
    </row>
    <row r="4600" spans="17:18" x14ac:dyDescent="0.3">
      <c r="Q4600" t="str">
        <f t="shared" si="147"/>
        <v/>
      </c>
      <c r="R4600" s="54" t="str">
        <f t="shared" si="146"/>
        <v/>
      </c>
    </row>
    <row r="4601" spans="17:18" x14ac:dyDescent="0.3">
      <c r="Q4601" t="str">
        <f t="shared" si="147"/>
        <v/>
      </c>
      <c r="R4601" s="54" t="str">
        <f t="shared" si="146"/>
        <v/>
      </c>
    </row>
    <row r="4602" spans="17:18" x14ac:dyDescent="0.3">
      <c r="Q4602" t="str">
        <f t="shared" si="147"/>
        <v/>
      </c>
      <c r="R4602" s="54" t="str">
        <f t="shared" si="146"/>
        <v/>
      </c>
    </row>
    <row r="4603" spans="17:18" x14ac:dyDescent="0.3">
      <c r="Q4603" t="str">
        <f t="shared" si="147"/>
        <v/>
      </c>
      <c r="R4603" s="54" t="str">
        <f t="shared" si="146"/>
        <v/>
      </c>
    </row>
    <row r="4604" spans="17:18" x14ac:dyDescent="0.3">
      <c r="Q4604" t="str">
        <f t="shared" si="147"/>
        <v/>
      </c>
      <c r="R4604" s="54" t="str">
        <f t="shared" si="146"/>
        <v/>
      </c>
    </row>
    <row r="4605" spans="17:18" x14ac:dyDescent="0.3">
      <c r="Q4605" t="str">
        <f t="shared" si="147"/>
        <v/>
      </c>
      <c r="R4605" s="54" t="str">
        <f t="shared" si="146"/>
        <v/>
      </c>
    </row>
    <row r="4606" spans="17:18" x14ac:dyDescent="0.3">
      <c r="Q4606" t="str">
        <f t="shared" si="147"/>
        <v/>
      </c>
      <c r="R4606" s="54" t="str">
        <f t="shared" si="146"/>
        <v/>
      </c>
    </row>
    <row r="4607" spans="17:18" x14ac:dyDescent="0.3">
      <c r="Q4607" t="str">
        <f t="shared" si="147"/>
        <v/>
      </c>
      <c r="R4607" s="54" t="str">
        <f t="shared" si="146"/>
        <v/>
      </c>
    </row>
    <row r="4608" spans="17:18" x14ac:dyDescent="0.3">
      <c r="Q4608" t="str">
        <f t="shared" si="147"/>
        <v/>
      </c>
      <c r="R4608" s="54" t="str">
        <f t="shared" si="146"/>
        <v/>
      </c>
    </row>
    <row r="4609" spans="17:18" x14ac:dyDescent="0.3">
      <c r="Q4609" t="str">
        <f t="shared" si="147"/>
        <v/>
      </c>
      <c r="R4609" s="54" t="str">
        <f t="shared" si="146"/>
        <v/>
      </c>
    </row>
    <row r="4610" spans="17:18" x14ac:dyDescent="0.3">
      <c r="Q4610" t="str">
        <f t="shared" si="147"/>
        <v/>
      </c>
      <c r="R4610" s="54" t="str">
        <f t="shared" si="146"/>
        <v/>
      </c>
    </row>
    <row r="4611" spans="17:18" x14ac:dyDescent="0.3">
      <c r="Q4611" t="str">
        <f t="shared" si="147"/>
        <v/>
      </c>
      <c r="R4611" s="54" t="str">
        <f t="shared" ref="R4611:R4674" si="148">IF(F4625="","",IFERROR(IF(ISNUMBER(F4625),F4625,DATEVALUE(F4625)),""))</f>
        <v/>
      </c>
    </row>
    <row r="4612" spans="17:18" x14ac:dyDescent="0.3">
      <c r="Q4612" t="str">
        <f t="shared" si="147"/>
        <v/>
      </c>
      <c r="R4612" s="54" t="str">
        <f t="shared" si="148"/>
        <v/>
      </c>
    </row>
    <row r="4613" spans="17:18" x14ac:dyDescent="0.3">
      <c r="Q4613" t="str">
        <f t="shared" si="147"/>
        <v/>
      </c>
      <c r="R4613" s="54" t="str">
        <f t="shared" si="148"/>
        <v/>
      </c>
    </row>
    <row r="4614" spans="17:18" x14ac:dyDescent="0.3">
      <c r="Q4614" t="str">
        <f t="shared" si="147"/>
        <v/>
      </c>
      <c r="R4614" s="54" t="str">
        <f t="shared" si="148"/>
        <v/>
      </c>
    </row>
    <row r="4615" spans="17:18" x14ac:dyDescent="0.3">
      <c r="Q4615" t="str">
        <f t="shared" si="147"/>
        <v/>
      </c>
      <c r="R4615" s="54" t="str">
        <f t="shared" si="148"/>
        <v/>
      </c>
    </row>
    <row r="4616" spans="17:18" x14ac:dyDescent="0.3">
      <c r="Q4616" t="str">
        <f t="shared" si="147"/>
        <v/>
      </c>
      <c r="R4616" s="54" t="str">
        <f t="shared" si="148"/>
        <v/>
      </c>
    </row>
    <row r="4617" spans="17:18" x14ac:dyDescent="0.3">
      <c r="Q4617" t="str">
        <f t="shared" si="147"/>
        <v/>
      </c>
      <c r="R4617" s="54" t="str">
        <f t="shared" si="148"/>
        <v/>
      </c>
    </row>
    <row r="4618" spans="17:18" x14ac:dyDescent="0.3">
      <c r="Q4618" t="str">
        <f t="shared" si="147"/>
        <v/>
      </c>
      <c r="R4618" s="54" t="str">
        <f t="shared" si="148"/>
        <v/>
      </c>
    </row>
    <row r="4619" spans="17:18" x14ac:dyDescent="0.3">
      <c r="Q4619" t="str">
        <f t="shared" si="147"/>
        <v/>
      </c>
      <c r="R4619" s="54" t="str">
        <f t="shared" si="148"/>
        <v/>
      </c>
    </row>
    <row r="4620" spans="17:18" x14ac:dyDescent="0.3">
      <c r="Q4620" t="str">
        <f t="shared" si="147"/>
        <v/>
      </c>
      <c r="R4620" s="54" t="str">
        <f t="shared" si="148"/>
        <v/>
      </c>
    </row>
    <row r="4621" spans="17:18" x14ac:dyDescent="0.3">
      <c r="Q4621" t="str">
        <f t="shared" si="147"/>
        <v/>
      </c>
      <c r="R4621" s="54" t="str">
        <f t="shared" si="148"/>
        <v/>
      </c>
    </row>
    <row r="4622" spans="17:18" x14ac:dyDescent="0.3">
      <c r="Q4622" t="str">
        <f t="shared" si="147"/>
        <v/>
      </c>
      <c r="R4622" s="54" t="str">
        <f t="shared" si="148"/>
        <v/>
      </c>
    </row>
    <row r="4623" spans="17:18" x14ac:dyDescent="0.3">
      <c r="Q4623" t="str">
        <f t="shared" si="147"/>
        <v/>
      </c>
      <c r="R4623" s="54" t="str">
        <f t="shared" si="148"/>
        <v/>
      </c>
    </row>
    <row r="4624" spans="17:18" x14ac:dyDescent="0.3">
      <c r="Q4624" t="str">
        <f t="shared" si="147"/>
        <v/>
      </c>
      <c r="R4624" s="54" t="str">
        <f t="shared" si="148"/>
        <v/>
      </c>
    </row>
    <row r="4625" spans="17:18" x14ac:dyDescent="0.3">
      <c r="Q4625" t="str">
        <f t="shared" si="147"/>
        <v/>
      </c>
      <c r="R4625" s="54" t="str">
        <f t="shared" si="148"/>
        <v/>
      </c>
    </row>
    <row r="4626" spans="17:18" x14ac:dyDescent="0.3">
      <c r="Q4626" t="str">
        <f t="shared" si="147"/>
        <v/>
      </c>
      <c r="R4626" s="54" t="str">
        <f t="shared" si="148"/>
        <v/>
      </c>
    </row>
    <row r="4627" spans="17:18" x14ac:dyDescent="0.3">
      <c r="Q4627" t="str">
        <f t="shared" si="147"/>
        <v/>
      </c>
      <c r="R4627" s="54" t="str">
        <f t="shared" si="148"/>
        <v/>
      </c>
    </row>
    <row r="4628" spans="17:18" x14ac:dyDescent="0.3">
      <c r="Q4628" t="str">
        <f t="shared" si="147"/>
        <v/>
      </c>
      <c r="R4628" s="54" t="str">
        <f t="shared" si="148"/>
        <v/>
      </c>
    </row>
    <row r="4629" spans="17:18" x14ac:dyDescent="0.3">
      <c r="Q4629" t="str">
        <f t="shared" si="147"/>
        <v/>
      </c>
      <c r="R4629" s="54" t="str">
        <f t="shared" si="148"/>
        <v/>
      </c>
    </row>
    <row r="4630" spans="17:18" x14ac:dyDescent="0.3">
      <c r="Q4630" t="str">
        <f t="shared" si="147"/>
        <v/>
      </c>
      <c r="R4630" s="54" t="str">
        <f t="shared" si="148"/>
        <v/>
      </c>
    </row>
    <row r="4631" spans="17:18" x14ac:dyDescent="0.3">
      <c r="Q4631" t="str">
        <f t="shared" ref="Q4631:Q4694" si="149">IF(COUNTA(A4631:P4631)=0,"",IF(ISNUMBER(SEARCH("-AR-",E4645)),"Architectural",IF(ISNUMBER(SEARCH("-ST-",E4645)),"Structural",IF(ISNUMBER(SEARCH("-ME-",E4645)),"Mechanical",IF(ISNUMBER(SEARCH("-EL-",E4645)),"Electrical",IF(ISNUMBER(SEARCH("-GE-",E4645)),"General",IF(ISNUMBER(SEARCH("-AR-",D4645)),"Architectural",IF(ISNUMBER(SEARCH("-ST-",D4645)),"Structural",IF(ISNUMBER(SEARCH("-ME-",D4645)),"Mechanical",IF(ISNUMBER(SEARCH("-EL-",D4645)),"Electrical",IF(ISNUMBER(SEARCH("-GE-",D4645)),"General","Other")))))))))))</f>
        <v/>
      </c>
      <c r="R4631" s="54" t="str">
        <f t="shared" si="148"/>
        <v/>
      </c>
    </row>
    <row r="4632" spans="17:18" x14ac:dyDescent="0.3">
      <c r="Q4632" t="str">
        <f t="shared" si="149"/>
        <v/>
      </c>
      <c r="R4632" s="54" t="str">
        <f t="shared" si="148"/>
        <v/>
      </c>
    </row>
    <row r="4633" spans="17:18" x14ac:dyDescent="0.3">
      <c r="Q4633" t="str">
        <f t="shared" si="149"/>
        <v/>
      </c>
      <c r="R4633" s="54" t="str">
        <f t="shared" si="148"/>
        <v/>
      </c>
    </row>
    <row r="4634" spans="17:18" x14ac:dyDescent="0.3">
      <c r="Q4634" t="str">
        <f t="shared" si="149"/>
        <v/>
      </c>
      <c r="R4634" s="54" t="str">
        <f t="shared" si="148"/>
        <v/>
      </c>
    </row>
    <row r="4635" spans="17:18" x14ac:dyDescent="0.3">
      <c r="Q4635" t="str">
        <f t="shared" si="149"/>
        <v/>
      </c>
      <c r="R4635" s="54" t="str">
        <f t="shared" si="148"/>
        <v/>
      </c>
    </row>
    <row r="4636" spans="17:18" x14ac:dyDescent="0.3">
      <c r="Q4636" t="str">
        <f t="shared" si="149"/>
        <v/>
      </c>
      <c r="R4636" s="54" t="str">
        <f t="shared" si="148"/>
        <v/>
      </c>
    </row>
    <row r="4637" spans="17:18" x14ac:dyDescent="0.3">
      <c r="Q4637" t="str">
        <f t="shared" si="149"/>
        <v/>
      </c>
      <c r="R4637" s="54" t="str">
        <f t="shared" si="148"/>
        <v/>
      </c>
    </row>
    <row r="4638" spans="17:18" x14ac:dyDescent="0.3">
      <c r="Q4638" t="str">
        <f t="shared" si="149"/>
        <v/>
      </c>
      <c r="R4638" s="54" t="str">
        <f t="shared" si="148"/>
        <v/>
      </c>
    </row>
    <row r="4639" spans="17:18" x14ac:dyDescent="0.3">
      <c r="Q4639" t="str">
        <f t="shared" si="149"/>
        <v/>
      </c>
      <c r="R4639" s="54" t="str">
        <f t="shared" si="148"/>
        <v/>
      </c>
    </row>
    <row r="4640" spans="17:18" x14ac:dyDescent="0.3">
      <c r="Q4640" t="str">
        <f t="shared" si="149"/>
        <v/>
      </c>
      <c r="R4640" s="54" t="str">
        <f t="shared" si="148"/>
        <v/>
      </c>
    </row>
    <row r="4641" spans="17:18" x14ac:dyDescent="0.3">
      <c r="Q4641" t="str">
        <f t="shared" si="149"/>
        <v/>
      </c>
      <c r="R4641" s="54" t="str">
        <f t="shared" si="148"/>
        <v/>
      </c>
    </row>
    <row r="4642" spans="17:18" x14ac:dyDescent="0.3">
      <c r="Q4642" t="str">
        <f t="shared" si="149"/>
        <v/>
      </c>
      <c r="R4642" s="54" t="str">
        <f t="shared" si="148"/>
        <v/>
      </c>
    </row>
    <row r="4643" spans="17:18" x14ac:dyDescent="0.3">
      <c r="Q4643" t="str">
        <f t="shared" si="149"/>
        <v/>
      </c>
      <c r="R4643" s="54" t="str">
        <f t="shared" si="148"/>
        <v/>
      </c>
    </row>
    <row r="4644" spans="17:18" x14ac:dyDescent="0.3">
      <c r="Q4644" t="str">
        <f t="shared" si="149"/>
        <v/>
      </c>
      <c r="R4644" s="54" t="str">
        <f t="shared" si="148"/>
        <v/>
      </c>
    </row>
    <row r="4645" spans="17:18" x14ac:dyDescent="0.3">
      <c r="Q4645" t="str">
        <f t="shared" si="149"/>
        <v/>
      </c>
      <c r="R4645" s="54" t="str">
        <f t="shared" si="148"/>
        <v/>
      </c>
    </row>
    <row r="4646" spans="17:18" x14ac:dyDescent="0.3">
      <c r="Q4646" t="str">
        <f t="shared" si="149"/>
        <v/>
      </c>
      <c r="R4646" s="54" t="str">
        <f t="shared" si="148"/>
        <v/>
      </c>
    </row>
    <row r="4647" spans="17:18" x14ac:dyDescent="0.3">
      <c r="Q4647" t="str">
        <f t="shared" si="149"/>
        <v/>
      </c>
      <c r="R4647" s="54" t="str">
        <f t="shared" si="148"/>
        <v/>
      </c>
    </row>
    <row r="4648" spans="17:18" x14ac:dyDescent="0.3">
      <c r="Q4648" t="str">
        <f t="shared" si="149"/>
        <v/>
      </c>
      <c r="R4648" s="54" t="str">
        <f t="shared" si="148"/>
        <v/>
      </c>
    </row>
    <row r="4649" spans="17:18" x14ac:dyDescent="0.3">
      <c r="Q4649" t="str">
        <f t="shared" si="149"/>
        <v/>
      </c>
      <c r="R4649" s="54" t="str">
        <f t="shared" si="148"/>
        <v/>
      </c>
    </row>
    <row r="4650" spans="17:18" x14ac:dyDescent="0.3">
      <c r="Q4650" t="str">
        <f t="shared" si="149"/>
        <v/>
      </c>
      <c r="R4650" s="54" t="str">
        <f t="shared" si="148"/>
        <v/>
      </c>
    </row>
    <row r="4651" spans="17:18" x14ac:dyDescent="0.3">
      <c r="Q4651" t="str">
        <f t="shared" si="149"/>
        <v/>
      </c>
      <c r="R4651" s="54" t="str">
        <f t="shared" si="148"/>
        <v/>
      </c>
    </row>
    <row r="4652" spans="17:18" x14ac:dyDescent="0.3">
      <c r="Q4652" t="str">
        <f t="shared" si="149"/>
        <v/>
      </c>
      <c r="R4652" s="54" t="str">
        <f t="shared" si="148"/>
        <v/>
      </c>
    </row>
    <row r="4653" spans="17:18" x14ac:dyDescent="0.3">
      <c r="Q4653" t="str">
        <f t="shared" si="149"/>
        <v/>
      </c>
      <c r="R4653" s="54" t="str">
        <f t="shared" si="148"/>
        <v/>
      </c>
    </row>
    <row r="4654" spans="17:18" x14ac:dyDescent="0.3">
      <c r="Q4654" t="str">
        <f t="shared" si="149"/>
        <v/>
      </c>
      <c r="R4654" s="54" t="str">
        <f t="shared" si="148"/>
        <v/>
      </c>
    </row>
    <row r="4655" spans="17:18" x14ac:dyDescent="0.3">
      <c r="Q4655" t="str">
        <f t="shared" si="149"/>
        <v/>
      </c>
      <c r="R4655" s="54" t="str">
        <f t="shared" si="148"/>
        <v/>
      </c>
    </row>
    <row r="4656" spans="17:18" x14ac:dyDescent="0.3">
      <c r="Q4656" t="str">
        <f t="shared" si="149"/>
        <v/>
      </c>
      <c r="R4656" s="54" t="str">
        <f t="shared" si="148"/>
        <v/>
      </c>
    </row>
    <row r="4657" spans="17:18" x14ac:dyDescent="0.3">
      <c r="Q4657" t="str">
        <f t="shared" si="149"/>
        <v/>
      </c>
      <c r="R4657" s="54" t="str">
        <f t="shared" si="148"/>
        <v/>
      </c>
    </row>
    <row r="4658" spans="17:18" x14ac:dyDescent="0.3">
      <c r="Q4658" t="str">
        <f t="shared" si="149"/>
        <v/>
      </c>
      <c r="R4658" s="54" t="str">
        <f t="shared" si="148"/>
        <v/>
      </c>
    </row>
    <row r="4659" spans="17:18" x14ac:dyDescent="0.3">
      <c r="Q4659" t="str">
        <f t="shared" si="149"/>
        <v/>
      </c>
      <c r="R4659" s="54" t="str">
        <f t="shared" si="148"/>
        <v/>
      </c>
    </row>
    <row r="4660" spans="17:18" x14ac:dyDescent="0.3">
      <c r="Q4660" t="str">
        <f t="shared" si="149"/>
        <v/>
      </c>
      <c r="R4660" s="54" t="str">
        <f t="shared" si="148"/>
        <v/>
      </c>
    </row>
    <row r="4661" spans="17:18" x14ac:dyDescent="0.3">
      <c r="Q4661" t="str">
        <f t="shared" si="149"/>
        <v/>
      </c>
      <c r="R4661" s="54" t="str">
        <f t="shared" si="148"/>
        <v/>
      </c>
    </row>
    <row r="4662" spans="17:18" x14ac:dyDescent="0.3">
      <c r="Q4662" t="str">
        <f t="shared" si="149"/>
        <v/>
      </c>
      <c r="R4662" s="54" t="str">
        <f t="shared" si="148"/>
        <v/>
      </c>
    </row>
    <row r="4663" spans="17:18" x14ac:dyDescent="0.3">
      <c r="Q4663" t="str">
        <f t="shared" si="149"/>
        <v/>
      </c>
      <c r="R4663" s="54" t="str">
        <f t="shared" si="148"/>
        <v/>
      </c>
    </row>
    <row r="4664" spans="17:18" x14ac:dyDescent="0.3">
      <c r="Q4664" t="str">
        <f t="shared" si="149"/>
        <v/>
      </c>
      <c r="R4664" s="54" t="str">
        <f t="shared" si="148"/>
        <v/>
      </c>
    </row>
    <row r="4665" spans="17:18" x14ac:dyDescent="0.3">
      <c r="Q4665" t="str">
        <f t="shared" si="149"/>
        <v/>
      </c>
      <c r="R4665" s="54" t="str">
        <f t="shared" si="148"/>
        <v/>
      </c>
    </row>
    <row r="4666" spans="17:18" x14ac:dyDescent="0.3">
      <c r="Q4666" t="str">
        <f t="shared" si="149"/>
        <v/>
      </c>
      <c r="R4666" s="54" t="str">
        <f t="shared" si="148"/>
        <v/>
      </c>
    </row>
    <row r="4667" spans="17:18" x14ac:dyDescent="0.3">
      <c r="Q4667" t="str">
        <f t="shared" si="149"/>
        <v/>
      </c>
      <c r="R4667" s="54" t="str">
        <f t="shared" si="148"/>
        <v/>
      </c>
    </row>
    <row r="4668" spans="17:18" x14ac:dyDescent="0.3">
      <c r="Q4668" t="str">
        <f t="shared" si="149"/>
        <v/>
      </c>
      <c r="R4668" s="54" t="str">
        <f t="shared" si="148"/>
        <v/>
      </c>
    </row>
    <row r="4669" spans="17:18" x14ac:dyDescent="0.3">
      <c r="Q4669" t="str">
        <f t="shared" si="149"/>
        <v/>
      </c>
      <c r="R4669" s="54" t="str">
        <f t="shared" si="148"/>
        <v/>
      </c>
    </row>
    <row r="4670" spans="17:18" x14ac:dyDescent="0.3">
      <c r="Q4670" t="str">
        <f t="shared" si="149"/>
        <v/>
      </c>
      <c r="R4670" s="54" t="str">
        <f t="shared" si="148"/>
        <v/>
      </c>
    </row>
    <row r="4671" spans="17:18" x14ac:dyDescent="0.3">
      <c r="Q4671" t="str">
        <f t="shared" si="149"/>
        <v/>
      </c>
      <c r="R4671" s="54" t="str">
        <f t="shared" si="148"/>
        <v/>
      </c>
    </row>
    <row r="4672" spans="17:18" x14ac:dyDescent="0.3">
      <c r="Q4672" t="str">
        <f t="shared" si="149"/>
        <v/>
      </c>
      <c r="R4672" s="54" t="str">
        <f t="shared" si="148"/>
        <v/>
      </c>
    </row>
    <row r="4673" spans="17:18" x14ac:dyDescent="0.3">
      <c r="Q4673" t="str">
        <f t="shared" si="149"/>
        <v/>
      </c>
      <c r="R4673" s="54" t="str">
        <f t="shared" si="148"/>
        <v/>
      </c>
    </row>
    <row r="4674" spans="17:18" x14ac:dyDescent="0.3">
      <c r="Q4674" t="str">
        <f t="shared" si="149"/>
        <v/>
      </c>
      <c r="R4674" s="54" t="str">
        <f t="shared" si="148"/>
        <v/>
      </c>
    </row>
    <row r="4675" spans="17:18" x14ac:dyDescent="0.3">
      <c r="Q4675" t="str">
        <f t="shared" si="149"/>
        <v/>
      </c>
      <c r="R4675" s="54" t="str">
        <f t="shared" ref="R4675:R4738" si="150">IF(F4689="","",IFERROR(IF(ISNUMBER(F4689),F4689,DATEVALUE(F4689)),""))</f>
        <v/>
      </c>
    </row>
    <row r="4676" spans="17:18" x14ac:dyDescent="0.3">
      <c r="Q4676" t="str">
        <f t="shared" si="149"/>
        <v/>
      </c>
      <c r="R4676" s="54" t="str">
        <f t="shared" si="150"/>
        <v/>
      </c>
    </row>
    <row r="4677" spans="17:18" x14ac:dyDescent="0.3">
      <c r="Q4677" t="str">
        <f t="shared" si="149"/>
        <v/>
      </c>
      <c r="R4677" s="54" t="str">
        <f t="shared" si="150"/>
        <v/>
      </c>
    </row>
    <row r="4678" spans="17:18" x14ac:dyDescent="0.3">
      <c r="Q4678" t="str">
        <f t="shared" si="149"/>
        <v/>
      </c>
      <c r="R4678" s="54" t="str">
        <f t="shared" si="150"/>
        <v/>
      </c>
    </row>
    <row r="4679" spans="17:18" x14ac:dyDescent="0.3">
      <c r="Q4679" t="str">
        <f t="shared" si="149"/>
        <v/>
      </c>
      <c r="R4679" s="54" t="str">
        <f t="shared" si="150"/>
        <v/>
      </c>
    </row>
    <row r="4680" spans="17:18" x14ac:dyDescent="0.3">
      <c r="Q4680" t="str">
        <f t="shared" si="149"/>
        <v/>
      </c>
      <c r="R4680" s="54" t="str">
        <f t="shared" si="150"/>
        <v/>
      </c>
    </row>
    <row r="4681" spans="17:18" x14ac:dyDescent="0.3">
      <c r="Q4681" t="str">
        <f t="shared" si="149"/>
        <v/>
      </c>
      <c r="R4681" s="54" t="str">
        <f t="shared" si="150"/>
        <v/>
      </c>
    </row>
    <row r="4682" spans="17:18" x14ac:dyDescent="0.3">
      <c r="Q4682" t="str">
        <f t="shared" si="149"/>
        <v/>
      </c>
      <c r="R4682" s="54" t="str">
        <f t="shared" si="150"/>
        <v/>
      </c>
    </row>
    <row r="4683" spans="17:18" x14ac:dyDescent="0.3">
      <c r="Q4683" t="str">
        <f t="shared" si="149"/>
        <v/>
      </c>
      <c r="R4683" s="54" t="str">
        <f t="shared" si="150"/>
        <v/>
      </c>
    </row>
    <row r="4684" spans="17:18" x14ac:dyDescent="0.3">
      <c r="Q4684" t="str">
        <f t="shared" si="149"/>
        <v/>
      </c>
      <c r="R4684" s="54" t="str">
        <f t="shared" si="150"/>
        <v/>
      </c>
    </row>
    <row r="4685" spans="17:18" x14ac:dyDescent="0.3">
      <c r="Q4685" t="str">
        <f t="shared" si="149"/>
        <v/>
      </c>
      <c r="R4685" s="54" t="str">
        <f t="shared" si="150"/>
        <v/>
      </c>
    </row>
    <row r="4686" spans="17:18" x14ac:dyDescent="0.3">
      <c r="Q4686" t="str">
        <f t="shared" si="149"/>
        <v/>
      </c>
      <c r="R4686" s="54" t="str">
        <f t="shared" si="150"/>
        <v/>
      </c>
    </row>
    <row r="4687" spans="17:18" x14ac:dyDescent="0.3">
      <c r="Q4687" t="str">
        <f t="shared" si="149"/>
        <v/>
      </c>
      <c r="R4687" s="54" t="str">
        <f t="shared" si="150"/>
        <v/>
      </c>
    </row>
    <row r="4688" spans="17:18" x14ac:dyDescent="0.3">
      <c r="Q4688" t="str">
        <f t="shared" si="149"/>
        <v/>
      </c>
      <c r="R4688" s="54" t="str">
        <f t="shared" si="150"/>
        <v/>
      </c>
    </row>
    <row r="4689" spans="17:18" x14ac:dyDescent="0.3">
      <c r="Q4689" t="str">
        <f t="shared" si="149"/>
        <v/>
      </c>
      <c r="R4689" s="54" t="str">
        <f t="shared" si="150"/>
        <v/>
      </c>
    </row>
    <row r="4690" spans="17:18" x14ac:dyDescent="0.3">
      <c r="Q4690" t="str">
        <f t="shared" si="149"/>
        <v/>
      </c>
      <c r="R4690" s="54" t="str">
        <f t="shared" si="150"/>
        <v/>
      </c>
    </row>
    <row r="4691" spans="17:18" x14ac:dyDescent="0.3">
      <c r="Q4691" t="str">
        <f t="shared" si="149"/>
        <v/>
      </c>
      <c r="R4691" s="54" t="str">
        <f t="shared" si="150"/>
        <v/>
      </c>
    </row>
    <row r="4692" spans="17:18" x14ac:dyDescent="0.3">
      <c r="Q4692" t="str">
        <f t="shared" si="149"/>
        <v/>
      </c>
      <c r="R4692" s="54" t="str">
        <f t="shared" si="150"/>
        <v/>
      </c>
    </row>
    <row r="4693" spans="17:18" x14ac:dyDescent="0.3">
      <c r="Q4693" t="str">
        <f t="shared" si="149"/>
        <v/>
      </c>
      <c r="R4693" s="54" t="str">
        <f t="shared" si="150"/>
        <v/>
      </c>
    </row>
    <row r="4694" spans="17:18" x14ac:dyDescent="0.3">
      <c r="Q4694" t="str">
        <f t="shared" si="149"/>
        <v/>
      </c>
      <c r="R4694" s="54" t="str">
        <f t="shared" si="150"/>
        <v/>
      </c>
    </row>
    <row r="4695" spans="17:18" x14ac:dyDescent="0.3">
      <c r="Q4695" t="str">
        <f t="shared" ref="Q4695:Q4758" si="151">IF(COUNTA(A4695:P4695)=0,"",IF(ISNUMBER(SEARCH("-AR-",E4709)),"Architectural",IF(ISNUMBER(SEARCH("-ST-",E4709)),"Structural",IF(ISNUMBER(SEARCH("-ME-",E4709)),"Mechanical",IF(ISNUMBER(SEARCH("-EL-",E4709)),"Electrical",IF(ISNUMBER(SEARCH("-GE-",E4709)),"General",IF(ISNUMBER(SEARCH("-AR-",D4709)),"Architectural",IF(ISNUMBER(SEARCH("-ST-",D4709)),"Structural",IF(ISNUMBER(SEARCH("-ME-",D4709)),"Mechanical",IF(ISNUMBER(SEARCH("-EL-",D4709)),"Electrical",IF(ISNUMBER(SEARCH("-GE-",D4709)),"General","Other")))))))))))</f>
        <v/>
      </c>
      <c r="R4695" s="54" t="str">
        <f t="shared" si="150"/>
        <v/>
      </c>
    </row>
    <row r="4696" spans="17:18" x14ac:dyDescent="0.3">
      <c r="Q4696" t="str">
        <f t="shared" si="151"/>
        <v/>
      </c>
      <c r="R4696" s="54" t="str">
        <f t="shared" si="150"/>
        <v/>
      </c>
    </row>
    <row r="4697" spans="17:18" x14ac:dyDescent="0.3">
      <c r="Q4697" t="str">
        <f t="shared" si="151"/>
        <v/>
      </c>
      <c r="R4697" s="54" t="str">
        <f t="shared" si="150"/>
        <v/>
      </c>
    </row>
    <row r="4698" spans="17:18" x14ac:dyDescent="0.3">
      <c r="Q4698" t="str">
        <f t="shared" si="151"/>
        <v/>
      </c>
      <c r="R4698" s="54" t="str">
        <f t="shared" si="150"/>
        <v/>
      </c>
    </row>
    <row r="4699" spans="17:18" x14ac:dyDescent="0.3">
      <c r="Q4699" t="str">
        <f t="shared" si="151"/>
        <v/>
      </c>
      <c r="R4699" s="54" t="str">
        <f t="shared" si="150"/>
        <v/>
      </c>
    </row>
    <row r="4700" spans="17:18" x14ac:dyDescent="0.3">
      <c r="Q4700" t="str">
        <f t="shared" si="151"/>
        <v/>
      </c>
      <c r="R4700" s="54" t="str">
        <f t="shared" si="150"/>
        <v/>
      </c>
    </row>
    <row r="4701" spans="17:18" x14ac:dyDescent="0.3">
      <c r="Q4701" t="str">
        <f t="shared" si="151"/>
        <v/>
      </c>
      <c r="R4701" s="54" t="str">
        <f t="shared" si="150"/>
        <v/>
      </c>
    </row>
    <row r="4702" spans="17:18" x14ac:dyDescent="0.3">
      <c r="Q4702" t="str">
        <f t="shared" si="151"/>
        <v/>
      </c>
      <c r="R4702" s="54" t="str">
        <f t="shared" si="150"/>
        <v/>
      </c>
    </row>
    <row r="4703" spans="17:18" x14ac:dyDescent="0.3">
      <c r="Q4703" t="str">
        <f t="shared" si="151"/>
        <v/>
      </c>
      <c r="R4703" s="54" t="str">
        <f t="shared" si="150"/>
        <v/>
      </c>
    </row>
    <row r="4704" spans="17:18" x14ac:dyDescent="0.3">
      <c r="Q4704" t="str">
        <f t="shared" si="151"/>
        <v/>
      </c>
      <c r="R4704" s="54" t="str">
        <f t="shared" si="150"/>
        <v/>
      </c>
    </row>
    <row r="4705" spans="17:18" x14ac:dyDescent="0.3">
      <c r="Q4705" t="str">
        <f t="shared" si="151"/>
        <v/>
      </c>
      <c r="R4705" s="54" t="str">
        <f t="shared" si="150"/>
        <v/>
      </c>
    </row>
    <row r="4706" spans="17:18" x14ac:dyDescent="0.3">
      <c r="Q4706" t="str">
        <f t="shared" si="151"/>
        <v/>
      </c>
      <c r="R4706" s="54" t="str">
        <f t="shared" si="150"/>
        <v/>
      </c>
    </row>
    <row r="4707" spans="17:18" x14ac:dyDescent="0.3">
      <c r="Q4707" t="str">
        <f t="shared" si="151"/>
        <v/>
      </c>
      <c r="R4707" s="54" t="str">
        <f t="shared" si="150"/>
        <v/>
      </c>
    </row>
    <row r="4708" spans="17:18" x14ac:dyDescent="0.3">
      <c r="Q4708" t="str">
        <f t="shared" si="151"/>
        <v/>
      </c>
      <c r="R4708" s="54" t="str">
        <f t="shared" si="150"/>
        <v/>
      </c>
    </row>
    <row r="4709" spans="17:18" x14ac:dyDescent="0.3">
      <c r="Q4709" t="str">
        <f t="shared" si="151"/>
        <v/>
      </c>
      <c r="R4709" s="54" t="str">
        <f t="shared" si="150"/>
        <v/>
      </c>
    </row>
    <row r="4710" spans="17:18" x14ac:dyDescent="0.3">
      <c r="Q4710" t="str">
        <f t="shared" si="151"/>
        <v/>
      </c>
      <c r="R4710" s="54" t="str">
        <f t="shared" si="150"/>
        <v/>
      </c>
    </row>
    <row r="4711" spans="17:18" x14ac:dyDescent="0.3">
      <c r="Q4711" t="str">
        <f t="shared" si="151"/>
        <v/>
      </c>
      <c r="R4711" s="54" t="str">
        <f t="shared" si="150"/>
        <v/>
      </c>
    </row>
    <row r="4712" spans="17:18" x14ac:dyDescent="0.3">
      <c r="Q4712" t="str">
        <f t="shared" si="151"/>
        <v/>
      </c>
      <c r="R4712" s="54" t="str">
        <f t="shared" si="150"/>
        <v/>
      </c>
    </row>
    <row r="4713" spans="17:18" x14ac:dyDescent="0.3">
      <c r="Q4713" t="str">
        <f t="shared" si="151"/>
        <v/>
      </c>
      <c r="R4713" s="54" t="str">
        <f t="shared" si="150"/>
        <v/>
      </c>
    </row>
    <row r="4714" spans="17:18" x14ac:dyDescent="0.3">
      <c r="Q4714" t="str">
        <f t="shared" si="151"/>
        <v/>
      </c>
      <c r="R4714" s="54" t="str">
        <f t="shared" si="150"/>
        <v/>
      </c>
    </row>
    <row r="4715" spans="17:18" x14ac:dyDescent="0.3">
      <c r="Q4715" t="str">
        <f t="shared" si="151"/>
        <v/>
      </c>
      <c r="R4715" s="54" t="str">
        <f t="shared" si="150"/>
        <v/>
      </c>
    </row>
    <row r="4716" spans="17:18" x14ac:dyDescent="0.3">
      <c r="Q4716" t="str">
        <f t="shared" si="151"/>
        <v/>
      </c>
      <c r="R4716" s="54" t="str">
        <f t="shared" si="150"/>
        <v/>
      </c>
    </row>
    <row r="4717" spans="17:18" x14ac:dyDescent="0.3">
      <c r="Q4717" t="str">
        <f t="shared" si="151"/>
        <v/>
      </c>
      <c r="R4717" s="54" t="str">
        <f t="shared" si="150"/>
        <v/>
      </c>
    </row>
    <row r="4718" spans="17:18" x14ac:dyDescent="0.3">
      <c r="Q4718" t="str">
        <f t="shared" si="151"/>
        <v/>
      </c>
      <c r="R4718" s="54" t="str">
        <f t="shared" si="150"/>
        <v/>
      </c>
    </row>
    <row r="4719" spans="17:18" x14ac:dyDescent="0.3">
      <c r="Q4719" t="str">
        <f t="shared" si="151"/>
        <v/>
      </c>
      <c r="R4719" s="54" t="str">
        <f t="shared" si="150"/>
        <v/>
      </c>
    </row>
    <row r="4720" spans="17:18" x14ac:dyDescent="0.3">
      <c r="Q4720" t="str">
        <f t="shared" si="151"/>
        <v/>
      </c>
      <c r="R4720" s="54" t="str">
        <f t="shared" si="150"/>
        <v/>
      </c>
    </row>
    <row r="4721" spans="17:18" x14ac:dyDescent="0.3">
      <c r="Q4721" t="str">
        <f t="shared" si="151"/>
        <v/>
      </c>
      <c r="R4721" s="54" t="str">
        <f t="shared" si="150"/>
        <v/>
      </c>
    </row>
    <row r="4722" spans="17:18" x14ac:dyDescent="0.3">
      <c r="Q4722" t="str">
        <f t="shared" si="151"/>
        <v/>
      </c>
      <c r="R4722" s="54" t="str">
        <f t="shared" si="150"/>
        <v/>
      </c>
    </row>
    <row r="4723" spans="17:18" x14ac:dyDescent="0.3">
      <c r="Q4723" t="str">
        <f t="shared" si="151"/>
        <v/>
      </c>
      <c r="R4723" s="54" t="str">
        <f t="shared" si="150"/>
        <v/>
      </c>
    </row>
    <row r="4724" spans="17:18" x14ac:dyDescent="0.3">
      <c r="Q4724" t="str">
        <f t="shared" si="151"/>
        <v/>
      </c>
      <c r="R4724" s="54" t="str">
        <f t="shared" si="150"/>
        <v/>
      </c>
    </row>
    <row r="4725" spans="17:18" x14ac:dyDescent="0.3">
      <c r="Q4725" t="str">
        <f t="shared" si="151"/>
        <v/>
      </c>
      <c r="R4725" s="54" t="str">
        <f t="shared" si="150"/>
        <v/>
      </c>
    </row>
    <row r="4726" spans="17:18" x14ac:dyDescent="0.3">
      <c r="Q4726" t="str">
        <f t="shared" si="151"/>
        <v/>
      </c>
      <c r="R4726" s="54" t="str">
        <f t="shared" si="150"/>
        <v/>
      </c>
    </row>
    <row r="4727" spans="17:18" x14ac:dyDescent="0.3">
      <c r="Q4727" t="str">
        <f t="shared" si="151"/>
        <v/>
      </c>
      <c r="R4727" s="54" t="str">
        <f t="shared" si="150"/>
        <v/>
      </c>
    </row>
    <row r="4728" spans="17:18" x14ac:dyDescent="0.3">
      <c r="Q4728" t="str">
        <f t="shared" si="151"/>
        <v/>
      </c>
      <c r="R4728" s="54" t="str">
        <f t="shared" si="150"/>
        <v/>
      </c>
    </row>
    <row r="4729" spans="17:18" x14ac:dyDescent="0.3">
      <c r="Q4729" t="str">
        <f t="shared" si="151"/>
        <v/>
      </c>
      <c r="R4729" s="54" t="str">
        <f t="shared" si="150"/>
        <v/>
      </c>
    </row>
    <row r="4730" spans="17:18" x14ac:dyDescent="0.3">
      <c r="Q4730" t="str">
        <f t="shared" si="151"/>
        <v/>
      </c>
      <c r="R4730" s="54" t="str">
        <f t="shared" si="150"/>
        <v/>
      </c>
    </row>
    <row r="4731" spans="17:18" x14ac:dyDescent="0.3">
      <c r="Q4731" t="str">
        <f t="shared" si="151"/>
        <v/>
      </c>
      <c r="R4731" s="54" t="str">
        <f t="shared" si="150"/>
        <v/>
      </c>
    </row>
    <row r="4732" spans="17:18" x14ac:dyDescent="0.3">
      <c r="Q4732" t="str">
        <f t="shared" si="151"/>
        <v/>
      </c>
      <c r="R4732" s="54" t="str">
        <f t="shared" si="150"/>
        <v/>
      </c>
    </row>
    <row r="4733" spans="17:18" x14ac:dyDescent="0.3">
      <c r="Q4733" t="str">
        <f t="shared" si="151"/>
        <v/>
      </c>
      <c r="R4733" s="54" t="str">
        <f t="shared" si="150"/>
        <v/>
      </c>
    </row>
    <row r="4734" spans="17:18" x14ac:dyDescent="0.3">
      <c r="Q4734" t="str">
        <f t="shared" si="151"/>
        <v/>
      </c>
      <c r="R4734" s="54" t="str">
        <f t="shared" si="150"/>
        <v/>
      </c>
    </row>
    <row r="4735" spans="17:18" x14ac:dyDescent="0.3">
      <c r="Q4735" t="str">
        <f t="shared" si="151"/>
        <v/>
      </c>
      <c r="R4735" s="54" t="str">
        <f t="shared" si="150"/>
        <v/>
      </c>
    </row>
    <row r="4736" spans="17:18" x14ac:dyDescent="0.3">
      <c r="Q4736" t="str">
        <f t="shared" si="151"/>
        <v/>
      </c>
      <c r="R4736" s="54" t="str">
        <f t="shared" si="150"/>
        <v/>
      </c>
    </row>
    <row r="4737" spans="17:18" x14ac:dyDescent="0.3">
      <c r="Q4737" t="str">
        <f t="shared" si="151"/>
        <v/>
      </c>
      <c r="R4737" s="54" t="str">
        <f t="shared" si="150"/>
        <v/>
      </c>
    </row>
    <row r="4738" spans="17:18" x14ac:dyDescent="0.3">
      <c r="Q4738" t="str">
        <f t="shared" si="151"/>
        <v/>
      </c>
      <c r="R4738" s="54" t="str">
        <f t="shared" si="150"/>
        <v/>
      </c>
    </row>
    <row r="4739" spans="17:18" x14ac:dyDescent="0.3">
      <c r="Q4739" t="str">
        <f t="shared" si="151"/>
        <v/>
      </c>
      <c r="R4739" s="54" t="str">
        <f t="shared" ref="R4739:R4802" si="152">IF(F4753="","",IFERROR(IF(ISNUMBER(F4753),F4753,DATEVALUE(F4753)),""))</f>
        <v/>
      </c>
    </row>
    <row r="4740" spans="17:18" x14ac:dyDescent="0.3">
      <c r="Q4740" t="str">
        <f t="shared" si="151"/>
        <v/>
      </c>
      <c r="R4740" s="54" t="str">
        <f t="shared" si="152"/>
        <v/>
      </c>
    </row>
    <row r="4741" spans="17:18" x14ac:dyDescent="0.3">
      <c r="Q4741" t="str">
        <f t="shared" si="151"/>
        <v/>
      </c>
      <c r="R4741" s="54" t="str">
        <f t="shared" si="152"/>
        <v/>
      </c>
    </row>
    <row r="4742" spans="17:18" x14ac:dyDescent="0.3">
      <c r="Q4742" t="str">
        <f t="shared" si="151"/>
        <v/>
      </c>
      <c r="R4742" s="54" t="str">
        <f t="shared" si="152"/>
        <v/>
      </c>
    </row>
    <row r="4743" spans="17:18" x14ac:dyDescent="0.3">
      <c r="Q4743" t="str">
        <f t="shared" si="151"/>
        <v/>
      </c>
      <c r="R4743" s="54" t="str">
        <f t="shared" si="152"/>
        <v/>
      </c>
    </row>
    <row r="4744" spans="17:18" x14ac:dyDescent="0.3">
      <c r="Q4744" t="str">
        <f t="shared" si="151"/>
        <v/>
      </c>
      <c r="R4744" s="54" t="str">
        <f t="shared" si="152"/>
        <v/>
      </c>
    </row>
    <row r="4745" spans="17:18" x14ac:dyDescent="0.3">
      <c r="Q4745" t="str">
        <f t="shared" si="151"/>
        <v/>
      </c>
      <c r="R4745" s="54" t="str">
        <f t="shared" si="152"/>
        <v/>
      </c>
    </row>
    <row r="4746" spans="17:18" x14ac:dyDescent="0.3">
      <c r="Q4746" t="str">
        <f t="shared" si="151"/>
        <v/>
      </c>
      <c r="R4746" s="54" t="str">
        <f t="shared" si="152"/>
        <v/>
      </c>
    </row>
    <row r="4747" spans="17:18" x14ac:dyDescent="0.3">
      <c r="Q4747" t="str">
        <f t="shared" si="151"/>
        <v/>
      </c>
      <c r="R4747" s="54" t="str">
        <f t="shared" si="152"/>
        <v/>
      </c>
    </row>
    <row r="4748" spans="17:18" x14ac:dyDescent="0.3">
      <c r="Q4748" t="str">
        <f t="shared" si="151"/>
        <v/>
      </c>
      <c r="R4748" s="54" t="str">
        <f t="shared" si="152"/>
        <v/>
      </c>
    </row>
    <row r="4749" spans="17:18" x14ac:dyDescent="0.3">
      <c r="Q4749" t="str">
        <f t="shared" si="151"/>
        <v/>
      </c>
      <c r="R4749" s="54" t="str">
        <f t="shared" si="152"/>
        <v/>
      </c>
    </row>
    <row r="4750" spans="17:18" x14ac:dyDescent="0.3">
      <c r="Q4750" t="str">
        <f t="shared" si="151"/>
        <v/>
      </c>
      <c r="R4750" s="54" t="str">
        <f t="shared" si="152"/>
        <v/>
      </c>
    </row>
    <row r="4751" spans="17:18" x14ac:dyDescent="0.3">
      <c r="Q4751" t="str">
        <f t="shared" si="151"/>
        <v/>
      </c>
      <c r="R4751" s="54" t="str">
        <f t="shared" si="152"/>
        <v/>
      </c>
    </row>
    <row r="4752" spans="17:18" x14ac:dyDescent="0.3">
      <c r="Q4752" t="str">
        <f t="shared" si="151"/>
        <v/>
      </c>
      <c r="R4752" s="54" t="str">
        <f t="shared" si="152"/>
        <v/>
      </c>
    </row>
    <row r="4753" spans="17:18" x14ac:dyDescent="0.3">
      <c r="Q4753" t="str">
        <f t="shared" si="151"/>
        <v/>
      </c>
      <c r="R4753" s="54" t="str">
        <f t="shared" si="152"/>
        <v/>
      </c>
    </row>
    <row r="4754" spans="17:18" x14ac:dyDescent="0.3">
      <c r="Q4754" t="str">
        <f t="shared" si="151"/>
        <v/>
      </c>
      <c r="R4754" s="54" t="str">
        <f t="shared" si="152"/>
        <v/>
      </c>
    </row>
    <row r="4755" spans="17:18" x14ac:dyDescent="0.3">
      <c r="Q4755" t="str">
        <f t="shared" si="151"/>
        <v/>
      </c>
      <c r="R4755" s="54" t="str">
        <f t="shared" si="152"/>
        <v/>
      </c>
    </row>
    <row r="4756" spans="17:18" x14ac:dyDescent="0.3">
      <c r="Q4756" t="str">
        <f t="shared" si="151"/>
        <v/>
      </c>
      <c r="R4756" s="54" t="str">
        <f t="shared" si="152"/>
        <v/>
      </c>
    </row>
    <row r="4757" spans="17:18" x14ac:dyDescent="0.3">
      <c r="Q4757" t="str">
        <f t="shared" si="151"/>
        <v/>
      </c>
      <c r="R4757" s="54" t="str">
        <f t="shared" si="152"/>
        <v/>
      </c>
    </row>
    <row r="4758" spans="17:18" x14ac:dyDescent="0.3">
      <c r="Q4758" t="str">
        <f t="shared" si="151"/>
        <v/>
      </c>
      <c r="R4758" s="54" t="str">
        <f t="shared" si="152"/>
        <v/>
      </c>
    </row>
    <row r="4759" spans="17:18" x14ac:dyDescent="0.3">
      <c r="Q4759" t="str">
        <f t="shared" ref="Q4759:Q4822" si="153">IF(COUNTA(A4759:P4759)=0,"",IF(ISNUMBER(SEARCH("-AR-",E4773)),"Architectural",IF(ISNUMBER(SEARCH("-ST-",E4773)),"Structural",IF(ISNUMBER(SEARCH("-ME-",E4773)),"Mechanical",IF(ISNUMBER(SEARCH("-EL-",E4773)),"Electrical",IF(ISNUMBER(SEARCH("-GE-",E4773)),"General",IF(ISNUMBER(SEARCH("-AR-",D4773)),"Architectural",IF(ISNUMBER(SEARCH("-ST-",D4773)),"Structural",IF(ISNUMBER(SEARCH("-ME-",D4773)),"Mechanical",IF(ISNUMBER(SEARCH("-EL-",D4773)),"Electrical",IF(ISNUMBER(SEARCH("-GE-",D4773)),"General","Other")))))))))))</f>
        <v/>
      </c>
      <c r="R4759" s="54" t="str">
        <f t="shared" si="152"/>
        <v/>
      </c>
    </row>
    <row r="4760" spans="17:18" x14ac:dyDescent="0.3">
      <c r="Q4760" t="str">
        <f t="shared" si="153"/>
        <v/>
      </c>
      <c r="R4760" s="54" t="str">
        <f t="shared" si="152"/>
        <v/>
      </c>
    </row>
    <row r="4761" spans="17:18" x14ac:dyDescent="0.3">
      <c r="Q4761" t="str">
        <f t="shared" si="153"/>
        <v/>
      </c>
      <c r="R4761" s="54" t="str">
        <f t="shared" si="152"/>
        <v/>
      </c>
    </row>
    <row r="4762" spans="17:18" x14ac:dyDescent="0.3">
      <c r="Q4762" t="str">
        <f t="shared" si="153"/>
        <v/>
      </c>
      <c r="R4762" s="54" t="str">
        <f t="shared" si="152"/>
        <v/>
      </c>
    </row>
    <row r="4763" spans="17:18" x14ac:dyDescent="0.3">
      <c r="Q4763" t="str">
        <f t="shared" si="153"/>
        <v/>
      </c>
      <c r="R4763" s="54" t="str">
        <f t="shared" si="152"/>
        <v/>
      </c>
    </row>
    <row r="4764" spans="17:18" x14ac:dyDescent="0.3">
      <c r="Q4764" t="str">
        <f t="shared" si="153"/>
        <v/>
      </c>
      <c r="R4764" s="54" t="str">
        <f t="shared" si="152"/>
        <v/>
      </c>
    </row>
    <row r="4765" spans="17:18" x14ac:dyDescent="0.3">
      <c r="Q4765" t="str">
        <f t="shared" si="153"/>
        <v/>
      </c>
      <c r="R4765" s="54" t="str">
        <f t="shared" si="152"/>
        <v/>
      </c>
    </row>
    <row r="4766" spans="17:18" x14ac:dyDescent="0.3">
      <c r="Q4766" t="str">
        <f t="shared" si="153"/>
        <v/>
      </c>
      <c r="R4766" s="54" t="str">
        <f t="shared" si="152"/>
        <v/>
      </c>
    </row>
    <row r="4767" spans="17:18" x14ac:dyDescent="0.3">
      <c r="Q4767" t="str">
        <f t="shared" si="153"/>
        <v/>
      </c>
      <c r="R4767" s="54" t="str">
        <f t="shared" si="152"/>
        <v/>
      </c>
    </row>
    <row r="4768" spans="17:18" x14ac:dyDescent="0.3">
      <c r="Q4768" t="str">
        <f t="shared" si="153"/>
        <v/>
      </c>
      <c r="R4768" s="54" t="str">
        <f t="shared" si="152"/>
        <v/>
      </c>
    </row>
    <row r="4769" spans="17:18" x14ac:dyDescent="0.3">
      <c r="Q4769" t="str">
        <f t="shared" si="153"/>
        <v/>
      </c>
      <c r="R4769" s="54" t="str">
        <f t="shared" si="152"/>
        <v/>
      </c>
    </row>
    <row r="4770" spans="17:18" x14ac:dyDescent="0.3">
      <c r="Q4770" t="str">
        <f t="shared" si="153"/>
        <v/>
      </c>
      <c r="R4770" s="54" t="str">
        <f t="shared" si="152"/>
        <v/>
      </c>
    </row>
    <row r="4771" spans="17:18" x14ac:dyDescent="0.3">
      <c r="Q4771" t="str">
        <f t="shared" si="153"/>
        <v/>
      </c>
      <c r="R4771" s="54" t="str">
        <f t="shared" si="152"/>
        <v/>
      </c>
    </row>
    <row r="4772" spans="17:18" x14ac:dyDescent="0.3">
      <c r="Q4772" t="str">
        <f t="shared" si="153"/>
        <v/>
      </c>
      <c r="R4772" s="54" t="str">
        <f t="shared" si="152"/>
        <v/>
      </c>
    </row>
    <row r="4773" spans="17:18" x14ac:dyDescent="0.3">
      <c r="Q4773" t="str">
        <f t="shared" si="153"/>
        <v/>
      </c>
      <c r="R4773" s="54" t="str">
        <f t="shared" si="152"/>
        <v/>
      </c>
    </row>
    <row r="4774" spans="17:18" x14ac:dyDescent="0.3">
      <c r="Q4774" t="str">
        <f t="shared" si="153"/>
        <v/>
      </c>
      <c r="R4774" s="54" t="str">
        <f t="shared" si="152"/>
        <v/>
      </c>
    </row>
    <row r="4775" spans="17:18" x14ac:dyDescent="0.3">
      <c r="Q4775" t="str">
        <f t="shared" si="153"/>
        <v/>
      </c>
      <c r="R4775" s="54" t="str">
        <f t="shared" si="152"/>
        <v/>
      </c>
    </row>
    <row r="4776" spans="17:18" x14ac:dyDescent="0.3">
      <c r="Q4776" t="str">
        <f t="shared" si="153"/>
        <v/>
      </c>
      <c r="R4776" s="54" t="str">
        <f t="shared" si="152"/>
        <v/>
      </c>
    </row>
    <row r="4777" spans="17:18" x14ac:dyDescent="0.3">
      <c r="Q4777" t="str">
        <f t="shared" si="153"/>
        <v/>
      </c>
      <c r="R4777" s="54" t="str">
        <f t="shared" si="152"/>
        <v/>
      </c>
    </row>
    <row r="4778" spans="17:18" x14ac:dyDescent="0.3">
      <c r="Q4778" t="str">
        <f t="shared" si="153"/>
        <v/>
      </c>
      <c r="R4778" s="54" t="str">
        <f t="shared" si="152"/>
        <v/>
      </c>
    </row>
    <row r="4779" spans="17:18" x14ac:dyDescent="0.3">
      <c r="Q4779" t="str">
        <f t="shared" si="153"/>
        <v/>
      </c>
      <c r="R4779" s="54" t="str">
        <f t="shared" si="152"/>
        <v/>
      </c>
    </row>
    <row r="4780" spans="17:18" x14ac:dyDescent="0.3">
      <c r="Q4780" t="str">
        <f t="shared" si="153"/>
        <v/>
      </c>
      <c r="R4780" s="54" t="str">
        <f t="shared" si="152"/>
        <v/>
      </c>
    </row>
    <row r="4781" spans="17:18" x14ac:dyDescent="0.3">
      <c r="Q4781" t="str">
        <f t="shared" si="153"/>
        <v/>
      </c>
      <c r="R4781" s="54" t="str">
        <f t="shared" si="152"/>
        <v/>
      </c>
    </row>
    <row r="4782" spans="17:18" x14ac:dyDescent="0.3">
      <c r="Q4782" t="str">
        <f t="shared" si="153"/>
        <v/>
      </c>
      <c r="R4782" s="54" t="str">
        <f t="shared" si="152"/>
        <v/>
      </c>
    </row>
    <row r="4783" spans="17:18" x14ac:dyDescent="0.3">
      <c r="Q4783" t="str">
        <f t="shared" si="153"/>
        <v/>
      </c>
      <c r="R4783" s="54" t="str">
        <f t="shared" si="152"/>
        <v/>
      </c>
    </row>
    <row r="4784" spans="17:18" x14ac:dyDescent="0.3">
      <c r="Q4784" t="str">
        <f t="shared" si="153"/>
        <v/>
      </c>
      <c r="R4784" s="54" t="str">
        <f t="shared" si="152"/>
        <v/>
      </c>
    </row>
    <row r="4785" spans="17:18" x14ac:dyDescent="0.3">
      <c r="Q4785" t="str">
        <f t="shared" si="153"/>
        <v/>
      </c>
      <c r="R4785" s="54" t="str">
        <f t="shared" si="152"/>
        <v/>
      </c>
    </row>
    <row r="4786" spans="17:18" x14ac:dyDescent="0.3">
      <c r="Q4786" t="str">
        <f t="shared" si="153"/>
        <v/>
      </c>
      <c r="R4786" s="54" t="str">
        <f t="shared" si="152"/>
        <v/>
      </c>
    </row>
    <row r="4787" spans="17:18" x14ac:dyDescent="0.3">
      <c r="Q4787" t="str">
        <f t="shared" si="153"/>
        <v/>
      </c>
      <c r="R4787" s="54" t="str">
        <f t="shared" si="152"/>
        <v/>
      </c>
    </row>
    <row r="4788" spans="17:18" x14ac:dyDescent="0.3">
      <c r="Q4788" t="str">
        <f t="shared" si="153"/>
        <v/>
      </c>
      <c r="R4788" s="54" t="str">
        <f t="shared" si="152"/>
        <v/>
      </c>
    </row>
    <row r="4789" spans="17:18" x14ac:dyDescent="0.3">
      <c r="Q4789" t="str">
        <f t="shared" si="153"/>
        <v/>
      </c>
      <c r="R4789" s="54" t="str">
        <f t="shared" si="152"/>
        <v/>
      </c>
    </row>
    <row r="4790" spans="17:18" x14ac:dyDescent="0.3">
      <c r="Q4790" t="str">
        <f t="shared" si="153"/>
        <v/>
      </c>
      <c r="R4790" s="54" t="str">
        <f t="shared" si="152"/>
        <v/>
      </c>
    </row>
    <row r="4791" spans="17:18" x14ac:dyDescent="0.3">
      <c r="Q4791" t="str">
        <f t="shared" si="153"/>
        <v/>
      </c>
      <c r="R4791" s="54" t="str">
        <f t="shared" si="152"/>
        <v/>
      </c>
    </row>
    <row r="4792" spans="17:18" x14ac:dyDescent="0.3">
      <c r="Q4792" t="str">
        <f t="shared" si="153"/>
        <v/>
      </c>
      <c r="R4792" s="54" t="str">
        <f t="shared" si="152"/>
        <v/>
      </c>
    </row>
    <row r="4793" spans="17:18" x14ac:dyDescent="0.3">
      <c r="Q4793" t="str">
        <f t="shared" si="153"/>
        <v/>
      </c>
      <c r="R4793" s="54" t="str">
        <f t="shared" si="152"/>
        <v/>
      </c>
    </row>
    <row r="4794" spans="17:18" x14ac:dyDescent="0.3">
      <c r="Q4794" t="str">
        <f t="shared" si="153"/>
        <v/>
      </c>
      <c r="R4794" s="54" t="str">
        <f t="shared" si="152"/>
        <v/>
      </c>
    </row>
    <row r="4795" spans="17:18" x14ac:dyDescent="0.3">
      <c r="Q4795" t="str">
        <f t="shared" si="153"/>
        <v/>
      </c>
      <c r="R4795" s="54" t="str">
        <f t="shared" si="152"/>
        <v/>
      </c>
    </row>
    <row r="4796" spans="17:18" x14ac:dyDescent="0.3">
      <c r="Q4796" t="str">
        <f t="shared" si="153"/>
        <v/>
      </c>
      <c r="R4796" s="54" t="str">
        <f t="shared" si="152"/>
        <v/>
      </c>
    </row>
    <row r="4797" spans="17:18" x14ac:dyDescent="0.3">
      <c r="Q4797" t="str">
        <f t="shared" si="153"/>
        <v/>
      </c>
      <c r="R4797" s="54" t="str">
        <f t="shared" si="152"/>
        <v/>
      </c>
    </row>
    <row r="4798" spans="17:18" x14ac:dyDescent="0.3">
      <c r="Q4798" t="str">
        <f t="shared" si="153"/>
        <v/>
      </c>
      <c r="R4798" s="54" t="str">
        <f t="shared" si="152"/>
        <v/>
      </c>
    </row>
    <row r="4799" spans="17:18" x14ac:dyDescent="0.3">
      <c r="Q4799" t="str">
        <f t="shared" si="153"/>
        <v/>
      </c>
      <c r="R4799" s="54" t="str">
        <f t="shared" si="152"/>
        <v/>
      </c>
    </row>
    <row r="4800" spans="17:18" x14ac:dyDescent="0.3">
      <c r="Q4800" t="str">
        <f t="shared" si="153"/>
        <v/>
      </c>
      <c r="R4800" s="54" t="str">
        <f t="shared" si="152"/>
        <v/>
      </c>
    </row>
    <row r="4801" spans="17:18" x14ac:dyDescent="0.3">
      <c r="Q4801" t="str">
        <f t="shared" si="153"/>
        <v/>
      </c>
      <c r="R4801" s="54" t="str">
        <f t="shared" si="152"/>
        <v/>
      </c>
    </row>
    <row r="4802" spans="17:18" x14ac:dyDescent="0.3">
      <c r="Q4802" t="str">
        <f t="shared" si="153"/>
        <v/>
      </c>
      <c r="R4802" s="54" t="str">
        <f t="shared" si="152"/>
        <v/>
      </c>
    </row>
    <row r="4803" spans="17:18" x14ac:dyDescent="0.3">
      <c r="Q4803" t="str">
        <f t="shared" si="153"/>
        <v/>
      </c>
      <c r="R4803" s="54" t="str">
        <f t="shared" ref="R4803:R4866" si="154">IF(F4817="","",IFERROR(IF(ISNUMBER(F4817),F4817,DATEVALUE(F4817)),""))</f>
        <v/>
      </c>
    </row>
    <row r="4804" spans="17:18" x14ac:dyDescent="0.3">
      <c r="Q4804" t="str">
        <f t="shared" si="153"/>
        <v/>
      </c>
      <c r="R4804" s="54" t="str">
        <f t="shared" si="154"/>
        <v/>
      </c>
    </row>
    <row r="4805" spans="17:18" x14ac:dyDescent="0.3">
      <c r="Q4805" t="str">
        <f t="shared" si="153"/>
        <v/>
      </c>
      <c r="R4805" s="54" t="str">
        <f t="shared" si="154"/>
        <v/>
      </c>
    </row>
    <row r="4806" spans="17:18" x14ac:dyDescent="0.3">
      <c r="Q4806" t="str">
        <f t="shared" si="153"/>
        <v/>
      </c>
      <c r="R4806" s="54" t="str">
        <f t="shared" si="154"/>
        <v/>
      </c>
    </row>
    <row r="4807" spans="17:18" x14ac:dyDescent="0.3">
      <c r="Q4807" t="str">
        <f t="shared" si="153"/>
        <v/>
      </c>
      <c r="R4807" s="54" t="str">
        <f t="shared" si="154"/>
        <v/>
      </c>
    </row>
    <row r="4808" spans="17:18" x14ac:dyDescent="0.3">
      <c r="Q4808" t="str">
        <f t="shared" si="153"/>
        <v/>
      </c>
      <c r="R4808" s="54" t="str">
        <f t="shared" si="154"/>
        <v/>
      </c>
    </row>
    <row r="4809" spans="17:18" x14ac:dyDescent="0.3">
      <c r="Q4809" t="str">
        <f t="shared" si="153"/>
        <v/>
      </c>
      <c r="R4809" s="54" t="str">
        <f t="shared" si="154"/>
        <v/>
      </c>
    </row>
    <row r="4810" spans="17:18" x14ac:dyDescent="0.3">
      <c r="Q4810" t="str">
        <f t="shared" si="153"/>
        <v/>
      </c>
      <c r="R4810" s="54" t="str">
        <f t="shared" si="154"/>
        <v/>
      </c>
    </row>
    <row r="4811" spans="17:18" x14ac:dyDescent="0.3">
      <c r="Q4811" t="str">
        <f t="shared" si="153"/>
        <v/>
      </c>
      <c r="R4811" s="54" t="str">
        <f t="shared" si="154"/>
        <v/>
      </c>
    </row>
    <row r="4812" spans="17:18" x14ac:dyDescent="0.3">
      <c r="Q4812" t="str">
        <f t="shared" si="153"/>
        <v/>
      </c>
      <c r="R4812" s="54" t="str">
        <f t="shared" si="154"/>
        <v/>
      </c>
    </row>
    <row r="4813" spans="17:18" x14ac:dyDescent="0.3">
      <c r="Q4813" t="str">
        <f t="shared" si="153"/>
        <v/>
      </c>
      <c r="R4813" s="54" t="str">
        <f t="shared" si="154"/>
        <v/>
      </c>
    </row>
    <row r="4814" spans="17:18" x14ac:dyDescent="0.3">
      <c r="Q4814" t="str">
        <f t="shared" si="153"/>
        <v/>
      </c>
      <c r="R4814" s="54" t="str">
        <f t="shared" si="154"/>
        <v/>
      </c>
    </row>
    <row r="4815" spans="17:18" x14ac:dyDescent="0.3">
      <c r="Q4815" t="str">
        <f t="shared" si="153"/>
        <v/>
      </c>
      <c r="R4815" s="54" t="str">
        <f t="shared" si="154"/>
        <v/>
      </c>
    </row>
    <row r="4816" spans="17:18" x14ac:dyDescent="0.3">
      <c r="Q4816" t="str">
        <f t="shared" si="153"/>
        <v/>
      </c>
      <c r="R4816" s="54" t="str">
        <f t="shared" si="154"/>
        <v/>
      </c>
    </row>
    <row r="4817" spans="17:18" x14ac:dyDescent="0.3">
      <c r="Q4817" t="str">
        <f t="shared" si="153"/>
        <v/>
      </c>
      <c r="R4817" s="54" t="str">
        <f t="shared" si="154"/>
        <v/>
      </c>
    </row>
    <row r="4818" spans="17:18" x14ac:dyDescent="0.3">
      <c r="Q4818" t="str">
        <f t="shared" si="153"/>
        <v/>
      </c>
      <c r="R4818" s="54" t="str">
        <f t="shared" si="154"/>
        <v/>
      </c>
    </row>
    <row r="4819" spans="17:18" x14ac:dyDescent="0.3">
      <c r="Q4819" t="str">
        <f t="shared" si="153"/>
        <v/>
      </c>
      <c r="R4819" s="54" t="str">
        <f t="shared" si="154"/>
        <v/>
      </c>
    </row>
    <row r="4820" spans="17:18" x14ac:dyDescent="0.3">
      <c r="Q4820" t="str">
        <f t="shared" si="153"/>
        <v/>
      </c>
      <c r="R4820" s="54" t="str">
        <f t="shared" si="154"/>
        <v/>
      </c>
    </row>
    <row r="4821" spans="17:18" x14ac:dyDescent="0.3">
      <c r="Q4821" t="str">
        <f t="shared" si="153"/>
        <v/>
      </c>
      <c r="R4821" s="54" t="str">
        <f t="shared" si="154"/>
        <v/>
      </c>
    </row>
    <row r="4822" spans="17:18" x14ac:dyDescent="0.3">
      <c r="Q4822" t="str">
        <f t="shared" si="153"/>
        <v/>
      </c>
      <c r="R4822" s="54" t="str">
        <f t="shared" si="154"/>
        <v/>
      </c>
    </row>
    <row r="4823" spans="17:18" x14ac:dyDescent="0.3">
      <c r="Q4823" t="str">
        <f t="shared" ref="Q4823:Q4886" si="155">IF(COUNTA(A4823:P4823)=0,"",IF(ISNUMBER(SEARCH("-AR-",E4837)),"Architectural",IF(ISNUMBER(SEARCH("-ST-",E4837)),"Structural",IF(ISNUMBER(SEARCH("-ME-",E4837)),"Mechanical",IF(ISNUMBER(SEARCH("-EL-",E4837)),"Electrical",IF(ISNUMBER(SEARCH("-GE-",E4837)),"General",IF(ISNUMBER(SEARCH("-AR-",D4837)),"Architectural",IF(ISNUMBER(SEARCH("-ST-",D4837)),"Structural",IF(ISNUMBER(SEARCH("-ME-",D4837)),"Mechanical",IF(ISNUMBER(SEARCH("-EL-",D4837)),"Electrical",IF(ISNUMBER(SEARCH("-GE-",D4837)),"General","Other")))))))))))</f>
        <v/>
      </c>
      <c r="R4823" s="54" t="str">
        <f t="shared" si="154"/>
        <v/>
      </c>
    </row>
    <row r="4824" spans="17:18" x14ac:dyDescent="0.3">
      <c r="Q4824" t="str">
        <f t="shared" si="155"/>
        <v/>
      </c>
      <c r="R4824" s="54" t="str">
        <f t="shared" si="154"/>
        <v/>
      </c>
    </row>
    <row r="4825" spans="17:18" x14ac:dyDescent="0.3">
      <c r="Q4825" t="str">
        <f t="shared" si="155"/>
        <v/>
      </c>
      <c r="R4825" s="54" t="str">
        <f t="shared" si="154"/>
        <v/>
      </c>
    </row>
    <row r="4826" spans="17:18" x14ac:dyDescent="0.3">
      <c r="Q4826" t="str">
        <f t="shared" si="155"/>
        <v/>
      </c>
      <c r="R4826" s="54" t="str">
        <f t="shared" si="154"/>
        <v/>
      </c>
    </row>
    <row r="4827" spans="17:18" x14ac:dyDescent="0.3">
      <c r="Q4827" t="str">
        <f t="shared" si="155"/>
        <v/>
      </c>
      <c r="R4827" s="54" t="str">
        <f t="shared" si="154"/>
        <v/>
      </c>
    </row>
    <row r="4828" spans="17:18" x14ac:dyDescent="0.3">
      <c r="Q4828" t="str">
        <f t="shared" si="155"/>
        <v/>
      </c>
      <c r="R4828" s="54" t="str">
        <f t="shared" si="154"/>
        <v/>
      </c>
    </row>
    <row r="4829" spans="17:18" x14ac:dyDescent="0.3">
      <c r="Q4829" t="str">
        <f t="shared" si="155"/>
        <v/>
      </c>
      <c r="R4829" s="54" t="str">
        <f t="shared" si="154"/>
        <v/>
      </c>
    </row>
    <row r="4830" spans="17:18" x14ac:dyDescent="0.3">
      <c r="Q4830" t="str">
        <f t="shared" si="155"/>
        <v/>
      </c>
      <c r="R4830" s="54" t="str">
        <f t="shared" si="154"/>
        <v/>
      </c>
    </row>
    <row r="4831" spans="17:18" x14ac:dyDescent="0.3">
      <c r="Q4831" t="str">
        <f t="shared" si="155"/>
        <v/>
      </c>
      <c r="R4831" s="54" t="str">
        <f t="shared" si="154"/>
        <v/>
      </c>
    </row>
    <row r="4832" spans="17:18" x14ac:dyDescent="0.3">
      <c r="Q4832" t="str">
        <f t="shared" si="155"/>
        <v/>
      </c>
      <c r="R4832" s="54" t="str">
        <f t="shared" si="154"/>
        <v/>
      </c>
    </row>
    <row r="4833" spans="17:18" x14ac:dyDescent="0.3">
      <c r="Q4833" t="str">
        <f t="shared" si="155"/>
        <v/>
      </c>
      <c r="R4833" s="54" t="str">
        <f t="shared" si="154"/>
        <v/>
      </c>
    </row>
    <row r="4834" spans="17:18" x14ac:dyDescent="0.3">
      <c r="Q4834" t="str">
        <f t="shared" si="155"/>
        <v/>
      </c>
      <c r="R4834" s="54" t="str">
        <f t="shared" si="154"/>
        <v/>
      </c>
    </row>
    <row r="4835" spans="17:18" x14ac:dyDescent="0.3">
      <c r="Q4835" t="str">
        <f t="shared" si="155"/>
        <v/>
      </c>
      <c r="R4835" s="54" t="str">
        <f t="shared" si="154"/>
        <v/>
      </c>
    </row>
    <row r="4836" spans="17:18" x14ac:dyDescent="0.3">
      <c r="Q4836" t="str">
        <f t="shared" si="155"/>
        <v/>
      </c>
      <c r="R4836" s="54" t="str">
        <f t="shared" si="154"/>
        <v/>
      </c>
    </row>
    <row r="4837" spans="17:18" x14ac:dyDescent="0.3">
      <c r="Q4837" t="str">
        <f t="shared" si="155"/>
        <v/>
      </c>
      <c r="R4837" s="54" t="str">
        <f t="shared" si="154"/>
        <v/>
      </c>
    </row>
    <row r="4838" spans="17:18" x14ac:dyDescent="0.3">
      <c r="Q4838" t="str">
        <f t="shared" si="155"/>
        <v/>
      </c>
      <c r="R4838" s="54" t="str">
        <f t="shared" si="154"/>
        <v/>
      </c>
    </row>
    <row r="4839" spans="17:18" x14ac:dyDescent="0.3">
      <c r="Q4839" t="str">
        <f t="shared" si="155"/>
        <v/>
      </c>
      <c r="R4839" s="54" t="str">
        <f t="shared" si="154"/>
        <v/>
      </c>
    </row>
    <row r="4840" spans="17:18" x14ac:dyDescent="0.3">
      <c r="Q4840" t="str">
        <f t="shared" si="155"/>
        <v/>
      </c>
      <c r="R4840" s="54" t="str">
        <f t="shared" si="154"/>
        <v/>
      </c>
    </row>
    <row r="4841" spans="17:18" x14ac:dyDescent="0.3">
      <c r="Q4841" t="str">
        <f t="shared" si="155"/>
        <v/>
      </c>
      <c r="R4841" s="54" t="str">
        <f t="shared" si="154"/>
        <v/>
      </c>
    </row>
    <row r="4842" spans="17:18" x14ac:dyDescent="0.3">
      <c r="Q4842" t="str">
        <f t="shared" si="155"/>
        <v/>
      </c>
      <c r="R4842" s="54" t="str">
        <f t="shared" si="154"/>
        <v/>
      </c>
    </row>
    <row r="4843" spans="17:18" x14ac:dyDescent="0.3">
      <c r="Q4843" t="str">
        <f t="shared" si="155"/>
        <v/>
      </c>
      <c r="R4843" s="54" t="str">
        <f t="shared" si="154"/>
        <v/>
      </c>
    </row>
    <row r="4844" spans="17:18" x14ac:dyDescent="0.3">
      <c r="Q4844" t="str">
        <f t="shared" si="155"/>
        <v/>
      </c>
      <c r="R4844" s="54" t="str">
        <f t="shared" si="154"/>
        <v/>
      </c>
    </row>
    <row r="4845" spans="17:18" x14ac:dyDescent="0.3">
      <c r="Q4845" t="str">
        <f t="shared" si="155"/>
        <v/>
      </c>
      <c r="R4845" s="54" t="str">
        <f t="shared" si="154"/>
        <v/>
      </c>
    </row>
    <row r="4846" spans="17:18" x14ac:dyDescent="0.3">
      <c r="Q4846" t="str">
        <f t="shared" si="155"/>
        <v/>
      </c>
      <c r="R4846" s="54" t="str">
        <f t="shared" si="154"/>
        <v/>
      </c>
    </row>
    <row r="4847" spans="17:18" x14ac:dyDescent="0.3">
      <c r="Q4847" t="str">
        <f t="shared" si="155"/>
        <v/>
      </c>
      <c r="R4847" s="54" t="str">
        <f t="shared" si="154"/>
        <v/>
      </c>
    </row>
    <row r="4848" spans="17:18" x14ac:dyDescent="0.3">
      <c r="Q4848" t="str">
        <f t="shared" si="155"/>
        <v/>
      </c>
      <c r="R4848" s="54" t="str">
        <f t="shared" si="154"/>
        <v/>
      </c>
    </row>
    <row r="4849" spans="17:18" x14ac:dyDescent="0.3">
      <c r="Q4849" t="str">
        <f t="shared" si="155"/>
        <v/>
      </c>
      <c r="R4849" s="54" t="str">
        <f t="shared" si="154"/>
        <v/>
      </c>
    </row>
    <row r="4850" spans="17:18" x14ac:dyDescent="0.3">
      <c r="Q4850" t="str">
        <f t="shared" si="155"/>
        <v/>
      </c>
      <c r="R4850" s="54" t="str">
        <f t="shared" si="154"/>
        <v/>
      </c>
    </row>
    <row r="4851" spans="17:18" x14ac:dyDescent="0.3">
      <c r="Q4851" t="str">
        <f t="shared" si="155"/>
        <v/>
      </c>
      <c r="R4851" s="54" t="str">
        <f t="shared" si="154"/>
        <v/>
      </c>
    </row>
    <row r="4852" spans="17:18" x14ac:dyDescent="0.3">
      <c r="Q4852" t="str">
        <f t="shared" si="155"/>
        <v/>
      </c>
      <c r="R4852" s="54" t="str">
        <f t="shared" si="154"/>
        <v/>
      </c>
    </row>
    <row r="4853" spans="17:18" x14ac:dyDescent="0.3">
      <c r="Q4853" t="str">
        <f t="shared" si="155"/>
        <v/>
      </c>
      <c r="R4853" s="54" t="str">
        <f t="shared" si="154"/>
        <v/>
      </c>
    </row>
    <row r="4854" spans="17:18" x14ac:dyDescent="0.3">
      <c r="Q4854" t="str">
        <f t="shared" si="155"/>
        <v/>
      </c>
      <c r="R4854" s="54" t="str">
        <f t="shared" si="154"/>
        <v/>
      </c>
    </row>
    <row r="4855" spans="17:18" x14ac:dyDescent="0.3">
      <c r="Q4855" t="str">
        <f t="shared" si="155"/>
        <v/>
      </c>
      <c r="R4855" s="54" t="str">
        <f t="shared" si="154"/>
        <v/>
      </c>
    </row>
    <row r="4856" spans="17:18" x14ac:dyDescent="0.3">
      <c r="Q4856" t="str">
        <f t="shared" si="155"/>
        <v/>
      </c>
      <c r="R4856" s="54" t="str">
        <f t="shared" si="154"/>
        <v/>
      </c>
    </row>
    <row r="4857" spans="17:18" x14ac:dyDescent="0.3">
      <c r="Q4857" t="str">
        <f t="shared" si="155"/>
        <v/>
      </c>
      <c r="R4857" s="54" t="str">
        <f t="shared" si="154"/>
        <v/>
      </c>
    </row>
    <row r="4858" spans="17:18" x14ac:dyDescent="0.3">
      <c r="Q4858" t="str">
        <f t="shared" si="155"/>
        <v/>
      </c>
      <c r="R4858" s="54" t="str">
        <f t="shared" si="154"/>
        <v/>
      </c>
    </row>
    <row r="4859" spans="17:18" x14ac:dyDescent="0.3">
      <c r="Q4859" t="str">
        <f t="shared" si="155"/>
        <v/>
      </c>
      <c r="R4859" s="54" t="str">
        <f t="shared" si="154"/>
        <v/>
      </c>
    </row>
    <row r="4860" spans="17:18" x14ac:dyDescent="0.3">
      <c r="Q4860" t="str">
        <f t="shared" si="155"/>
        <v/>
      </c>
      <c r="R4860" s="54" t="str">
        <f t="shared" si="154"/>
        <v/>
      </c>
    </row>
    <row r="4861" spans="17:18" x14ac:dyDescent="0.3">
      <c r="Q4861" t="str">
        <f t="shared" si="155"/>
        <v/>
      </c>
      <c r="R4861" s="54" t="str">
        <f t="shared" si="154"/>
        <v/>
      </c>
    </row>
    <row r="4862" spans="17:18" x14ac:dyDescent="0.3">
      <c r="Q4862" t="str">
        <f t="shared" si="155"/>
        <v/>
      </c>
      <c r="R4862" s="54" t="str">
        <f t="shared" si="154"/>
        <v/>
      </c>
    </row>
    <row r="4863" spans="17:18" x14ac:dyDescent="0.3">
      <c r="Q4863" t="str">
        <f t="shared" si="155"/>
        <v/>
      </c>
      <c r="R4863" s="54" t="str">
        <f t="shared" si="154"/>
        <v/>
      </c>
    </row>
    <row r="4864" spans="17:18" x14ac:dyDescent="0.3">
      <c r="Q4864" t="str">
        <f t="shared" si="155"/>
        <v/>
      </c>
      <c r="R4864" s="54" t="str">
        <f t="shared" si="154"/>
        <v/>
      </c>
    </row>
    <row r="4865" spans="17:18" x14ac:dyDescent="0.3">
      <c r="Q4865" t="str">
        <f t="shared" si="155"/>
        <v/>
      </c>
      <c r="R4865" s="54" t="str">
        <f t="shared" si="154"/>
        <v/>
      </c>
    </row>
    <row r="4866" spans="17:18" x14ac:dyDescent="0.3">
      <c r="Q4866" t="str">
        <f t="shared" si="155"/>
        <v/>
      </c>
      <c r="R4866" s="54" t="str">
        <f t="shared" si="154"/>
        <v/>
      </c>
    </row>
    <row r="4867" spans="17:18" x14ac:dyDescent="0.3">
      <c r="Q4867" t="str">
        <f t="shared" si="155"/>
        <v/>
      </c>
      <c r="R4867" s="54" t="str">
        <f t="shared" ref="R4867:R4930" si="156">IF(F4881="","",IFERROR(IF(ISNUMBER(F4881),F4881,DATEVALUE(F4881)),""))</f>
        <v/>
      </c>
    </row>
    <row r="4868" spans="17:18" x14ac:dyDescent="0.3">
      <c r="Q4868" t="str">
        <f t="shared" si="155"/>
        <v/>
      </c>
      <c r="R4868" s="54" t="str">
        <f t="shared" si="156"/>
        <v/>
      </c>
    </row>
    <row r="4869" spans="17:18" x14ac:dyDescent="0.3">
      <c r="Q4869" t="str">
        <f t="shared" si="155"/>
        <v/>
      </c>
      <c r="R4869" s="54" t="str">
        <f t="shared" si="156"/>
        <v/>
      </c>
    </row>
    <row r="4870" spans="17:18" x14ac:dyDescent="0.3">
      <c r="Q4870" t="str">
        <f t="shared" si="155"/>
        <v/>
      </c>
      <c r="R4870" s="54" t="str">
        <f t="shared" si="156"/>
        <v/>
      </c>
    </row>
    <row r="4871" spans="17:18" x14ac:dyDescent="0.3">
      <c r="Q4871" t="str">
        <f t="shared" si="155"/>
        <v/>
      </c>
      <c r="R4871" s="54" t="str">
        <f t="shared" si="156"/>
        <v/>
      </c>
    </row>
    <row r="4872" spans="17:18" x14ac:dyDescent="0.3">
      <c r="Q4872" t="str">
        <f t="shared" si="155"/>
        <v/>
      </c>
      <c r="R4872" s="54" t="str">
        <f t="shared" si="156"/>
        <v/>
      </c>
    </row>
    <row r="4873" spans="17:18" x14ac:dyDescent="0.3">
      <c r="Q4873" t="str">
        <f t="shared" si="155"/>
        <v/>
      </c>
      <c r="R4873" s="54" t="str">
        <f t="shared" si="156"/>
        <v/>
      </c>
    </row>
    <row r="4874" spans="17:18" x14ac:dyDescent="0.3">
      <c r="Q4874" t="str">
        <f t="shared" si="155"/>
        <v/>
      </c>
      <c r="R4874" s="54" t="str">
        <f t="shared" si="156"/>
        <v/>
      </c>
    </row>
    <row r="4875" spans="17:18" x14ac:dyDescent="0.3">
      <c r="Q4875" t="str">
        <f t="shared" si="155"/>
        <v/>
      </c>
      <c r="R4875" s="54" t="str">
        <f t="shared" si="156"/>
        <v/>
      </c>
    </row>
    <row r="4876" spans="17:18" x14ac:dyDescent="0.3">
      <c r="Q4876" t="str">
        <f t="shared" si="155"/>
        <v/>
      </c>
      <c r="R4876" s="54" t="str">
        <f t="shared" si="156"/>
        <v/>
      </c>
    </row>
    <row r="4877" spans="17:18" x14ac:dyDescent="0.3">
      <c r="Q4877" t="str">
        <f t="shared" si="155"/>
        <v/>
      </c>
      <c r="R4877" s="54" t="str">
        <f t="shared" si="156"/>
        <v/>
      </c>
    </row>
    <row r="4878" spans="17:18" x14ac:dyDescent="0.3">
      <c r="Q4878" t="str">
        <f t="shared" si="155"/>
        <v/>
      </c>
      <c r="R4878" s="54" t="str">
        <f t="shared" si="156"/>
        <v/>
      </c>
    </row>
    <row r="4879" spans="17:18" x14ac:dyDescent="0.3">
      <c r="Q4879" t="str">
        <f t="shared" si="155"/>
        <v/>
      </c>
      <c r="R4879" s="54" t="str">
        <f t="shared" si="156"/>
        <v/>
      </c>
    </row>
    <row r="4880" spans="17:18" x14ac:dyDescent="0.3">
      <c r="Q4880" t="str">
        <f t="shared" si="155"/>
        <v/>
      </c>
      <c r="R4880" s="54" t="str">
        <f t="shared" si="156"/>
        <v/>
      </c>
    </row>
    <row r="4881" spans="17:18" x14ac:dyDescent="0.3">
      <c r="Q4881" t="str">
        <f t="shared" si="155"/>
        <v/>
      </c>
      <c r="R4881" s="54" t="str">
        <f t="shared" si="156"/>
        <v/>
      </c>
    </row>
    <row r="4882" spans="17:18" x14ac:dyDescent="0.3">
      <c r="Q4882" t="str">
        <f t="shared" si="155"/>
        <v/>
      </c>
      <c r="R4882" s="54" t="str">
        <f t="shared" si="156"/>
        <v/>
      </c>
    </row>
    <row r="4883" spans="17:18" x14ac:dyDescent="0.3">
      <c r="Q4883" t="str">
        <f t="shared" si="155"/>
        <v/>
      </c>
      <c r="R4883" s="54" t="str">
        <f t="shared" si="156"/>
        <v/>
      </c>
    </row>
    <row r="4884" spans="17:18" x14ac:dyDescent="0.3">
      <c r="Q4884" t="str">
        <f t="shared" si="155"/>
        <v/>
      </c>
      <c r="R4884" s="54" t="str">
        <f t="shared" si="156"/>
        <v/>
      </c>
    </row>
    <row r="4885" spans="17:18" x14ac:dyDescent="0.3">
      <c r="Q4885" t="str">
        <f t="shared" si="155"/>
        <v/>
      </c>
      <c r="R4885" s="54" t="str">
        <f t="shared" si="156"/>
        <v/>
      </c>
    </row>
    <row r="4886" spans="17:18" x14ac:dyDescent="0.3">
      <c r="Q4886" t="str">
        <f t="shared" si="155"/>
        <v/>
      </c>
      <c r="R4886" s="54" t="str">
        <f t="shared" si="156"/>
        <v/>
      </c>
    </row>
    <row r="4887" spans="17:18" x14ac:dyDescent="0.3">
      <c r="Q4887" t="str">
        <f t="shared" ref="Q4887:Q4950" si="157">IF(COUNTA(A4887:P4887)=0,"",IF(ISNUMBER(SEARCH("-AR-",E4901)),"Architectural",IF(ISNUMBER(SEARCH("-ST-",E4901)),"Structural",IF(ISNUMBER(SEARCH("-ME-",E4901)),"Mechanical",IF(ISNUMBER(SEARCH("-EL-",E4901)),"Electrical",IF(ISNUMBER(SEARCH("-GE-",E4901)),"General",IF(ISNUMBER(SEARCH("-AR-",D4901)),"Architectural",IF(ISNUMBER(SEARCH("-ST-",D4901)),"Structural",IF(ISNUMBER(SEARCH("-ME-",D4901)),"Mechanical",IF(ISNUMBER(SEARCH("-EL-",D4901)),"Electrical",IF(ISNUMBER(SEARCH("-GE-",D4901)),"General","Other")))))))))))</f>
        <v/>
      </c>
      <c r="R4887" s="54" t="str">
        <f t="shared" si="156"/>
        <v/>
      </c>
    </row>
    <row r="4888" spans="17:18" x14ac:dyDescent="0.3">
      <c r="Q4888" t="str">
        <f t="shared" si="157"/>
        <v/>
      </c>
      <c r="R4888" s="54" t="str">
        <f t="shared" si="156"/>
        <v/>
      </c>
    </row>
    <row r="4889" spans="17:18" x14ac:dyDescent="0.3">
      <c r="Q4889" t="str">
        <f t="shared" si="157"/>
        <v/>
      </c>
      <c r="R4889" s="54" t="str">
        <f t="shared" si="156"/>
        <v/>
      </c>
    </row>
    <row r="4890" spans="17:18" x14ac:dyDescent="0.3">
      <c r="Q4890" t="str">
        <f t="shared" si="157"/>
        <v/>
      </c>
      <c r="R4890" s="54" t="str">
        <f t="shared" si="156"/>
        <v/>
      </c>
    </row>
    <row r="4891" spans="17:18" x14ac:dyDescent="0.3">
      <c r="Q4891" t="str">
        <f t="shared" si="157"/>
        <v/>
      </c>
      <c r="R4891" s="54" t="str">
        <f t="shared" si="156"/>
        <v/>
      </c>
    </row>
    <row r="4892" spans="17:18" x14ac:dyDescent="0.3">
      <c r="Q4892" t="str">
        <f t="shared" si="157"/>
        <v/>
      </c>
      <c r="R4892" s="54" t="str">
        <f t="shared" si="156"/>
        <v/>
      </c>
    </row>
    <row r="4893" spans="17:18" x14ac:dyDescent="0.3">
      <c r="Q4893" t="str">
        <f t="shared" si="157"/>
        <v/>
      </c>
      <c r="R4893" s="54" t="str">
        <f t="shared" si="156"/>
        <v/>
      </c>
    </row>
    <row r="4894" spans="17:18" x14ac:dyDescent="0.3">
      <c r="Q4894" t="str">
        <f t="shared" si="157"/>
        <v/>
      </c>
      <c r="R4894" s="54" t="str">
        <f t="shared" si="156"/>
        <v/>
      </c>
    </row>
    <row r="4895" spans="17:18" x14ac:dyDescent="0.3">
      <c r="Q4895" t="str">
        <f t="shared" si="157"/>
        <v/>
      </c>
      <c r="R4895" s="54" t="str">
        <f t="shared" si="156"/>
        <v/>
      </c>
    </row>
    <row r="4896" spans="17:18" x14ac:dyDescent="0.3">
      <c r="Q4896" t="str">
        <f t="shared" si="157"/>
        <v/>
      </c>
      <c r="R4896" s="54" t="str">
        <f t="shared" si="156"/>
        <v/>
      </c>
    </row>
    <row r="4897" spans="17:18" x14ac:dyDescent="0.3">
      <c r="Q4897" t="str">
        <f t="shared" si="157"/>
        <v/>
      </c>
      <c r="R4897" s="54" t="str">
        <f t="shared" si="156"/>
        <v/>
      </c>
    </row>
    <row r="4898" spans="17:18" x14ac:dyDescent="0.3">
      <c r="Q4898" t="str">
        <f t="shared" si="157"/>
        <v/>
      </c>
      <c r="R4898" s="54" t="str">
        <f t="shared" si="156"/>
        <v/>
      </c>
    </row>
    <row r="4899" spans="17:18" x14ac:dyDescent="0.3">
      <c r="Q4899" t="str">
        <f t="shared" si="157"/>
        <v/>
      </c>
      <c r="R4899" s="54" t="str">
        <f t="shared" si="156"/>
        <v/>
      </c>
    </row>
    <row r="4900" spans="17:18" x14ac:dyDescent="0.3">
      <c r="Q4900" t="str">
        <f t="shared" si="157"/>
        <v/>
      </c>
      <c r="R4900" s="54" t="str">
        <f t="shared" si="156"/>
        <v/>
      </c>
    </row>
    <row r="4901" spans="17:18" x14ac:dyDescent="0.3">
      <c r="Q4901" t="str">
        <f t="shared" si="157"/>
        <v/>
      </c>
      <c r="R4901" s="54" t="str">
        <f t="shared" si="156"/>
        <v/>
      </c>
    </row>
    <row r="4902" spans="17:18" x14ac:dyDescent="0.3">
      <c r="Q4902" t="str">
        <f t="shared" si="157"/>
        <v/>
      </c>
      <c r="R4902" s="54" t="str">
        <f t="shared" si="156"/>
        <v/>
      </c>
    </row>
    <row r="4903" spans="17:18" x14ac:dyDescent="0.3">
      <c r="Q4903" t="str">
        <f t="shared" si="157"/>
        <v/>
      </c>
      <c r="R4903" s="54" t="str">
        <f t="shared" si="156"/>
        <v/>
      </c>
    </row>
    <row r="4904" spans="17:18" x14ac:dyDescent="0.3">
      <c r="Q4904" t="str">
        <f t="shared" si="157"/>
        <v/>
      </c>
      <c r="R4904" s="54" t="str">
        <f t="shared" si="156"/>
        <v/>
      </c>
    </row>
    <row r="4905" spans="17:18" x14ac:dyDescent="0.3">
      <c r="Q4905" t="str">
        <f t="shared" si="157"/>
        <v/>
      </c>
      <c r="R4905" s="54" t="str">
        <f t="shared" si="156"/>
        <v/>
      </c>
    </row>
    <row r="4906" spans="17:18" x14ac:dyDescent="0.3">
      <c r="Q4906" t="str">
        <f t="shared" si="157"/>
        <v/>
      </c>
      <c r="R4906" s="54" t="str">
        <f t="shared" si="156"/>
        <v/>
      </c>
    </row>
    <row r="4907" spans="17:18" x14ac:dyDescent="0.3">
      <c r="Q4907" t="str">
        <f t="shared" si="157"/>
        <v/>
      </c>
      <c r="R4907" s="54" t="str">
        <f t="shared" si="156"/>
        <v/>
      </c>
    </row>
    <row r="4908" spans="17:18" x14ac:dyDescent="0.3">
      <c r="Q4908" t="str">
        <f t="shared" si="157"/>
        <v/>
      </c>
      <c r="R4908" s="54" t="str">
        <f t="shared" si="156"/>
        <v/>
      </c>
    </row>
    <row r="4909" spans="17:18" x14ac:dyDescent="0.3">
      <c r="Q4909" t="str">
        <f t="shared" si="157"/>
        <v/>
      </c>
      <c r="R4909" s="54" t="str">
        <f t="shared" si="156"/>
        <v/>
      </c>
    </row>
    <row r="4910" spans="17:18" x14ac:dyDescent="0.3">
      <c r="Q4910" t="str">
        <f t="shared" si="157"/>
        <v/>
      </c>
      <c r="R4910" s="54" t="str">
        <f t="shared" si="156"/>
        <v/>
      </c>
    </row>
    <row r="4911" spans="17:18" x14ac:dyDescent="0.3">
      <c r="Q4911" t="str">
        <f t="shared" si="157"/>
        <v/>
      </c>
      <c r="R4911" s="54" t="str">
        <f t="shared" si="156"/>
        <v/>
      </c>
    </row>
    <row r="4912" spans="17:18" x14ac:dyDescent="0.3">
      <c r="Q4912" t="str">
        <f t="shared" si="157"/>
        <v/>
      </c>
      <c r="R4912" s="54" t="str">
        <f t="shared" si="156"/>
        <v/>
      </c>
    </row>
    <row r="4913" spans="17:18" x14ac:dyDescent="0.3">
      <c r="Q4913" t="str">
        <f t="shared" si="157"/>
        <v/>
      </c>
      <c r="R4913" s="54" t="str">
        <f t="shared" si="156"/>
        <v/>
      </c>
    </row>
    <row r="4914" spans="17:18" x14ac:dyDescent="0.3">
      <c r="Q4914" t="str">
        <f t="shared" si="157"/>
        <v/>
      </c>
      <c r="R4914" s="54" t="str">
        <f t="shared" si="156"/>
        <v/>
      </c>
    </row>
    <row r="4915" spans="17:18" x14ac:dyDescent="0.3">
      <c r="Q4915" t="str">
        <f t="shared" si="157"/>
        <v/>
      </c>
      <c r="R4915" s="54" t="str">
        <f t="shared" si="156"/>
        <v/>
      </c>
    </row>
    <row r="4916" spans="17:18" x14ac:dyDescent="0.3">
      <c r="Q4916" t="str">
        <f t="shared" si="157"/>
        <v/>
      </c>
      <c r="R4916" s="54" t="str">
        <f t="shared" si="156"/>
        <v/>
      </c>
    </row>
    <row r="4917" spans="17:18" x14ac:dyDescent="0.3">
      <c r="Q4917" t="str">
        <f t="shared" si="157"/>
        <v/>
      </c>
      <c r="R4917" s="54" t="str">
        <f t="shared" si="156"/>
        <v/>
      </c>
    </row>
    <row r="4918" spans="17:18" x14ac:dyDescent="0.3">
      <c r="Q4918" t="str">
        <f t="shared" si="157"/>
        <v/>
      </c>
      <c r="R4918" s="54" t="str">
        <f t="shared" si="156"/>
        <v/>
      </c>
    </row>
    <row r="4919" spans="17:18" x14ac:dyDescent="0.3">
      <c r="Q4919" t="str">
        <f t="shared" si="157"/>
        <v/>
      </c>
      <c r="R4919" s="54" t="str">
        <f t="shared" si="156"/>
        <v/>
      </c>
    </row>
    <row r="4920" spans="17:18" x14ac:dyDescent="0.3">
      <c r="Q4920" t="str">
        <f t="shared" si="157"/>
        <v/>
      </c>
      <c r="R4920" s="54" t="str">
        <f t="shared" si="156"/>
        <v/>
      </c>
    </row>
    <row r="4921" spans="17:18" x14ac:dyDescent="0.3">
      <c r="Q4921" t="str">
        <f t="shared" si="157"/>
        <v/>
      </c>
      <c r="R4921" s="54" t="str">
        <f t="shared" si="156"/>
        <v/>
      </c>
    </row>
    <row r="4922" spans="17:18" x14ac:dyDescent="0.3">
      <c r="Q4922" t="str">
        <f t="shared" si="157"/>
        <v/>
      </c>
      <c r="R4922" s="54" t="str">
        <f t="shared" si="156"/>
        <v/>
      </c>
    </row>
    <row r="4923" spans="17:18" x14ac:dyDescent="0.3">
      <c r="Q4923" t="str">
        <f t="shared" si="157"/>
        <v/>
      </c>
      <c r="R4923" s="54" t="str">
        <f t="shared" si="156"/>
        <v/>
      </c>
    </row>
    <row r="4924" spans="17:18" x14ac:dyDescent="0.3">
      <c r="Q4924" t="str">
        <f t="shared" si="157"/>
        <v/>
      </c>
      <c r="R4924" s="54" t="str">
        <f t="shared" si="156"/>
        <v/>
      </c>
    </row>
    <row r="4925" spans="17:18" x14ac:dyDescent="0.3">
      <c r="Q4925" t="str">
        <f t="shared" si="157"/>
        <v/>
      </c>
      <c r="R4925" s="54" t="str">
        <f t="shared" si="156"/>
        <v/>
      </c>
    </row>
    <row r="4926" spans="17:18" x14ac:dyDescent="0.3">
      <c r="Q4926" t="str">
        <f t="shared" si="157"/>
        <v/>
      </c>
      <c r="R4926" s="54" t="str">
        <f t="shared" si="156"/>
        <v/>
      </c>
    </row>
    <row r="4927" spans="17:18" x14ac:dyDescent="0.3">
      <c r="Q4927" t="str">
        <f t="shared" si="157"/>
        <v/>
      </c>
      <c r="R4927" s="54" t="str">
        <f t="shared" si="156"/>
        <v/>
      </c>
    </row>
    <row r="4928" spans="17:18" x14ac:dyDescent="0.3">
      <c r="Q4928" t="str">
        <f t="shared" si="157"/>
        <v/>
      </c>
      <c r="R4928" s="54" t="str">
        <f t="shared" si="156"/>
        <v/>
      </c>
    </row>
    <row r="4929" spans="17:18" x14ac:dyDescent="0.3">
      <c r="Q4929" t="str">
        <f t="shared" si="157"/>
        <v/>
      </c>
      <c r="R4929" s="54" t="str">
        <f t="shared" si="156"/>
        <v/>
      </c>
    </row>
    <row r="4930" spans="17:18" x14ac:dyDescent="0.3">
      <c r="Q4930" t="str">
        <f t="shared" si="157"/>
        <v/>
      </c>
      <c r="R4930" s="54" t="str">
        <f t="shared" si="156"/>
        <v/>
      </c>
    </row>
    <row r="4931" spans="17:18" x14ac:dyDescent="0.3">
      <c r="Q4931" t="str">
        <f t="shared" si="157"/>
        <v/>
      </c>
      <c r="R4931" s="54" t="str">
        <f t="shared" ref="R4931:R4998" si="158">IF(F4945="","",IFERROR(IF(ISNUMBER(F4945),F4945,DATEVALUE(F4945)),""))</f>
        <v/>
      </c>
    </row>
    <row r="4932" spans="17:18" x14ac:dyDescent="0.3">
      <c r="Q4932" t="str">
        <f t="shared" si="157"/>
        <v/>
      </c>
      <c r="R4932" s="54" t="str">
        <f t="shared" si="158"/>
        <v/>
      </c>
    </row>
    <row r="4933" spans="17:18" x14ac:dyDescent="0.3">
      <c r="Q4933" t="str">
        <f t="shared" si="157"/>
        <v/>
      </c>
      <c r="R4933" s="54" t="str">
        <f t="shared" si="158"/>
        <v/>
      </c>
    </row>
    <row r="4934" spans="17:18" x14ac:dyDescent="0.3">
      <c r="Q4934" t="str">
        <f t="shared" si="157"/>
        <v/>
      </c>
      <c r="R4934" s="54" t="str">
        <f t="shared" si="158"/>
        <v/>
      </c>
    </row>
    <row r="4935" spans="17:18" x14ac:dyDescent="0.3">
      <c r="Q4935" t="str">
        <f t="shared" si="157"/>
        <v/>
      </c>
      <c r="R4935" s="54" t="str">
        <f t="shared" si="158"/>
        <v/>
      </c>
    </row>
    <row r="4936" spans="17:18" x14ac:dyDescent="0.3">
      <c r="Q4936" t="str">
        <f t="shared" si="157"/>
        <v/>
      </c>
      <c r="R4936" s="54" t="str">
        <f t="shared" si="158"/>
        <v/>
      </c>
    </row>
    <row r="4937" spans="17:18" x14ac:dyDescent="0.3">
      <c r="Q4937" t="str">
        <f t="shared" si="157"/>
        <v/>
      </c>
      <c r="R4937" s="54" t="str">
        <f t="shared" si="158"/>
        <v/>
      </c>
    </row>
    <row r="4938" spans="17:18" x14ac:dyDescent="0.3">
      <c r="Q4938" t="str">
        <f t="shared" si="157"/>
        <v/>
      </c>
      <c r="R4938" s="54" t="str">
        <f t="shared" si="158"/>
        <v/>
      </c>
    </row>
    <row r="4939" spans="17:18" x14ac:dyDescent="0.3">
      <c r="Q4939" t="str">
        <f t="shared" si="157"/>
        <v/>
      </c>
      <c r="R4939" s="54" t="str">
        <f t="shared" si="158"/>
        <v/>
      </c>
    </row>
    <row r="4940" spans="17:18" x14ac:dyDescent="0.3">
      <c r="Q4940" t="str">
        <f t="shared" si="157"/>
        <v/>
      </c>
      <c r="R4940" s="54" t="str">
        <f t="shared" si="158"/>
        <v/>
      </c>
    </row>
    <row r="4941" spans="17:18" x14ac:dyDescent="0.3">
      <c r="Q4941" t="str">
        <f t="shared" si="157"/>
        <v/>
      </c>
      <c r="R4941" s="54" t="str">
        <f t="shared" si="158"/>
        <v/>
      </c>
    </row>
    <row r="4942" spans="17:18" x14ac:dyDescent="0.3">
      <c r="Q4942" t="str">
        <f t="shared" si="157"/>
        <v/>
      </c>
      <c r="R4942" s="54" t="str">
        <f t="shared" si="158"/>
        <v/>
      </c>
    </row>
    <row r="4943" spans="17:18" x14ac:dyDescent="0.3">
      <c r="Q4943" t="str">
        <f t="shared" si="157"/>
        <v/>
      </c>
      <c r="R4943" s="54" t="str">
        <f t="shared" si="158"/>
        <v/>
      </c>
    </row>
    <row r="4944" spans="17:18" x14ac:dyDescent="0.3">
      <c r="Q4944" t="str">
        <f t="shared" si="157"/>
        <v/>
      </c>
      <c r="R4944" s="54" t="str">
        <f t="shared" si="158"/>
        <v/>
      </c>
    </row>
    <row r="4945" spans="17:18" x14ac:dyDescent="0.3">
      <c r="Q4945" t="str">
        <f t="shared" si="157"/>
        <v/>
      </c>
      <c r="R4945" s="54" t="str">
        <f t="shared" si="158"/>
        <v/>
      </c>
    </row>
    <row r="4946" spans="17:18" x14ac:dyDescent="0.3">
      <c r="Q4946" t="str">
        <f t="shared" si="157"/>
        <v/>
      </c>
      <c r="R4946" s="54" t="str">
        <f t="shared" si="158"/>
        <v/>
      </c>
    </row>
    <row r="4947" spans="17:18" x14ac:dyDescent="0.3">
      <c r="Q4947" t="str">
        <f t="shared" si="157"/>
        <v/>
      </c>
      <c r="R4947" s="54" t="str">
        <f t="shared" si="158"/>
        <v/>
      </c>
    </row>
    <row r="4948" spans="17:18" x14ac:dyDescent="0.3">
      <c r="Q4948" t="str">
        <f t="shared" si="157"/>
        <v/>
      </c>
      <c r="R4948" s="54" t="str">
        <f t="shared" si="158"/>
        <v/>
      </c>
    </row>
    <row r="4949" spans="17:18" x14ac:dyDescent="0.3">
      <c r="Q4949" t="str">
        <f t="shared" si="157"/>
        <v/>
      </c>
      <c r="R4949" s="54" t="str">
        <f t="shared" si="158"/>
        <v/>
      </c>
    </row>
    <row r="4950" spans="17:18" x14ac:dyDescent="0.3">
      <c r="Q4950" t="str">
        <f t="shared" si="157"/>
        <v/>
      </c>
      <c r="R4950" s="54" t="str">
        <f t="shared" si="158"/>
        <v/>
      </c>
    </row>
    <row r="4951" spans="17:18" x14ac:dyDescent="0.3">
      <c r="Q4951" t="str">
        <f t="shared" ref="Q4951:Q5014" si="159">IF(COUNTA(A4951:P4951)=0,"",IF(ISNUMBER(SEARCH("-AR-",E4965)),"Architectural",IF(ISNUMBER(SEARCH("-ST-",E4965)),"Structural",IF(ISNUMBER(SEARCH("-ME-",E4965)),"Mechanical",IF(ISNUMBER(SEARCH("-EL-",E4965)),"Electrical",IF(ISNUMBER(SEARCH("-GE-",E4965)),"General",IF(ISNUMBER(SEARCH("-AR-",D4965)),"Architectural",IF(ISNUMBER(SEARCH("-ST-",D4965)),"Structural",IF(ISNUMBER(SEARCH("-ME-",D4965)),"Mechanical",IF(ISNUMBER(SEARCH("-EL-",D4965)),"Electrical",IF(ISNUMBER(SEARCH("-GE-",D4965)),"General","Other")))))))))))</f>
        <v/>
      </c>
      <c r="R4951" s="54" t="str">
        <f t="shared" si="158"/>
        <v/>
      </c>
    </row>
    <row r="4952" spans="17:18" x14ac:dyDescent="0.3">
      <c r="Q4952" t="str">
        <f t="shared" si="159"/>
        <v/>
      </c>
      <c r="R4952" s="54" t="str">
        <f t="shared" si="158"/>
        <v/>
      </c>
    </row>
    <row r="4953" spans="17:18" x14ac:dyDescent="0.3">
      <c r="Q4953" t="str">
        <f t="shared" si="159"/>
        <v/>
      </c>
      <c r="R4953" s="54" t="str">
        <f t="shared" si="158"/>
        <v/>
      </c>
    </row>
    <row r="4954" spans="17:18" x14ac:dyDescent="0.3">
      <c r="Q4954" t="str">
        <f t="shared" si="159"/>
        <v/>
      </c>
      <c r="R4954" s="54" t="str">
        <f t="shared" si="158"/>
        <v/>
      </c>
    </row>
    <row r="4955" spans="17:18" x14ac:dyDescent="0.3">
      <c r="Q4955" t="str">
        <f t="shared" si="159"/>
        <v/>
      </c>
      <c r="R4955" s="54" t="str">
        <f t="shared" si="158"/>
        <v/>
      </c>
    </row>
    <row r="4956" spans="17:18" x14ac:dyDescent="0.3">
      <c r="Q4956" t="str">
        <f t="shared" si="159"/>
        <v/>
      </c>
      <c r="R4956" s="54" t="str">
        <f t="shared" si="158"/>
        <v/>
      </c>
    </row>
    <row r="4957" spans="17:18" x14ac:dyDescent="0.3">
      <c r="Q4957" t="str">
        <f t="shared" si="159"/>
        <v/>
      </c>
      <c r="R4957" s="54" t="str">
        <f t="shared" si="158"/>
        <v/>
      </c>
    </row>
    <row r="4958" spans="17:18" x14ac:dyDescent="0.3">
      <c r="Q4958" t="str">
        <f t="shared" si="159"/>
        <v/>
      </c>
      <c r="R4958" s="54" t="str">
        <f t="shared" si="158"/>
        <v/>
      </c>
    </row>
    <row r="4959" spans="17:18" x14ac:dyDescent="0.3">
      <c r="Q4959" t="str">
        <f t="shared" si="159"/>
        <v/>
      </c>
      <c r="R4959" s="54" t="str">
        <f t="shared" si="158"/>
        <v/>
      </c>
    </row>
    <row r="4960" spans="17:18" x14ac:dyDescent="0.3">
      <c r="Q4960" t="str">
        <f t="shared" si="159"/>
        <v/>
      </c>
      <c r="R4960" s="54" t="str">
        <f t="shared" si="158"/>
        <v/>
      </c>
    </row>
    <row r="4961" spans="17:18" x14ac:dyDescent="0.3">
      <c r="Q4961" t="str">
        <f t="shared" si="159"/>
        <v/>
      </c>
      <c r="R4961" s="54" t="str">
        <f t="shared" si="158"/>
        <v/>
      </c>
    </row>
    <row r="4962" spans="17:18" x14ac:dyDescent="0.3">
      <c r="Q4962" t="str">
        <f t="shared" si="159"/>
        <v/>
      </c>
      <c r="R4962" s="54" t="str">
        <f t="shared" si="158"/>
        <v/>
      </c>
    </row>
    <row r="4963" spans="17:18" x14ac:dyDescent="0.3">
      <c r="Q4963" t="str">
        <f t="shared" si="159"/>
        <v/>
      </c>
      <c r="R4963" s="54" t="str">
        <f t="shared" si="158"/>
        <v/>
      </c>
    </row>
    <row r="4964" spans="17:18" x14ac:dyDescent="0.3">
      <c r="Q4964" t="str">
        <f t="shared" si="159"/>
        <v/>
      </c>
      <c r="R4964" s="54" t="str">
        <f t="shared" si="158"/>
        <v/>
      </c>
    </row>
    <row r="4965" spans="17:18" x14ac:dyDescent="0.3">
      <c r="Q4965" t="str">
        <f t="shared" si="159"/>
        <v/>
      </c>
      <c r="R4965" s="54" t="str">
        <f t="shared" si="158"/>
        <v/>
      </c>
    </row>
    <row r="4966" spans="17:18" x14ac:dyDescent="0.3">
      <c r="Q4966" t="str">
        <f t="shared" si="159"/>
        <v/>
      </c>
      <c r="R4966" s="54" t="str">
        <f t="shared" si="158"/>
        <v/>
      </c>
    </row>
    <row r="4967" spans="17:18" x14ac:dyDescent="0.3">
      <c r="Q4967" t="str">
        <f t="shared" si="159"/>
        <v/>
      </c>
      <c r="R4967" s="54" t="str">
        <f t="shared" si="158"/>
        <v/>
      </c>
    </row>
    <row r="4968" spans="17:18" x14ac:dyDescent="0.3">
      <c r="Q4968" t="str">
        <f t="shared" si="159"/>
        <v/>
      </c>
      <c r="R4968" s="54" t="str">
        <f t="shared" si="158"/>
        <v/>
      </c>
    </row>
    <row r="4969" spans="17:18" x14ac:dyDescent="0.3">
      <c r="Q4969" t="str">
        <f t="shared" si="159"/>
        <v/>
      </c>
      <c r="R4969" s="54" t="str">
        <f t="shared" si="158"/>
        <v/>
      </c>
    </row>
    <row r="4970" spans="17:18" x14ac:dyDescent="0.3">
      <c r="Q4970" t="str">
        <f t="shared" si="159"/>
        <v/>
      </c>
      <c r="R4970" s="54" t="str">
        <f t="shared" si="158"/>
        <v/>
      </c>
    </row>
    <row r="4971" spans="17:18" x14ac:dyDescent="0.3">
      <c r="Q4971" t="str">
        <f t="shared" si="159"/>
        <v/>
      </c>
      <c r="R4971" s="54" t="str">
        <f t="shared" si="158"/>
        <v/>
      </c>
    </row>
    <row r="4972" spans="17:18" x14ac:dyDescent="0.3">
      <c r="Q4972" t="str">
        <f t="shared" si="159"/>
        <v/>
      </c>
      <c r="R4972" s="54" t="str">
        <f t="shared" si="158"/>
        <v/>
      </c>
    </row>
    <row r="4973" spans="17:18" x14ac:dyDescent="0.3">
      <c r="Q4973" t="str">
        <f t="shared" si="159"/>
        <v/>
      </c>
      <c r="R4973" s="54" t="str">
        <f t="shared" si="158"/>
        <v/>
      </c>
    </row>
    <row r="4974" spans="17:18" x14ac:dyDescent="0.3">
      <c r="Q4974" t="str">
        <f t="shared" si="159"/>
        <v/>
      </c>
      <c r="R4974" s="54" t="str">
        <f t="shared" si="158"/>
        <v/>
      </c>
    </row>
    <row r="4975" spans="17:18" x14ac:dyDescent="0.3">
      <c r="Q4975" t="str">
        <f t="shared" si="159"/>
        <v/>
      </c>
      <c r="R4975" s="54" t="str">
        <f t="shared" si="158"/>
        <v/>
      </c>
    </row>
    <row r="4976" spans="17:18" x14ac:dyDescent="0.3">
      <c r="Q4976" t="str">
        <f t="shared" si="159"/>
        <v/>
      </c>
      <c r="R4976" s="54" t="str">
        <f t="shared" si="158"/>
        <v/>
      </c>
    </row>
    <row r="4977" spans="17:18" x14ac:dyDescent="0.3">
      <c r="Q4977" t="str">
        <f t="shared" si="159"/>
        <v/>
      </c>
      <c r="R4977" s="54" t="str">
        <f t="shared" si="158"/>
        <v/>
      </c>
    </row>
    <row r="4978" spans="17:18" x14ac:dyDescent="0.3">
      <c r="Q4978" t="str">
        <f t="shared" si="159"/>
        <v/>
      </c>
      <c r="R4978" s="54" t="str">
        <f t="shared" si="158"/>
        <v/>
      </c>
    </row>
    <row r="4979" spans="17:18" x14ac:dyDescent="0.3">
      <c r="Q4979" t="str">
        <f t="shared" si="159"/>
        <v/>
      </c>
      <c r="R4979" s="54" t="str">
        <f t="shared" si="158"/>
        <v/>
      </c>
    </row>
    <row r="4980" spans="17:18" x14ac:dyDescent="0.3">
      <c r="Q4980" t="str">
        <f t="shared" si="159"/>
        <v/>
      </c>
      <c r="R4980" s="54" t="str">
        <f t="shared" si="158"/>
        <v/>
      </c>
    </row>
    <row r="4981" spans="17:18" x14ac:dyDescent="0.3">
      <c r="Q4981" t="str">
        <f t="shared" si="159"/>
        <v/>
      </c>
      <c r="R4981" s="54" t="str">
        <f t="shared" si="158"/>
        <v/>
      </c>
    </row>
    <row r="4982" spans="17:18" x14ac:dyDescent="0.3">
      <c r="Q4982" t="str">
        <f t="shared" si="159"/>
        <v/>
      </c>
      <c r="R4982" s="54" t="str">
        <f t="shared" si="158"/>
        <v/>
      </c>
    </row>
    <row r="4983" spans="17:18" x14ac:dyDescent="0.3">
      <c r="Q4983" t="str">
        <f t="shared" si="159"/>
        <v/>
      </c>
      <c r="R4983" s="54" t="str">
        <f t="shared" si="158"/>
        <v/>
      </c>
    </row>
    <row r="4984" spans="17:18" x14ac:dyDescent="0.3">
      <c r="Q4984" t="str">
        <f t="shared" si="159"/>
        <v/>
      </c>
      <c r="R4984" s="54" t="str">
        <f t="shared" si="158"/>
        <v/>
      </c>
    </row>
    <row r="4985" spans="17:18" x14ac:dyDescent="0.3">
      <c r="Q4985" t="str">
        <f t="shared" si="159"/>
        <v/>
      </c>
      <c r="R4985" s="54" t="str">
        <f t="shared" si="158"/>
        <v/>
      </c>
    </row>
    <row r="4986" spans="17:18" x14ac:dyDescent="0.3">
      <c r="Q4986" t="str">
        <f t="shared" si="159"/>
        <v/>
      </c>
      <c r="R4986" s="54" t="str">
        <f t="shared" si="158"/>
        <v/>
      </c>
    </row>
    <row r="4987" spans="17:18" x14ac:dyDescent="0.3">
      <c r="Q4987" t="str">
        <f t="shared" si="159"/>
        <v/>
      </c>
      <c r="R4987" s="54" t="str">
        <f t="shared" si="158"/>
        <v/>
      </c>
    </row>
    <row r="4988" spans="17:18" x14ac:dyDescent="0.3">
      <c r="Q4988" t="str">
        <f t="shared" si="159"/>
        <v/>
      </c>
      <c r="R4988" s="54" t="str">
        <f t="shared" si="158"/>
        <v/>
      </c>
    </row>
    <row r="4989" spans="17:18" x14ac:dyDescent="0.3">
      <c r="Q4989" t="str">
        <f t="shared" si="159"/>
        <v/>
      </c>
      <c r="R4989" s="54" t="str">
        <f t="shared" si="158"/>
        <v/>
      </c>
    </row>
    <row r="4990" spans="17:18" x14ac:dyDescent="0.3">
      <c r="Q4990" t="str">
        <f t="shared" si="159"/>
        <v/>
      </c>
      <c r="R4990" s="54" t="str">
        <f t="shared" si="158"/>
        <v/>
      </c>
    </row>
    <row r="4991" spans="17:18" x14ac:dyDescent="0.3">
      <c r="Q4991" t="str">
        <f t="shared" si="159"/>
        <v/>
      </c>
      <c r="R4991" s="54" t="str">
        <f t="shared" si="158"/>
        <v/>
      </c>
    </row>
    <row r="4992" spans="17:18" x14ac:dyDescent="0.3">
      <c r="Q4992" t="str">
        <f t="shared" si="159"/>
        <v/>
      </c>
      <c r="R4992" s="54" t="str">
        <f t="shared" si="158"/>
        <v/>
      </c>
    </row>
    <row r="4993" spans="17:18" x14ac:dyDescent="0.3">
      <c r="Q4993" t="str">
        <f t="shared" si="159"/>
        <v/>
      </c>
      <c r="R4993" s="54" t="str">
        <f t="shared" si="158"/>
        <v/>
      </c>
    </row>
    <row r="4994" spans="17:18" x14ac:dyDescent="0.3">
      <c r="Q4994" t="str">
        <f t="shared" si="159"/>
        <v/>
      </c>
      <c r="R4994" s="54" t="str">
        <f t="shared" si="158"/>
        <v/>
      </c>
    </row>
    <row r="4995" spans="17:18" x14ac:dyDescent="0.3">
      <c r="Q4995" t="str">
        <f t="shared" si="159"/>
        <v/>
      </c>
      <c r="R4995" s="54" t="str">
        <f t="shared" si="158"/>
        <v/>
      </c>
    </row>
    <row r="4996" spans="17:18" x14ac:dyDescent="0.3">
      <c r="Q4996" t="str">
        <f t="shared" si="159"/>
        <v/>
      </c>
      <c r="R4996" s="54" t="str">
        <f t="shared" si="158"/>
        <v/>
      </c>
    </row>
    <row r="4997" spans="17:18" x14ac:dyDescent="0.3">
      <c r="Q4997" t="str">
        <f t="shared" si="159"/>
        <v/>
      </c>
      <c r="R4997" s="54" t="str">
        <f t="shared" si="158"/>
        <v/>
      </c>
    </row>
    <row r="4998" spans="17:18" x14ac:dyDescent="0.3">
      <c r="Q4998" t="str">
        <f t="shared" si="159"/>
        <v/>
      </c>
      <c r="R4998" s="54" t="str">
        <f t="shared" si="158"/>
        <v/>
      </c>
    </row>
  </sheetData>
  <mergeCells count="6">
    <mergeCell ref="A1:N2"/>
    <mergeCell ref="M3:N3"/>
    <mergeCell ref="A3:F3"/>
    <mergeCell ref="G3:H3"/>
    <mergeCell ref="K3:L3"/>
    <mergeCell ref="I3:J3"/>
  </mergeCells>
  <phoneticPr fontId="15" type="noConversion"/>
  <conditionalFormatting sqref="O1:O100">
    <cfRule type="containsText" dxfId="1" priority="7" operator="containsText" text="Response ">
      <formula>NOT(ISERROR(SEARCH("Response ",O1)))</formula>
    </cfRule>
    <cfRule type="containsText" dxfId="0" priority="8" operator="containsText" text="open">
      <formula>NOT(ISERROR(SEARCH("open",O1)))</formula>
    </cfRule>
  </conditionalFormatting>
  <dataValidations count="1">
    <dataValidation type="list" allowBlank="1" sqref="O5:O5012" xr:uid="{00000000-0002-0000-0100-000000000000}">
      <formula1>"open,Response"</formula1>
    </dataValidation>
  </dataValidations>
  <pageMargins left="0.7" right="0.7" top="0.75" bottom="0.75" header="0.3" footer="0.3"/>
  <pageSetup paperSize="9" scale="29" orientation="portrait" r:id="rId1"/>
  <colBreaks count="1" manualBreakCount="1">
    <brk id="15" max="99" man="1"/>
  </colBreaks>
  <drawing r:id="rId2"/>
  <tableParts count="1">
    <tablePart r:id="rId3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5d7a996-4dca-498d-b2f5-99e3050e6495">
      <Terms xmlns="http://schemas.microsoft.com/office/infopath/2007/PartnerControls"/>
    </lcf76f155ced4ddcb4097134ff3c332f>
    <TaxCatchAll xmlns="5e47dd1e-c75c-4647-a38b-2c348db83d8f" xsi:nil="true"/>
    <_Flow_SignoffStatus xmlns="85d7a996-4dca-498d-b2f5-99e3050e6495" xsi:nil="true"/>
    <_dlc_DocId xmlns="5e47dd1e-c75c-4647-a38b-2c348db83d8f">D2EH7U7SCT2D-354287951-70717</_dlc_DocId>
    <_dlc_DocIdUrl xmlns="5e47dd1e-c75c-4647-a38b-2c348db83d8f">
      <Url>https://hillintl.sharepoint.com/sites/Extranet2/RasAlHekmaProject/_layouts/15/DocIdRedir.aspx?ID=D2EH7U7SCT2D-354287951-70717</Url>
      <Description>D2EH7U7SCT2D-354287951-70717</Description>
    </_dlc_DocIdUrl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3F3AFB609D59E43A64C56C7F6E0C41E" ma:contentTypeVersion="13" ma:contentTypeDescription="Create a new document." ma:contentTypeScope="" ma:versionID="81e025f90cd434c0211e1a1515787bf4">
  <xsd:schema xmlns:xsd="http://www.w3.org/2001/XMLSchema" xmlns:xs="http://www.w3.org/2001/XMLSchema" xmlns:p="http://schemas.microsoft.com/office/2006/metadata/properties" xmlns:ns2="5e47dd1e-c75c-4647-a38b-2c348db83d8f" xmlns:ns3="85d7a996-4dca-498d-b2f5-99e3050e6495" targetNamespace="http://schemas.microsoft.com/office/2006/metadata/properties" ma:root="true" ma:fieldsID="20ee018d5b1fe350feec45d17926addc" ns2:_="" ns3:_="">
    <xsd:import namespace="5e47dd1e-c75c-4647-a38b-2c348db83d8f"/>
    <xsd:import namespace="85d7a996-4dca-498d-b2f5-99e3050e6495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lcf76f155ced4ddcb4097134ff3c332f" minOccurs="0"/>
                <xsd:element ref="ns2:TaxCatchAll" minOccurs="0"/>
                <xsd:element ref="ns3:MediaServiceOCR" minOccurs="0"/>
                <xsd:element ref="ns3:_Flow_SignoffStatus" minOccurs="0"/>
                <xsd:element ref="ns3:MediaLengthInSeconds" minOccurs="0"/>
                <xsd:element ref="ns3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e47dd1e-c75c-4647-a38b-2c348db83d8f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dexed="true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TaxCatchAll" ma:index="19" nillable="true" ma:displayName="Taxonomy Catch All Column" ma:hidden="true" ma:list="{4a191d51-83f6-44e5-9a00-f37510eee67f}" ma:internalName="TaxCatchAll" ma:showField="CatchAllData" ma:web="5e47dd1e-c75c-4647-a38b-2c348db83d8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d7a996-4dca-498d-b2f5-99e3050e649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description="" ma:hidden="true" ma:indexed="true" ma:internalName="MediaServiceDateTaken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4736617d-e744-49dc-8c2a-216fc45cca7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_Flow_SignoffStatus" ma:index="21" nillable="true" ma:displayName="Sign-off status" ma:internalName="_x0024_Resources_x003a_core_x002c_Signoff_Status">
      <xsd:simpleType>
        <xsd:restriction base="dms:Text"/>
      </xsd:simple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Props1.xml><?xml version="1.0" encoding="utf-8"?>
<ds:datastoreItem xmlns:ds="http://schemas.openxmlformats.org/officeDocument/2006/customXml" ds:itemID="{39C30C44-2C7D-45ED-8BB1-49F2BBE4831B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24C6DD33-1A24-4A6B-A1DE-3B3235DCC96D}">
  <ds:schemaRefs>
    <ds:schemaRef ds:uri="http://purl.org/dc/dcmitype/"/>
    <ds:schemaRef ds:uri="http://schemas.openxmlformats.org/package/2006/metadata/core-properties"/>
    <ds:schemaRef ds:uri="http://www.w3.org/XML/1998/namespace"/>
    <ds:schemaRef ds:uri="http://purl.org/dc/elements/1.1/"/>
    <ds:schemaRef ds:uri="http://purl.org/dc/terms/"/>
    <ds:schemaRef ds:uri="http://schemas.microsoft.com/office/2006/metadata/properties"/>
    <ds:schemaRef ds:uri="5e47dd1e-c75c-4647-a38b-2c348db83d8f"/>
    <ds:schemaRef ds:uri="85d7a996-4dca-498d-b2f5-99e3050e6495"/>
    <ds:schemaRef ds:uri="http://schemas.microsoft.com/office/2006/documentManagement/typ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5B451F3C-1896-4341-9537-4A52DCC0A72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e47dd1e-c75c-4647-a38b-2c348db83d8f"/>
    <ds:schemaRef ds:uri="85d7a996-4dca-498d-b2f5-99e3050e649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4.xml><?xml version="1.0" encoding="utf-8"?>
<ds:datastoreItem xmlns:ds="http://schemas.openxmlformats.org/officeDocument/2006/customXml" ds:itemID="{EDA7C84E-E810-4F47-9C8C-E0EA5699377B}">
  <ds:schemaRefs>
    <ds:schemaRef ds:uri="http://schemas.microsoft.com/sharepoint/event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Dashboard</vt:lpstr>
      <vt:lpstr>RFI</vt:lpstr>
      <vt:lpstr>RFI!Print_Area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Elnoemani, Hazem</dc:creator>
  <cp:keywords/>
  <dc:description/>
  <cp:lastModifiedBy>Elnoemani, Hazem</cp:lastModifiedBy>
  <cp:revision/>
  <dcterms:created xsi:type="dcterms:W3CDTF">2026-10-06T14:49:04Z</dcterms:created>
  <dcterms:modified xsi:type="dcterms:W3CDTF">2026-10-11T14:51:46Z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0x01010013F3AFB609D59E43A64C56C7F6E0C41E</vt:lpwstr>
  </property>
  <property fmtid="{D5CDD505-2E9C-101B-9397-08002B2CF9AE}" pid="3" name="_dlc_DocIdItemGuid">
    <vt:lpwstr>feb4cec0-7434-4dec-8399-ec0221102093</vt:lpwstr>
  </property>
  <property fmtid="{D5CDD505-2E9C-101B-9397-08002B2CF9AE}" pid="4" name="MediaServiceImageTags">
    <vt:lpwstr/>
  </property>
</Properties>
</file>