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204) - DP04/00.03 RFI/"/>
    </mc:Choice>
  </mc:AlternateContent>
  <xr:revisionPtr revIDLastSave="201" documentId="14_{025DF408-E5E4-4EA4-8BD8-88EA167FC286}" xr6:coauthVersionLast="47" xr6:coauthVersionMax="47" xr10:uidLastSave="{A27198A6-1318-4D4C-B34B-00844CF5A8AD}"/>
  <bookViews>
    <workbookView minimized="1" xWindow="33240" yWindow="870" windowWidth="17280" windowHeight="8880" firstSheet="1" activeTab="4" xr2:uid="{00000000-000D-0000-FFFF-FFFF00000000}"/>
  </bookViews>
  <sheets>
    <sheet name="CIVIL" sheetId="1" r:id="rId1"/>
    <sheet name="GEN" sheetId="6" r:id="rId2"/>
    <sheet name="BIM" sheetId="8" r:id="rId3"/>
    <sheet name="STR" sheetId="7" r:id="rId4"/>
    <sheet name="ME" sheetId="9" r:id="rId5"/>
    <sheet name="Arch" sheetId="10" r:id="rId6"/>
    <sheet name="ELEC" sheetId="11" r:id="rId7"/>
  </sheets>
  <definedNames>
    <definedName name="_xlnm._FilterDatabase" localSheetId="5" hidden="1">Arch!$A$4:$M$21</definedName>
    <definedName name="_xlnm._FilterDatabase" localSheetId="2" hidden="1">BIM!$A$4:$P$7</definedName>
    <definedName name="_xlnm._FilterDatabase" localSheetId="0" hidden="1">CIVIL!$A$4:$Q$7</definedName>
    <definedName name="_xlnm._FilterDatabase" localSheetId="6" hidden="1">ELEC!$A$4:$M$7</definedName>
    <definedName name="_xlnm._FilterDatabase" localSheetId="1" hidden="1">GEN!$A$4:$Q$7</definedName>
    <definedName name="_xlnm._FilterDatabase" localSheetId="4" hidden="1">ME!$A$4:$M$16</definedName>
    <definedName name="_xlnm._FilterDatabase" localSheetId="3" hidden="1">STR!$A$4:$N$29</definedName>
    <definedName name="_xlnm.Print_Area" localSheetId="5">Arch!$B$1:$N$26</definedName>
    <definedName name="_xlnm.Print_Area" localSheetId="2">BIM!$B$1:$Q$11</definedName>
    <definedName name="_xlnm.Print_Area" localSheetId="0">CIVIL!$B$1:$R$11</definedName>
    <definedName name="_xlnm.Print_Area" localSheetId="6">ELEC!$B$1:$N$17</definedName>
    <definedName name="_xlnm.Print_Area" localSheetId="1">GEN!$B$1:$R$11</definedName>
    <definedName name="_xlnm.Print_Area" localSheetId="4">ME!$B$1:$N$24</definedName>
    <definedName name="_xlnm.Print_Area" localSheetId="3">STR!$B$1:$O$37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1" l="1"/>
  <c r="N2" i="11"/>
  <c r="N1" i="11"/>
  <c r="N3" i="10" l="1"/>
  <c r="N2" i="10"/>
  <c r="N1" i="10"/>
  <c r="N3" i="9" l="1"/>
  <c r="N2" i="9"/>
  <c r="N1" i="9"/>
  <c r="Q3" i="8"/>
  <c r="Q2" i="8"/>
  <c r="Q1" i="8"/>
  <c r="O3" i="7"/>
  <c r="O2" i="7"/>
  <c r="O1" i="7"/>
  <c r="R3" i="6"/>
  <c r="R2" i="6"/>
  <c r="R1" i="6"/>
  <c r="R1" i="1"/>
  <c r="R3" i="1"/>
  <c r="R2" i="1"/>
</calcChain>
</file>

<file path=xl/sharedStrings.xml><?xml version="1.0" encoding="utf-8"?>
<sst xmlns="http://schemas.openxmlformats.org/spreadsheetml/2006/main" count="779" uniqueCount="512">
  <si>
    <t>Mail No</t>
  </si>
  <si>
    <t>Subject</t>
  </si>
  <si>
    <t>Date</t>
  </si>
  <si>
    <t>CCCEGY-RFI-000001</t>
  </si>
  <si>
    <t>CCCEGY-RFI-000002</t>
  </si>
  <si>
    <t>CCCEGY-RFI-000003</t>
  </si>
  <si>
    <t>RFI No</t>
  </si>
  <si>
    <t>Dewan to  hill</t>
  </si>
  <si>
    <t>hill TO CCC</t>
  </si>
  <si>
    <t>Response </t>
  </si>
  <si>
    <t>open</t>
  </si>
  <si>
    <t>ALL</t>
  </si>
  <si>
    <t>REV</t>
  </si>
  <si>
    <t>ACC TO HILL</t>
  </si>
  <si>
    <t>Hill to ACC</t>
  </si>
  <si>
    <t>Request For Information Log  For Design Pakage 04 (CIVIL)</t>
  </si>
  <si>
    <t>ACCE-RFI-000001</t>
  </si>
  <si>
    <t>REH.08.26.3204-ACC-HILL-RFI-Civil-00001</t>
  </si>
  <si>
    <t>Rough grading levels</t>
  </si>
  <si>
    <t>Request For Information Log  For Design Pakage 04 (STR)</t>
  </si>
  <si>
    <t>Sent To Ihab Ghaly 
HillInt-RFI-000484
21/6/2026</t>
  </si>
  <si>
    <t>Hill to 
Al Ain Consulting Engineers</t>
  </si>
  <si>
    <t xml:space="preserve">Al Ain Consulting Engineers
 to Hill </t>
  </si>
  <si>
    <t>ACC to Hill</t>
  </si>
  <si>
    <t>HillInt-RFI-000484
HillInt-RFI-000516</t>
  </si>
  <si>
    <t>Sent To Al Ain
HillInt-RFI-000516
24/6/2026</t>
  </si>
  <si>
    <t>Proposed Mock-Up Villa Location</t>
  </si>
  <si>
    <t>REH.08.26.3204-ACC-HILL-RFI-GEN-00001</t>
  </si>
  <si>
    <t>25/6/2026</t>
  </si>
  <si>
    <t>Request For Information Log  For Design Pakage 04 (GENERAL)</t>
  </si>
  <si>
    <t>ACCE-RFI-000003</t>
  </si>
  <si>
    <t>HillInt-RFI-000539
HillInt-RFI-000558</t>
  </si>
  <si>
    <t>HillInt-RTRFI-000652</t>
  </si>
  <si>
    <t>ACE-UAE-GNC-000090</t>
  </si>
  <si>
    <t xml:space="preserve">REH.08.26.3204-ACC-HILL-RFI-ST-00001 </t>
  </si>
  <si>
    <t>ACCE-RFI-000004</t>
  </si>
  <si>
    <t>Missing IFC Structural Documents – Community Club House (Early Works)</t>
  </si>
  <si>
    <t xml:space="preserve"> 4 July 2026</t>
  </si>
  <si>
    <t>HillInt-RFI-000627</t>
  </si>
  <si>
    <t>HillInt-RTRFI-000722</t>
  </si>
  <si>
    <t>ACE-UAE-RTRFI-000001</t>
  </si>
  <si>
    <t>REH.08.26.3204-ACC-HILL-RFI-ST-00002</t>
  </si>
  <si>
    <t>Request for Coordinated MEP Utility Drawings</t>
  </si>
  <si>
    <t>ACCE-RFI-000005</t>
  </si>
  <si>
    <t>HillInt-RFI-000678</t>
  </si>
  <si>
    <t>N/A</t>
  </si>
  <si>
    <t>HillInt-RTRFI-000763</t>
  </si>
  <si>
    <t>reminder sent  9/7/2026
Reply by Eng Hossam Swify</t>
  </si>
  <si>
    <t>REH.08.26.3204-ACC-HILL-RFI-ST-00003</t>
  </si>
  <si>
    <t>Conflicts Between Received Revit Model and Str. IFC Packages.</t>
  </si>
  <si>
    <t>REH.08.26.3204-ACC-HILL-RFI-BIM-00001</t>
  </si>
  <si>
    <t>Request for Aconex Configuration and Information Container Naming Metadata</t>
  </si>
  <si>
    <t>ACCE-RFI-000007</t>
  </si>
  <si>
    <t>HillInt-RTRFI-000784</t>
  </si>
  <si>
    <t>HillInt-RFI-000731</t>
  </si>
  <si>
    <t>ACCE-RFI-000009</t>
  </si>
  <si>
    <t xml:space="preserve">by Eng hossam swaify
</t>
  </si>
  <si>
    <t>REH.08.26.3204-ACC-HILL-RFI-ST-00004</t>
  </si>
  <si>
    <t>Steel Bar Diameters</t>
  </si>
  <si>
    <t>ACCE-RFI-000010</t>
  </si>
  <si>
    <t>HillInt-RFI-000736</t>
  </si>
  <si>
    <t>REH.08.26.3204-ACC-HILL-RFI-BIM-00002</t>
  </si>
  <si>
    <t>Rivit Version</t>
  </si>
  <si>
    <t>Rejected</t>
  </si>
  <si>
    <t>HillInt-GNC-001859</t>
  </si>
  <si>
    <t>ACCE-RFI-000011</t>
  </si>
  <si>
    <t>HillInt-RTRFI-000815</t>
  </si>
  <si>
    <t>ACE-UAE-RTRFI-000004</t>
  </si>
  <si>
    <t>ACE-UAE-RTRFI-000002</t>
  </si>
  <si>
    <t>ACE-UAE-RTRFI-000003</t>
  </si>
  <si>
    <t>HillInt-RTRFI-000817</t>
  </si>
  <si>
    <t>Request For Information Log  For Design Pakage 04 (ME)</t>
  </si>
  <si>
    <t>Request For Information Log  For Design Pakage 04 (BIM)</t>
  </si>
  <si>
    <t xml:space="preserve">REH.08.26.3204-ACC-HILL-RFI-ME-00001 </t>
  </si>
  <si>
    <t>REH.08.26.3204-ACC-HILL-RFI-ME-00002</t>
  </si>
  <si>
    <t>ACCE-RFI-000012</t>
  </si>
  <si>
    <t>Firefighting Network (Fire Hydrant)</t>
  </si>
  <si>
    <t>ACCE-RFI-000013</t>
  </si>
  <si>
    <t>Precast Concrete Manhole</t>
  </si>
  <si>
    <t>REH.08.26.3204-ACC-HILL-RFI-ST-00005</t>
  </si>
  <si>
    <t>REH.08.26.3204-ACC-HILL-RFI-ST-00006</t>
  </si>
  <si>
    <t>Request for Sub-Structure IFC Revit Model</t>
  </si>
  <si>
    <t>ACCE-RFI-000014</t>
  </si>
  <si>
    <t>ACCE-RFI-000015</t>
  </si>
  <si>
    <t>HillInt-RFI-000796</t>
  </si>
  <si>
    <t>Conflicts Between Received Revit Model and Str. IFC Packages</t>
  </si>
  <si>
    <t>HillInt-RFI-000797</t>
  </si>
  <si>
    <t>REH.08.26.3204-ACC-HILL-RFI-ST-00007</t>
  </si>
  <si>
    <t>ACCE-RFI-000018</t>
  </si>
  <si>
    <t>Proposal Design Foundation as a RAFT Instead of isolated with strip footings</t>
  </si>
  <si>
    <t>HillInt-RFI-000808</t>
  </si>
  <si>
    <t>HillInt-RFI-000822</t>
  </si>
  <si>
    <t>HillInt-RFI-000823</t>
  </si>
  <si>
    <t>REH.08.26.3204-ACC-HILL-RFI-ST-00008</t>
  </si>
  <si>
    <t>HillInt-RFI-000829</t>
  </si>
  <si>
    <t>Unclear Relationship Between Site Contours and Villa Soil Replacement/Boundary Walls Layout</t>
  </si>
  <si>
    <t>ACCE-RFI-000019</t>
  </si>
  <si>
    <t>REH.08.26.3204-ACC-HILL-RFI-ST-00009</t>
  </si>
  <si>
    <t>ACCE-RFI-000020</t>
  </si>
  <si>
    <t>Conflict Between Layout and STR IFC Drawing for villas</t>
  </si>
  <si>
    <t>HillInt-RFI-000831</t>
  </si>
  <si>
    <t>HillInt-RTRFI-000950</t>
  </si>
  <si>
    <t>Darr-RTCL-000530</t>
  </si>
  <si>
    <t>REH.08.26.3204-ACC-HILL-RFI-ST-00010</t>
  </si>
  <si>
    <t>New Mockup Suggestion DP04 Villa 69</t>
  </si>
  <si>
    <t>ACCE-RFI-000021</t>
  </si>
  <si>
    <t>HillInt-RFI-000845</t>
  </si>
  <si>
    <t>HillInt-RTRFI-000959</t>
  </si>
  <si>
    <t>ACE-UAE-RTRFI-000011</t>
  </si>
  <si>
    <t>HillInt-RTRFI-000961</t>
  </si>
  <si>
    <t>ACE-UAE-RTRFI-000009</t>
  </si>
  <si>
    <t>HillInt-RTRFI-000963</t>
  </si>
  <si>
    <t>ACE-UAE-RTRFI-000008</t>
  </si>
  <si>
    <t>Received a revised response from ACE</t>
  </si>
  <si>
    <t>HillInt-RTRFI-000965</t>
  </si>
  <si>
    <t xml:space="preserve">
ACE-UAE-RTRFI-000010</t>
  </si>
  <si>
    <t>Rev</t>
  </si>
  <si>
    <t>ACCE-RFI-000023</t>
  </si>
  <si>
    <t>HillInt-RTRFI-000984</t>
  </si>
  <si>
    <t>ACE-UAE-RTRFI-000012</t>
  </si>
  <si>
    <t>Request for Approval of Shoring System</t>
  </si>
  <si>
    <t>REH.08.26.3204-ACC-HILL-RFI-ST-00011</t>
  </si>
  <si>
    <t>REH.08.26.3204-ACC-HILL-RFI-ST-00012</t>
  </si>
  <si>
    <t>ACCE-RFI-000025</t>
  </si>
  <si>
    <t>HillInt-RTRFI-001006</t>
  </si>
  <si>
    <t>ACE-UAE-RTRFI-000013</t>
  </si>
  <si>
    <t>ACE-UAE-RTRFI-000014</t>
  </si>
  <si>
    <t>HillInt-GNC-002532</t>
  </si>
  <si>
    <t>HillInt-GNC-002533</t>
  </si>
  <si>
    <t>REH.08.26.3204-ACC-HILL-RFI-ME-00003</t>
  </si>
  <si>
    <t xml:space="preserve"> Proposed Replacement of Ductile Iron (DI) Pipes with HDPE Pipes</t>
  </si>
  <si>
    <t>ACCE-RFI-000024</t>
  </si>
  <si>
    <t>ACCE-RFI-000027</t>
  </si>
  <si>
    <t>Clarification – Cold-Applied Bituminous Waterproofing</t>
  </si>
  <si>
    <t>Contour Data &amp; Limitations for Coastal Park</t>
  </si>
  <si>
    <t>HillInt-GNC-002592</t>
  </si>
  <si>
    <t>ACCE-RFI-000028</t>
  </si>
  <si>
    <t>HillInt-RTRFI-000997
HillInt-RTRFI-001021</t>
  </si>
  <si>
    <t>HillInt-RFI-000855
ACE-UAE-RTRFI-000015</t>
  </si>
  <si>
    <t>REH.08.26.3204-ACC-HILL-RFI-AR-00002</t>
  </si>
  <si>
    <t>ACCE-RFI-000030</t>
  </si>
  <si>
    <t>Elevator Enclosure &amp; Stair Boundary</t>
  </si>
  <si>
    <t>HillInt-RFI-000925</t>
  </si>
  <si>
    <t>REH.08.26.3204-ACC-HILL-RFI-AR-00001</t>
  </si>
  <si>
    <t>Request to Replace Cement Board with Solid Blockwork</t>
  </si>
  <si>
    <t>HillInt-RFI-000927</t>
  </si>
  <si>
    <t>ACCE-RFI-000029</t>
  </si>
  <si>
    <t>REH.08.26.3204-ACC-HILL-RFI-AR-00003</t>
  </si>
  <si>
    <t>ACCE-RFI-000032</t>
  </si>
  <si>
    <t>Discrepancies in Blockwork Legends, Wall Build-ups &amp; Specification Across 7BD,5BD &amp; 4BD Villa Types</t>
  </si>
  <si>
    <t>HillInt-RFI-000929</t>
  </si>
  <si>
    <t>REH.08.26.3204-ACC-HILL-RFI-ME-00004</t>
  </si>
  <si>
    <t>Proposed Modification of FCU Return Air from Free Return to Ducted Return.</t>
  </si>
  <si>
    <t>ACCE-RFI-000034</t>
  </si>
  <si>
    <t>HillInt-RFI-000922</t>
  </si>
  <si>
    <t>HillInt-RFI-000962</t>
  </si>
  <si>
    <t>REH.08.26.3204-ACC-HILL-RFI-AR-00004</t>
  </si>
  <si>
    <t>Tolerance Between Rough Openings and Clear Openings</t>
  </si>
  <si>
    <t>ACCE-RFI-000033</t>
  </si>
  <si>
    <t>REH.08.26.3204-ACC-HILL-RFI-ST-00013</t>
  </si>
  <si>
    <t>REH.08.26.3204-ACC-HILL-RFI-ST-00014</t>
  </si>
  <si>
    <t>ACCE-RFI-000036</t>
  </si>
  <si>
    <t>Dimension Discrepancy for Columns (C9) on Axis AD</t>
  </si>
  <si>
    <t>HillInt-RFI-000963</t>
  </si>
  <si>
    <t>Waste Room Foundation Drop Details</t>
  </si>
  <si>
    <t>ACCE-RFI-000035</t>
  </si>
  <si>
    <t>HillInt-RFI-000964</t>
  </si>
  <si>
    <t>HillInt-RTRFI-001050</t>
  </si>
  <si>
    <t>ACE-UAE-RTRFI-000016</t>
  </si>
  <si>
    <t>HillInt-RTRFI-001051</t>
  </si>
  <si>
    <t>ACE-UAE-RTRFI-000017</t>
  </si>
  <si>
    <t>HillInt-RTRFI-001053</t>
  </si>
  <si>
    <t>Darr-GNC-001038</t>
  </si>
  <si>
    <t>REH.08.26.3204-ACC-HILL-RFI-ME-00005</t>
  </si>
  <si>
    <t>REH.08.26.3204-ACC-HILL-RFI-ST-00015</t>
  </si>
  <si>
    <t>Discrepancies in Foundation Beam FB6 &amp; Grid Axis AE Setting Out – Villa Type 7BD</t>
  </si>
  <si>
    <t>ICON-GNC-000116</t>
  </si>
  <si>
    <t>HillInt-RTRFI-001083</t>
  </si>
  <si>
    <t>ACCE-RFI-000040</t>
  </si>
  <si>
    <t>HillInt-RFI-001062</t>
  </si>
  <si>
    <t>ACE-UAE-RTRFI-000019</t>
  </si>
  <si>
    <t>HillInt-RTRFI-001097</t>
  </si>
  <si>
    <t>HillInt-RTRFI-001098</t>
  </si>
  <si>
    <t>ACE-UAE-RTRFI-000020</t>
  </si>
  <si>
    <t>Darr-GNC-001039</t>
  </si>
  <si>
    <t>HillInt-RTRFI-001103</t>
  </si>
  <si>
    <t>REH.08.26.3204-ACC-HILL-RFI-ME-00006</t>
  </si>
  <si>
    <t>ACCE-RFI-000041</t>
  </si>
  <si>
    <t>MEP Penetrations- Proposed Sleeve and Opening Frame Materials – Review &amp; Approval</t>
  </si>
  <si>
    <t xml:space="preserve">DAR/ACE
 to Hill </t>
  </si>
  <si>
    <t>Pipe sleeve &amp; duct sleeve</t>
  </si>
  <si>
    <t>ACCE-RFI-000038</t>
  </si>
  <si>
    <t>HillInt-RTRFI-001127</t>
  </si>
  <si>
    <t>ACE-UAE-RTRFI-000022</t>
  </si>
  <si>
    <t>REH.08.26.3204-ACC-HILL-RFI-ST-00016</t>
  </si>
  <si>
    <t>REH.08.26.3204-ACC-HILL-RFI-ST-00017</t>
  </si>
  <si>
    <t>REH.08.26.3204-ACC-HILL-RFI-ST-00018</t>
  </si>
  <si>
    <t>Request For Information Log  For Design Pakage 04 (ELEC)</t>
  </si>
  <si>
    <t>ACCE-RFI-000044</t>
  </si>
  <si>
    <t>REH.08.26.3204-ACC-HILL-RFI-EL-00001</t>
  </si>
  <si>
    <t>Home Automation - Canceled</t>
  </si>
  <si>
    <t>Provision of Concrete Upstand &amp; Downstand Beams at Terraces, Openings &amp; Staircases – General Clarification</t>
  </si>
  <si>
    <t>ACCE-RFI-000047</t>
  </si>
  <si>
    <t>REH.08.26.3204-ACC-HILL-RFI-ME-00007</t>
  </si>
  <si>
    <t>Clarification Required – Fire Rating of Shafts and MEP Penetrations</t>
  </si>
  <si>
    <t>ACCE-RFI-000042</t>
  </si>
  <si>
    <t>Clarification Required- Mechanical Shaft Structural Divider at Grid AB, A5 – Villa Type 7BD</t>
  </si>
  <si>
    <t>ACCE-RFI-000046</t>
  </si>
  <si>
    <t>Structural Slab Opening Modifications for Electrical Shaft – Villa 7BD</t>
  </si>
  <si>
    <t>ACCE-RFI-000045</t>
  </si>
  <si>
    <t>REH.08.26.3204-ACC-HILL-RFI-AR-00005</t>
  </si>
  <si>
    <t>REH.08.26.3204-ACC-HILL-RFI-AR-00006</t>
  </si>
  <si>
    <t>REH.08.26.3204-ACC-HILL-RFI-AR-00007</t>
  </si>
  <si>
    <t>Window Head Height Discrepancy</t>
  </si>
  <si>
    <t>ACCE-RFI-000048</t>
  </si>
  <si>
    <t>ACCE-RFI-000052</t>
  </si>
  <si>
    <t>Pocket Sliding Door (TD-07/08/09)</t>
  </si>
  <si>
    <t>Missing Data for Arched Window-7BD</t>
  </si>
  <si>
    <t>ACCE-RFI-000050</t>
  </si>
  <si>
    <t>REH.08.26.3204-ACC-HILL-RFI-ST-00019</t>
  </si>
  <si>
    <t>Villa Excavation Sequence &amp; Temporary Shoring Requirement</t>
  </si>
  <si>
    <t>REH.08.26.3204-ACC-HILL-RFI-AR-00008</t>
  </si>
  <si>
    <t>Main Entrance Door Height Confirmation – Villa 7BD</t>
  </si>
  <si>
    <t>ACCE-RFI-000053</t>
  </si>
  <si>
    <t>HillInt-RFI-001100</t>
  </si>
  <si>
    <t>HillInt-RFI-001101</t>
  </si>
  <si>
    <t>HillInt-RFI-001108</t>
  </si>
  <si>
    <t>HillInt-RFI-001109</t>
  </si>
  <si>
    <t>ACCE-RFI-000054</t>
  </si>
  <si>
    <t>HillInt-RFI-001111</t>
  </si>
  <si>
    <t>HillInt-RFI-001119</t>
  </si>
  <si>
    <t>HillInt-RFI-001121</t>
  </si>
  <si>
    <t>ACE-UAE-RTRFI-000024</t>
  </si>
  <si>
    <t>ACE-UAE-RTRFI-000023</t>
  </si>
  <si>
    <t>HillInt-RTRFI-001176</t>
  </si>
  <si>
    <t>HillInt-RFI-001122</t>
  </si>
  <si>
    <t>HillInt-RFI-001123</t>
  </si>
  <si>
    <t>HillInt-RFI-001124</t>
  </si>
  <si>
    <t>HillInt-RTRFI-001198</t>
  </si>
  <si>
    <t>ACE-UAE-RTRFI-000025</t>
  </si>
  <si>
    <t>HillInt-RFI-000950
HillInt-RFI-001149</t>
  </si>
  <si>
    <t>Alignment &amp; Dimensions of Wall Supporting Staircase Flight – Villa Types 4BD &amp; 5BD</t>
  </si>
  <si>
    <t>REH.08.26.3204-ACC-HILL-RFI-ST-00020</t>
  </si>
  <si>
    <t>ACCE-RFI-000058</t>
  </si>
  <si>
    <t>HillInt-GNC-003255</t>
  </si>
  <si>
    <t>ACE-UAE-RTRFI-000032</t>
  </si>
  <si>
    <t>HillInt-GNC-003264</t>
  </si>
  <si>
    <t>ACE-UAE-RTRFI-000028</t>
  </si>
  <si>
    <t>HillInt-GNC-003271</t>
  </si>
  <si>
    <t>ACE-UAE-RTRFI-000031</t>
  </si>
  <si>
    <t>ACE-UAE-RTRFI-000030</t>
  </si>
  <si>
    <t>HillInt-GNC-003299</t>
  </si>
  <si>
    <t>HillInt-GNC-003302</t>
  </si>
  <si>
    <t>ACE-UAE-RTRFI-000029</t>
  </si>
  <si>
    <t xml:space="preserve">overdue ACE response
reports was sent to ACE 24 Aug
reminder was sent on 1 Sep
 </t>
  </si>
  <si>
    <t>HillInt-GNC-003303</t>
  </si>
  <si>
    <t>REH.08.26.3204-ACC-HILL-RFI-ST-00021</t>
  </si>
  <si>
    <t>REH.08.26.3204-ACC-HILL-RFI-ST-00022</t>
  </si>
  <si>
    <t>HillInt-RFI-001185</t>
  </si>
  <si>
    <t>Waterproofing System for Swimming Pools, Pump Rooms</t>
  </si>
  <si>
    <t>ACCE-RFI-000060</t>
  </si>
  <si>
    <t>Removal of Concrete Wall Behind Swimming Pool at Step 4</t>
  </si>
  <si>
    <t>ACCE-RFI-000059</t>
  </si>
  <si>
    <t>HillInt-GNC-003325</t>
  </si>
  <si>
    <t>HillInt-RFI-001067
HillInt-RFI-001190</t>
  </si>
  <si>
    <t>REH.08.26.3204-ACC-HILL-RFI-AR-00009</t>
  </si>
  <si>
    <t>REH.08.26.3204-ACC-HILL-RFI-AR-00010</t>
  </si>
  <si>
    <t>Roof Finish Discrepancy &amp; Missing Roof Build-up - Flooring Details</t>
  </si>
  <si>
    <t>ACCE-RFI-000062</t>
  </si>
  <si>
    <t>HillInt-GNC-003344</t>
  </si>
  <si>
    <t>REH.08.26.3204-ACC-HILL-RFI-AR-00011</t>
  </si>
  <si>
    <t>REH.08.26.3204-ACC-HILL-RFI-AR-00012</t>
  </si>
  <si>
    <t>REH.08.26.3204-ACC-HILL-RFI-AR-00013</t>
  </si>
  <si>
    <t>Metal Trim (MT-03) Fixation Data &amp; BOH - Wet Area Applicability</t>
  </si>
  <si>
    <t>HillInt-GNC-003355</t>
  </si>
  <si>
    <t>ACCE-RFI-000065</t>
  </si>
  <si>
    <t>ACCE-RFI-000061</t>
  </si>
  <si>
    <t>Curtain Box Ceiling Level Discrepancy</t>
  </si>
  <si>
    <t>HillInt-GNC-003362</t>
  </si>
  <si>
    <t>ACCE-RFI-000063</t>
  </si>
  <si>
    <t>HillInt-GNC-003369</t>
  </si>
  <si>
    <t>Missing BOH Threshold &amp; Floor Separation (Metal Trim) Details</t>
  </si>
  <si>
    <t>REH.08.26.3204-ACC-HILL-RFI-AR-00014</t>
  </si>
  <si>
    <t>ACCE-RFI-000066</t>
  </si>
  <si>
    <t>Missing Skirting Data &amp; Missing Floor Finish</t>
  </si>
  <si>
    <t>HillInt-GNC-003373</t>
  </si>
  <si>
    <t>HillInt-GNC-003376</t>
  </si>
  <si>
    <t>REH.08.26.3204-ACC-HILL-RFI-EL-00002</t>
  </si>
  <si>
    <t>ONT CABINET</t>
  </si>
  <si>
    <t>ACCE-RFI-000068</t>
  </si>
  <si>
    <t>REH.08.26.3204-ACC-HILL-RFI-EL-00003</t>
  </si>
  <si>
    <t>ACCE-RFI-000071</t>
  </si>
  <si>
    <t>Fiber Terminal Box Location</t>
  </si>
  <si>
    <t>HillInt-GNC-003377</t>
  </si>
  <si>
    <t>REH.08.26.3204-ACC-HILL-RFI-AR-00015</t>
  </si>
  <si>
    <t>REH.08.26.3204-ACC-HILL-RFI-AR-00016</t>
  </si>
  <si>
    <t>ACCE-RFI-000072</t>
  </si>
  <si>
    <t>Clarification of Ceiling Level</t>
  </si>
  <si>
    <t>HillInt-GNC-003378</t>
  </si>
  <si>
    <t>HillInt-GNC-003380</t>
  </si>
  <si>
    <t>REH.08.26.3204-ACC-HILL-RFI-ME-00008</t>
  </si>
  <si>
    <t>Proposed Galvanized Steel Ductwork instead of Pre-Insulated Duct.</t>
  </si>
  <si>
    <t>ACCE-RFI-000075</t>
  </si>
  <si>
    <t>External Door Threshold Details – Main Entrance &amp; Other External Doors</t>
  </si>
  <si>
    <t>HillInt-GNC-003389</t>
  </si>
  <si>
    <t>ACCE-RFI-000074</t>
  </si>
  <si>
    <t>HillInt-GNC-003390</t>
  </si>
  <si>
    <t>ACCE-RFI-000073</t>
  </si>
  <si>
    <t>REH.08.26.3204-ACC-HILL-RFI-ME-00009</t>
  </si>
  <si>
    <t>Proposed False Ceiling Level Adjustment for MEP Coordination</t>
  </si>
  <si>
    <t>HillInt-GNC-003391</t>
  </si>
  <si>
    <t>HillInt-RFI-001068
HillInt-RFI-001194</t>
  </si>
  <si>
    <t>8/24/2026
09/09/2026</t>
  </si>
  <si>
    <t>HAP Cooling Load Calculations for Villa 4BR</t>
  </si>
  <si>
    <t>REH.08.26.3204-ACC-HILL-RFI-ME-00010</t>
  </si>
  <si>
    <t>ACCE-RFI-000077</t>
  </si>
  <si>
    <t>HillInt-GNC-003518</t>
  </si>
  <si>
    <t>REH.08.26.3204-ACC-HILL-RFI-ME-00011</t>
  </si>
  <si>
    <t>ACCE-RFI-000078</t>
  </si>
  <si>
    <t>HAP Cooling Load Calculations for Villa 5BR</t>
  </si>
  <si>
    <t>HillInt-GNC-003519</t>
  </si>
  <si>
    <t>ACE 1 sep 2026</t>
  </si>
  <si>
    <t>ACE 3 sep 2026</t>
  </si>
  <si>
    <t>ACE 9 sep 2026</t>
  </si>
  <si>
    <t>ACE 30 Aug 2026</t>
  </si>
  <si>
    <t>Ation by</t>
  </si>
  <si>
    <t>REH.08.26.3204-ACC-HILL-RFI-ME-00012</t>
  </si>
  <si>
    <t>HillInt-GNC-003537</t>
  </si>
  <si>
    <t>ACCE-RFI-000080</t>
  </si>
  <si>
    <t>HAP Cooling Load Calculations for Villa 7 BR</t>
  </si>
  <si>
    <t>ACE-UAE-RTRFI-000026
SHKECGCR-GNC-000258</t>
  </si>
  <si>
    <t>9/2/2026
13 sep 2026</t>
  </si>
  <si>
    <t>HillInt-GNC-003579</t>
  </si>
  <si>
    <t>SHKECGCR-GNC-000257</t>
  </si>
  <si>
    <t>HillInt-GNC-003580</t>
  </si>
  <si>
    <t>REH.08.26.3204-ACC-HILL-RFI-EL-00004</t>
  </si>
  <si>
    <t>Lighting control for first floor in 4-Bedroom villas</t>
  </si>
  <si>
    <t>ACCE-RFI-000081</t>
  </si>
  <si>
    <t>HillInt-GNC-003602</t>
  </si>
  <si>
    <t>HillInt-GNC-003604</t>
  </si>
  <si>
    <t>ACE-UAE-RTRFI-000034</t>
  </si>
  <si>
    <t>ACE-UAE-RTRFI-000037</t>
  </si>
  <si>
    <t>HillInt-GNC-003607</t>
  </si>
  <si>
    <t>ACE-UAE-RTRFI-000036</t>
  </si>
  <si>
    <t>HillInt-GNC-003609</t>
  </si>
  <si>
    <t>ACE-UAE-RTRFI-000035</t>
  </si>
  <si>
    <t>HillInt-GNC-003610</t>
  </si>
  <si>
    <t>ACE-UAE-RTRFI-000033</t>
  </si>
  <si>
    <t>HillInt-GNC-003612</t>
  </si>
  <si>
    <t>ACE-UAE-RTRFI-000039</t>
  </si>
  <si>
    <t>HillInt-GNC-003644</t>
  </si>
  <si>
    <t>HillInt-GNC-003648</t>
  </si>
  <si>
    <t>ACE-UAE-RTRFI-000038</t>
  </si>
  <si>
    <t>ACE-UAE-RTRFI-000040</t>
  </si>
  <si>
    <t>HillInt-GNC-003649</t>
  </si>
  <si>
    <t>ACE-UAE-RTRFI-000042</t>
  </si>
  <si>
    <t>HillInt-GNC-003687</t>
  </si>
  <si>
    <t>ACE-UAE-RTRFI-000043</t>
  </si>
  <si>
    <t>HillInt-GNC-003689</t>
  </si>
  <si>
    <t>ACE-UAE-RTRFI-000044</t>
  </si>
  <si>
    <t>HillInt-GNC-003694</t>
  </si>
  <si>
    <t>ACE-UAE-RTRFI-000045</t>
  </si>
  <si>
    <t>HillInt-GNC-003696</t>
  </si>
  <si>
    <t>ACE-UAE-RTRFI-000047</t>
  </si>
  <si>
    <t>HillInt-GNC-003707</t>
  </si>
  <si>
    <t>ACE-UAE-GNC-000172</t>
  </si>
  <si>
    <t>HillInt-GNC-003745</t>
  </si>
  <si>
    <t>Tank Drainage Provision and Required Floor Level Arrangement</t>
  </si>
  <si>
    <t>REH.08.26.3204-ACC-HILL-RFI-ME-00013</t>
  </si>
  <si>
    <t>ACCE-RFI-000082</t>
  </si>
  <si>
    <t>Solid Blocks at Door &amp; Window Openings</t>
  </si>
  <si>
    <t>REH.08.26.3204-ACC-HILL-RFI-AR-00017</t>
  </si>
  <si>
    <t>HillInt-GNC-003801</t>
  </si>
  <si>
    <t>ACCE-RFI-000086</t>
  </si>
  <si>
    <t>ACCE-RFI-000083</t>
  </si>
  <si>
    <t>HillInt-GNC-003802</t>
  </si>
  <si>
    <t>HillInt-GNC-003803</t>
  </si>
  <si>
    <t>Discrepancies in Revit Models Between Substructure and Superstructure Packages</t>
  </si>
  <si>
    <t>REH.08.26.3204-ACC-HILL-RFI-ST-00023</t>
  </si>
  <si>
    <t>ACCE-RFI-000084</t>
  </si>
  <si>
    <t>REH.08.26.3204-ACC-HILL-RFI-ST-00024</t>
  </si>
  <si>
    <t>Dimension Discrepancy for Column SC1 at Grid A7 – Villa Type 7BD</t>
  </si>
  <si>
    <t>ACCE-RFI-000085</t>
  </si>
  <si>
    <t>HillInt-GNC-003804</t>
  </si>
  <si>
    <t>HillInt-GNC-003865</t>
  </si>
  <si>
    <t>ACE-UAE-RTRFI-000050</t>
  </si>
  <si>
    <t>HillInt-GNC-003866</t>
  </si>
  <si>
    <t>ACE-UAE-RTRFI-000049</t>
  </si>
  <si>
    <t>ACE-UAE-RTRFI-000048</t>
  </si>
  <si>
    <t>HillInt-GNC-003867</t>
  </si>
  <si>
    <t>HillInt-GNC-003989</t>
  </si>
  <si>
    <t>ACE-UAE-RTRFI-000041</t>
  </si>
  <si>
    <t>HillInt-GNC-004036</t>
  </si>
  <si>
    <t>ACE-UAE-RTRFI-000051</t>
  </si>
  <si>
    <t>ACE-UAE-RTRFI-000054</t>
  </si>
  <si>
    <t>HillInt-GNC-004039</t>
  </si>
  <si>
    <t>HillInt-GNC-004065</t>
  </si>
  <si>
    <t>ACE-UAE-RTRFI-000053</t>
  </si>
  <si>
    <t>ACE-UAE-RTRFI-000052</t>
  </si>
  <si>
    <t>HillInt-GNC-004066</t>
  </si>
  <si>
    <t>REH.08.26.3204-ACC-HILL-RFI-ST-00025</t>
  </si>
  <si>
    <t>REH.08.26.3204-ACC-HILL-RFI-ST-00026</t>
  </si>
  <si>
    <t>Missing Revit Model – Public Realm MSE Walls Structural IFC</t>
  </si>
  <si>
    <t>Lower Retaining Wall Levels &amp; Foundation Arrangement</t>
  </si>
  <si>
    <t>ACCE-RFI-000088</t>
  </si>
  <si>
    <t>ACCE-RFI-000087</t>
  </si>
  <si>
    <t>HillInt-GNC-004169</t>
  </si>
  <si>
    <t>ACE-UAE-RTRFI-000060</t>
  </si>
  <si>
    <t>HillInt-GNC-004191</t>
  </si>
  <si>
    <t>HillInt-GNC-004194</t>
  </si>
  <si>
    <t>ACE-UAE-RTRFI-000056</t>
  </si>
  <si>
    <t>HillInt-GNC-004195</t>
  </si>
  <si>
    <t>ACE-UAE-RTRFI-000057</t>
  </si>
  <si>
    <t>HillInt-GNC-004196</t>
  </si>
  <si>
    <t>ACE-UAE-RTRFI-000058</t>
  </si>
  <si>
    <t>HillInt-GNC-004197</t>
  </si>
  <si>
    <t>ACE-UAE-RTRFI-000059</t>
  </si>
  <si>
    <t>REH.08.26.3204-ACC-HILL-RFI-ME-00014</t>
  </si>
  <si>
    <t>REH.08.26.3204-ACC-HILL-RFI-ME-00015</t>
  </si>
  <si>
    <t>ACCE-RFI-000091</t>
  </si>
  <si>
    <t>HillInt-GNC-004231</t>
  </si>
  <si>
    <t>ACCE-RFI-000092</t>
  </si>
  <si>
    <t>HillInt-GNC-004239</t>
  </si>
  <si>
    <t>REH.08.26.3204-ACC-HILL-RFI-ME-00016</t>
  </si>
  <si>
    <t>ACCE-RFI-000093</t>
  </si>
  <si>
    <t>HillInt-GNC-004240</t>
  </si>
  <si>
    <t>REH.08.26.3204-ACC-HILL-RFI-ST-00027</t>
  </si>
  <si>
    <t>REH.08.26.3204-ACC-HILL-RFI-ST-00028</t>
  </si>
  <si>
    <t>ACCE-RFI-000095</t>
  </si>
  <si>
    <t>Missing Revit Model – Public Realm MSE Walls Structural IFC (Follow-up)</t>
  </si>
  <si>
    <t>Adjustment of Utility Building Staircase Design Due to Pump Room Level Reduction</t>
  </si>
  <si>
    <t>ACCE-RFI-000094</t>
  </si>
  <si>
    <t>HillInt-GNC-004309</t>
  </si>
  <si>
    <t>REH.08.26.3204-ACC-HILL-RFI-ME-00017</t>
  </si>
  <si>
    <t>Penstock Height</t>
  </si>
  <si>
    <t>ACCE-RFI-000096</t>
  </si>
  <si>
    <t>REH.08.26.3204-ACC-HILL-RFI-AR-00018</t>
  </si>
  <si>
    <t>ACCE-RFI-000097</t>
  </si>
  <si>
    <t>Clubhouse Wall Types Discrepancies – BOQ vs. IFC Revit Model vs. IFC Drawing</t>
  </si>
  <si>
    <t>HillInt-GNC-004357</t>
  </si>
  <si>
    <t>HillInt-GNC-004358</t>
  </si>
  <si>
    <t>ACE-UAE-RTRFI-000061</t>
  </si>
  <si>
    <t>HillInt-GNC-004359</t>
  </si>
  <si>
    <t>ACE-UAE-RTRFI-000063</t>
  </si>
  <si>
    <t>ACE-UAE-RTRFI-000062</t>
  </si>
  <si>
    <t>HillInt-GNC-004363</t>
  </si>
  <si>
    <t>ACCE-RFI-000100</t>
  </si>
  <si>
    <t>9/292026</t>
  </si>
  <si>
    <t>Solid Blocks at Door &amp; Window opening</t>
  </si>
  <si>
    <t>HillInt-GNC-004452</t>
  </si>
  <si>
    <t>REH.08.26.3204-ACC-HILL-RFI-ST-00029</t>
  </si>
  <si>
    <t>REH.08.26.3204-ACC-HILL-RFI-ST-00030</t>
  </si>
  <si>
    <t>HillInt-GNC-004466</t>
  </si>
  <si>
    <t>ACCE-RFI-000098</t>
  </si>
  <si>
    <t>Suction Pit Discrepancy Between Structural &amp; Mechanical IFC Packages – Irrigation Tanks 1 &amp; 2</t>
  </si>
  <si>
    <t>ACCE-RFI-000099</t>
  </si>
  <si>
    <t>Stone Cladding for Lower Retaining Wall</t>
  </si>
  <si>
    <t>HillInt-GNC-004528</t>
  </si>
  <si>
    <t>ACE</t>
  </si>
  <si>
    <t>Hill to 
Designer Consultant</t>
  </si>
  <si>
    <t>Designer Consultant</t>
  </si>
  <si>
    <t>ICON</t>
  </si>
  <si>
    <t xml:space="preserve">Designer Consultant
 to Hill </t>
  </si>
  <si>
    <t>DAR</t>
  </si>
  <si>
    <t>Don't issue the response for contractor
before confirmation form Mr. Ihab Ghaly</t>
  </si>
  <si>
    <t>HillInt-GNC-004552</t>
  </si>
  <si>
    <t>ACE-UAE-RTRFI-000065</t>
  </si>
  <si>
    <t>HillInt-GNC-004784</t>
  </si>
  <si>
    <t>ACCE-RFI-000105</t>
  </si>
  <si>
    <t>HillInt-GNC-004786</t>
  </si>
  <si>
    <t>ACCE-RFI-000106</t>
  </si>
  <si>
    <t>HillInt-GNC-004787</t>
  </si>
  <si>
    <t>HillInt-GNC-004961</t>
  </si>
  <si>
    <t>ICON-GNC-000179</t>
  </si>
  <si>
    <t>ICON-GNC-000177</t>
  </si>
  <si>
    <t>HillInt-GNC-004962</t>
  </si>
  <si>
    <t>HillInt-GNC-004963</t>
  </si>
  <si>
    <t>ACE-UAE-RTRFI-000066</t>
  </si>
  <si>
    <t>HillInt-GNC-004964</t>
  </si>
  <si>
    <t>Darr-RTRFI-000193</t>
  </si>
  <si>
    <t>HillInt-GNC-004965</t>
  </si>
  <si>
    <t xml:space="preserve"> Discrepancies in Blockwork Legends, Wall Build-ups &amp; Specification Across 7BD,5BD &amp; 4BD</t>
  </si>
  <si>
    <t>ACCE-RFI-000107</t>
  </si>
  <si>
    <t>HillInt-GNC-005014</t>
  </si>
  <si>
    <t>REH.08.26.3204-ACC-HILL-RFI-ME-00018</t>
  </si>
  <si>
    <t>REH.08.26.3204-ACC-HILL-RFI-ME-00019</t>
  </si>
  <si>
    <t>ECG</t>
  </si>
  <si>
    <t>Hill to 
Consultant</t>
  </si>
  <si>
    <t>HillInt-GNC-005024</t>
  </si>
  <si>
    <t>Inspection Chamber for Irrigation Drainage</t>
  </si>
  <si>
    <t>ACCE-RFI-000103</t>
  </si>
  <si>
    <t>HillInt-GNC-005030</t>
  </si>
  <si>
    <t>SHKECGCR-RTRFI-000189</t>
  </si>
  <si>
    <t>Closed-Out</t>
  </si>
  <si>
    <t>SHKECGCR-RTRFI-000191</t>
  </si>
  <si>
    <t>HillInt-GNC-005032</t>
  </si>
  <si>
    <t>ACE-UAE-RTRFI-000046</t>
  </si>
  <si>
    <t>HillInt-GNC-004374</t>
  </si>
  <si>
    <t>Door Nib Size Increase to Resolve Architrave Clash with Wall Finish</t>
  </si>
  <si>
    <t>ACCE-RFI-000108</t>
  </si>
  <si>
    <t>Insufficient Door Nib for Architrave – Villa Type 4BD (Doors D-06 &amp; D-01)</t>
  </si>
  <si>
    <t>ACCE-RFI-000109</t>
  </si>
  <si>
    <t>HillInt-GNC-005048</t>
  </si>
  <si>
    <t>HillInt-GNC-005049</t>
  </si>
  <si>
    <t>REH.08.26.3204-ACC-HILL-RFI-EL-00005</t>
  </si>
  <si>
    <t>Backbox lighting switch with different circuits</t>
  </si>
  <si>
    <t>ACCE-RFI-000102</t>
  </si>
  <si>
    <t>HillInt-GNC-005050</t>
  </si>
  <si>
    <t>REH.08.26.3204-ACC-HILL-RFI-AR-00019</t>
  </si>
  <si>
    <t>REH.08.26.3204-ACC-HILL-RFI-AR-00020</t>
  </si>
  <si>
    <t>ACCE-RFI-000104</t>
  </si>
  <si>
    <t>Recessed Slab Required in All First-Floor Bathrooms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</si>
</sst>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333333"/>
      <name val="Arial"/>
      <family val="2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gray06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0" xfId="0" applyFill="1"/>
    <xf numFmtId="0" fontId="0" fillId="4" borderId="7" xfId="0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0" fillId="4" borderId="0" xfId="0" applyFill="1" applyAlignment="1">
      <alignment wrapText="1"/>
    </xf>
    <xf numFmtId="15" fontId="0" fillId="0" borderId="18" xfId="0" applyNumberForma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15" fontId="7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15" fontId="7" fillId="8" borderId="1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5" fontId="7" fillId="0" borderId="6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15" fontId="7" fillId="0" borderId="11" xfId="0" applyNumberFormat="1" applyFont="1" applyBorder="1" applyAlignment="1">
      <alignment horizontal="center" vertical="center" wrapText="1"/>
    </xf>
    <xf numFmtId="15" fontId="0" fillId="0" borderId="11" xfId="0" applyNumberFormat="1" applyBorder="1" applyAlignment="1">
      <alignment horizontal="center" vertical="center" wrapText="1"/>
    </xf>
    <xf numFmtId="15" fontId="7" fillId="0" borderId="8" xfId="0" applyNumberFormat="1" applyFont="1" applyBorder="1" applyAlignment="1">
      <alignment horizontal="center" vertical="center" wrapText="1"/>
    </xf>
    <xf numFmtId="15" fontId="0" fillId="0" borderId="10" xfId="0" applyNumberFormat="1" applyBorder="1" applyAlignment="1">
      <alignment horizontal="center" vertical="center" wrapText="1"/>
    </xf>
    <xf numFmtId="15" fontId="0" fillId="0" borderId="20" xfId="0" applyNumberFormat="1" applyBorder="1" applyAlignment="1">
      <alignment horizontal="center" vertical="center" wrapText="1"/>
    </xf>
    <xf numFmtId="15" fontId="0" fillId="0" borderId="21" xfId="0" applyNumberForma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5" fontId="7" fillId="0" borderId="13" xfId="0" applyNumberFormat="1" applyFont="1" applyBorder="1" applyAlignment="1">
      <alignment horizontal="center" vertical="center" wrapText="1"/>
    </xf>
    <xf numFmtId="15" fontId="0" fillId="0" borderId="12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5" fontId="7" fillId="0" borderId="7" xfId="0" applyNumberFormat="1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5" fontId="0" fillId="0" borderId="22" xfId="0" applyNumberFormat="1" applyBorder="1" applyAlignment="1">
      <alignment horizontal="center" vertical="center" wrapText="1"/>
    </xf>
    <xf numFmtId="15" fontId="0" fillId="0" borderId="23" xfId="0" applyNumberFormat="1" applyBorder="1" applyAlignment="1">
      <alignment horizontal="center" vertical="center" wrapText="1"/>
    </xf>
    <xf numFmtId="15" fontId="7" fillId="9" borderId="26" xfId="0" applyNumberFormat="1" applyFont="1" applyFill="1" applyBorder="1" applyAlignment="1">
      <alignment horizontal="center" vertical="center" wrapText="1"/>
    </xf>
    <xf numFmtId="15" fontId="7" fillId="9" borderId="1" xfId="0" applyNumberFormat="1" applyFont="1" applyFill="1" applyBorder="1" applyAlignment="1">
      <alignment horizontal="center" vertical="center" wrapText="1"/>
    </xf>
    <xf numFmtId="15" fontId="7" fillId="9" borderId="25" xfId="0" applyNumberFormat="1" applyFont="1" applyFill="1" applyBorder="1" applyAlignment="1">
      <alignment horizontal="center" vertical="center" wrapText="1"/>
    </xf>
    <xf numFmtId="15" fontId="0" fillId="9" borderId="26" xfId="0" applyNumberFormat="1" applyFill="1" applyBorder="1" applyAlignment="1">
      <alignment horizontal="center" vertical="center" wrapText="1"/>
    </xf>
    <xf numFmtId="15" fontId="0" fillId="9" borderId="1" xfId="0" applyNumberFormat="1" applyFill="1" applyBorder="1" applyAlignment="1">
      <alignment horizontal="center" vertical="center" wrapText="1"/>
    </xf>
    <xf numFmtId="15" fontId="0" fillId="9" borderId="25" xfId="0" applyNumberFormat="1" applyFill="1" applyBorder="1" applyAlignment="1">
      <alignment horizontal="center" vertical="center" wrapText="1"/>
    </xf>
    <xf numFmtId="15" fontId="0" fillId="9" borderId="22" xfId="0" applyNumberFormat="1" applyFill="1" applyBorder="1" applyAlignment="1">
      <alignment horizontal="center" vertical="center" wrapText="1"/>
    </xf>
    <xf numFmtId="15" fontId="0" fillId="9" borderId="18" xfId="0" applyNumberFormat="1" applyFill="1" applyBorder="1" applyAlignment="1">
      <alignment horizontal="center" vertical="center" wrapText="1"/>
    </xf>
    <xf numFmtId="15" fontId="0" fillId="9" borderId="23" xfId="0" applyNumberForma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/>
    </xf>
    <xf numFmtId="14" fontId="0" fillId="0" borderId="21" xfId="0" applyNumberFormat="1" applyBorder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11" fillId="10" borderId="0" xfId="0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 vertical="center"/>
    </xf>
    <xf numFmtId="15" fontId="7" fillId="0" borderId="4" xfId="0" applyNumberFormat="1" applyFont="1" applyBorder="1" applyAlignment="1">
      <alignment horizontal="center" vertical="center" wrapText="1"/>
    </xf>
    <xf numFmtId="15" fontId="7" fillId="0" borderId="18" xfId="0" applyNumberFormat="1" applyFont="1" applyBorder="1" applyAlignment="1">
      <alignment horizontal="center" vertical="center" wrapText="1"/>
    </xf>
    <xf numFmtId="15" fontId="7" fillId="0" borderId="16" xfId="0" applyNumberFormat="1" applyFont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view="pageBreakPreview" topLeftCell="B1" zoomScale="70" zoomScaleNormal="100" zoomScaleSheetLayoutView="70" workbookViewId="0">
      <pane ySplit="4" topLeftCell="A5" activePane="bottomLeft" state="frozen"/>
      <selection pane="bottomLeft" activeCell="E6" sqref="E6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11.21875" style="2" customWidth="1"/>
    <col min="4" max="4" width="38.88671875" style="2" customWidth="1"/>
    <col min="5" max="5" width="38" style="2" customWidth="1"/>
    <col min="6" max="10" width="17.77734375" style="2" customWidth="1"/>
    <col min="11" max="11" width="22.109375" style="2" customWidth="1"/>
    <col min="12" max="12" width="17.77734375" style="2" customWidth="1"/>
    <col min="13" max="14" width="17.77734375" style="2" hidden="1" customWidth="1"/>
    <col min="15" max="15" width="19.33203125" style="2" hidden="1" customWidth="1"/>
    <col min="16" max="16" width="17.77734375" style="2" hidden="1" customWidth="1"/>
    <col min="17" max="17" width="17.5546875" style="2" customWidth="1"/>
    <col min="18" max="18" width="27" style="27" customWidth="1"/>
    <col min="19" max="19" width="21.5546875" customWidth="1"/>
    <col min="20" max="20" width="23.33203125" customWidth="1"/>
  </cols>
  <sheetData>
    <row r="1" spans="1:20" ht="37.200000000000003" customHeight="1" x14ac:dyDescent="0.3">
      <c r="A1" s="95" t="s">
        <v>15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14" t="s">
        <v>11</v>
      </c>
      <c r="R1" s="3">
        <f>COUNTA(Q$5:Q$1048576)</f>
        <v>2</v>
      </c>
    </row>
    <row r="2" spans="1:20" ht="37.200000000000003" customHeight="1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15" t="s">
        <v>9</v>
      </c>
      <c r="R2" s="17">
        <f>COUNTIF(Q$5:Q$1048576,"Response ")</f>
        <v>2</v>
      </c>
    </row>
    <row r="3" spans="1:20" ht="40.799999999999997" customHeight="1" x14ac:dyDescent="0.3">
      <c r="A3" s="41" t="s">
        <v>13</v>
      </c>
      <c r="B3" s="41"/>
      <c r="C3" s="108" t="s">
        <v>23</v>
      </c>
      <c r="D3" s="97"/>
      <c r="E3" s="97"/>
      <c r="F3" s="97"/>
      <c r="G3" s="107" t="s">
        <v>21</v>
      </c>
      <c r="H3" s="103"/>
      <c r="I3" s="99" t="s">
        <v>22</v>
      </c>
      <c r="J3" s="106"/>
      <c r="K3" s="98" t="s">
        <v>14</v>
      </c>
      <c r="L3" s="101"/>
      <c r="M3" s="104" t="s">
        <v>7</v>
      </c>
      <c r="N3" s="105"/>
      <c r="O3" s="104" t="s">
        <v>8</v>
      </c>
      <c r="P3" s="105"/>
      <c r="Q3" s="15" t="s">
        <v>10</v>
      </c>
      <c r="R3" s="17">
        <f>COUNTIF(Q$5:Q$1048576,"OPEN")</f>
        <v>0</v>
      </c>
    </row>
    <row r="4" spans="1:20" ht="59.4" customHeight="1" x14ac:dyDescent="0.3">
      <c r="A4" s="18" t="s">
        <v>0</v>
      </c>
      <c r="B4" s="18" t="s">
        <v>0</v>
      </c>
      <c r="C4" s="18" t="s">
        <v>12</v>
      </c>
      <c r="D4" s="19" t="s">
        <v>6</v>
      </c>
      <c r="E4" s="19" t="s">
        <v>1</v>
      </c>
      <c r="F4" s="33" t="s">
        <v>2</v>
      </c>
      <c r="G4" s="65" t="s">
        <v>0</v>
      </c>
      <c r="H4" s="33" t="s">
        <v>2</v>
      </c>
      <c r="I4" s="35" t="s">
        <v>0</v>
      </c>
      <c r="J4" s="66" t="s">
        <v>2</v>
      </c>
      <c r="K4" s="34" t="s">
        <v>0</v>
      </c>
      <c r="L4" s="21" t="s">
        <v>2</v>
      </c>
      <c r="M4" s="20" t="s">
        <v>0</v>
      </c>
      <c r="N4" s="21" t="s">
        <v>2</v>
      </c>
      <c r="O4" s="20" t="s">
        <v>0</v>
      </c>
      <c r="P4" s="21" t="s">
        <v>2</v>
      </c>
      <c r="Q4" s="22"/>
      <c r="R4" s="23"/>
    </row>
    <row r="5" spans="1:20" s="12" customFormat="1" ht="46.2" customHeight="1" x14ac:dyDescent="0.3">
      <c r="A5" s="11" t="s">
        <v>5</v>
      </c>
      <c r="B5" s="29" t="s">
        <v>16</v>
      </c>
      <c r="C5" s="29">
        <v>0</v>
      </c>
      <c r="D5" s="10" t="s">
        <v>17</v>
      </c>
      <c r="E5" s="30" t="s">
        <v>18</v>
      </c>
      <c r="F5" s="51">
        <v>46190</v>
      </c>
      <c r="G5" s="69" t="s">
        <v>24</v>
      </c>
      <c r="H5" s="70">
        <v>46194</v>
      </c>
      <c r="I5" s="70" t="s">
        <v>33</v>
      </c>
      <c r="J5" s="71">
        <v>46202</v>
      </c>
      <c r="K5" s="64" t="s">
        <v>32</v>
      </c>
      <c r="L5" s="36">
        <v>46202</v>
      </c>
      <c r="M5" s="7"/>
      <c r="N5" s="8"/>
      <c r="O5" s="24"/>
      <c r="P5" s="25"/>
      <c r="Q5" s="16" t="s">
        <v>9</v>
      </c>
      <c r="R5" s="17"/>
      <c r="S5" s="31" t="s">
        <v>20</v>
      </c>
      <c r="T5" s="31" t="s">
        <v>25</v>
      </c>
    </row>
    <row r="6" spans="1:20" s="12" customFormat="1" ht="51.6" customHeight="1" x14ac:dyDescent="0.3">
      <c r="A6" s="13" t="s">
        <v>4</v>
      </c>
      <c r="B6" s="29" t="s">
        <v>136</v>
      </c>
      <c r="C6" s="5">
        <v>1</v>
      </c>
      <c r="D6" s="10" t="s">
        <v>17</v>
      </c>
      <c r="E6" s="1" t="s">
        <v>134</v>
      </c>
      <c r="F6" s="9">
        <v>46247</v>
      </c>
      <c r="G6" s="72" t="s">
        <v>135</v>
      </c>
      <c r="H6" s="73">
        <v>46250</v>
      </c>
      <c r="I6" s="5" t="s">
        <v>176</v>
      </c>
      <c r="J6" s="74">
        <v>46255</v>
      </c>
      <c r="K6" s="5" t="s">
        <v>177</v>
      </c>
      <c r="L6" s="9">
        <v>46257</v>
      </c>
      <c r="M6" s="6"/>
      <c r="N6" s="4"/>
      <c r="O6" s="26"/>
      <c r="P6" s="25"/>
      <c r="Q6" s="16" t="s">
        <v>9</v>
      </c>
      <c r="R6" s="17"/>
    </row>
    <row r="7" spans="1:20" s="12" customFormat="1" ht="51.6" customHeight="1" x14ac:dyDescent="0.3">
      <c r="A7" s="13" t="s">
        <v>3</v>
      </c>
      <c r="B7" s="28"/>
      <c r="C7" s="5"/>
      <c r="D7" s="1"/>
      <c r="E7" s="1"/>
      <c r="F7" s="9"/>
      <c r="G7" s="72"/>
      <c r="H7" s="73"/>
      <c r="I7" s="73"/>
      <c r="J7" s="74"/>
      <c r="K7" s="5"/>
      <c r="L7" s="9"/>
      <c r="M7" s="6"/>
      <c r="N7" s="4"/>
      <c r="O7" s="26"/>
      <c r="P7" s="25"/>
      <c r="Q7" s="16"/>
      <c r="R7" s="17"/>
    </row>
    <row r="8" spans="1:20" s="12" customFormat="1" ht="51.6" customHeight="1" x14ac:dyDescent="0.3">
      <c r="A8" s="13"/>
      <c r="B8" s="28"/>
      <c r="C8" s="5"/>
      <c r="D8" s="1"/>
      <c r="E8" s="1"/>
      <c r="F8" s="9"/>
      <c r="G8" s="72"/>
      <c r="H8" s="73"/>
      <c r="I8" s="73"/>
      <c r="J8" s="74"/>
      <c r="K8" s="5"/>
      <c r="L8" s="9"/>
      <c r="M8" s="6"/>
      <c r="N8" s="4"/>
      <c r="O8" s="26"/>
      <c r="P8" s="25"/>
      <c r="Q8" s="16"/>
      <c r="R8" s="17"/>
    </row>
    <row r="9" spans="1:20" s="12" customFormat="1" ht="51.6" customHeight="1" x14ac:dyDescent="0.3">
      <c r="A9" s="13"/>
      <c r="B9" s="1"/>
      <c r="C9" s="1"/>
      <c r="D9" s="1"/>
      <c r="E9" s="1"/>
      <c r="F9" s="9"/>
      <c r="G9" s="72"/>
      <c r="H9" s="73"/>
      <c r="I9" s="73"/>
      <c r="J9" s="74"/>
      <c r="K9" s="5"/>
      <c r="L9" s="37"/>
      <c r="M9" s="1"/>
      <c r="N9" s="1"/>
      <c r="O9" s="38"/>
      <c r="P9" s="39"/>
      <c r="Q9" s="16"/>
      <c r="R9" s="40"/>
    </row>
    <row r="10" spans="1:20" s="12" customFormat="1" ht="51.6" customHeight="1" x14ac:dyDescent="0.3">
      <c r="A10" s="13"/>
      <c r="B10" s="1"/>
      <c r="C10" s="1"/>
      <c r="D10" s="1"/>
      <c r="E10" s="1"/>
      <c r="F10" s="9"/>
      <c r="G10" s="72"/>
      <c r="H10" s="73"/>
      <c r="I10" s="73"/>
      <c r="J10" s="74"/>
      <c r="K10" s="5"/>
      <c r="L10" s="37"/>
      <c r="M10" s="1"/>
      <c r="N10" s="1"/>
      <c r="O10" s="38"/>
      <c r="P10" s="39"/>
      <c r="Q10" s="16"/>
      <c r="R10" s="40"/>
    </row>
    <row r="11" spans="1:20" s="12" customFormat="1" ht="51.6" customHeight="1" x14ac:dyDescent="0.3">
      <c r="A11" s="13"/>
      <c r="B11" s="1"/>
      <c r="C11" s="1"/>
      <c r="D11" s="1"/>
      <c r="E11" s="1"/>
      <c r="F11" s="9"/>
      <c r="G11" s="72"/>
      <c r="H11" s="73"/>
      <c r="I11" s="73"/>
      <c r="J11" s="74"/>
      <c r="K11" s="5"/>
      <c r="L11" s="37"/>
      <c r="M11" s="1"/>
      <c r="N11" s="1"/>
      <c r="O11" s="38"/>
      <c r="P11" s="39"/>
      <c r="Q11" s="16"/>
      <c r="R11" s="40"/>
    </row>
    <row r="12" spans="1:20" s="12" customFormat="1" ht="51.6" customHeight="1" x14ac:dyDescent="0.3">
      <c r="A12" s="13"/>
      <c r="B12" s="28"/>
      <c r="C12" s="5"/>
      <c r="D12" s="1"/>
      <c r="E12" s="1"/>
      <c r="F12" s="9"/>
      <c r="G12" s="75"/>
      <c r="H12" s="76"/>
      <c r="I12" s="76"/>
      <c r="J12" s="77"/>
      <c r="K12" s="5"/>
      <c r="L12" s="9"/>
      <c r="M12" s="6"/>
      <c r="N12" s="4"/>
      <c r="O12" s="26"/>
      <c r="P12" s="25"/>
      <c r="Q12" s="16"/>
      <c r="R12" s="17"/>
    </row>
    <row r="13" spans="1:20" s="12" customFormat="1" ht="51.6" customHeight="1" x14ac:dyDescent="0.3">
      <c r="A13" s="13"/>
      <c r="B13" s="28"/>
      <c r="C13" s="5"/>
      <c r="D13" s="1"/>
      <c r="E13" s="1"/>
      <c r="F13" s="9"/>
      <c r="G13" s="75"/>
      <c r="H13" s="76"/>
      <c r="I13" s="76"/>
      <c r="J13" s="77"/>
      <c r="K13" s="5"/>
      <c r="L13" s="9"/>
      <c r="M13" s="6"/>
      <c r="N13" s="4"/>
      <c r="O13" s="26"/>
      <c r="P13" s="25"/>
      <c r="Q13" s="16"/>
      <c r="R13" s="17"/>
    </row>
    <row r="14" spans="1:20" s="12" customFormat="1" ht="51.6" customHeight="1" x14ac:dyDescent="0.3">
      <c r="A14" s="13"/>
      <c r="B14" s="28"/>
      <c r="C14" s="5"/>
      <c r="D14" s="1"/>
      <c r="E14" s="1"/>
      <c r="F14" s="9"/>
      <c r="G14" s="75"/>
      <c r="H14" s="76"/>
      <c r="I14" s="76"/>
      <c r="J14" s="77"/>
      <c r="K14" s="5"/>
      <c r="L14" s="9"/>
      <c r="M14" s="6"/>
      <c r="N14" s="4"/>
      <c r="O14" s="26"/>
      <c r="P14" s="25"/>
      <c r="Q14" s="16"/>
      <c r="R14" s="17"/>
    </row>
    <row r="15" spans="1:20" s="12" customFormat="1" ht="51.6" customHeight="1" x14ac:dyDescent="0.3">
      <c r="A15" s="13"/>
      <c r="B15" s="28"/>
      <c r="C15" s="5"/>
      <c r="D15" s="1"/>
      <c r="E15" s="1"/>
      <c r="F15" s="9"/>
      <c r="G15" s="75"/>
      <c r="H15" s="76"/>
      <c r="I15" s="76"/>
      <c r="J15" s="77"/>
      <c r="K15" s="5"/>
      <c r="L15" s="9"/>
      <c r="M15" s="6"/>
      <c r="N15" s="4"/>
      <c r="O15" s="26"/>
      <c r="P15" s="25"/>
      <c r="Q15" s="16"/>
      <c r="R15" s="17"/>
    </row>
    <row r="16" spans="1:20" s="12" customFormat="1" ht="51.6" customHeight="1" x14ac:dyDescent="0.3">
      <c r="A16" s="13"/>
      <c r="B16" s="28"/>
      <c r="C16" s="5"/>
      <c r="D16" s="1"/>
      <c r="E16" s="1"/>
      <c r="F16" s="9"/>
      <c r="G16" s="75"/>
      <c r="H16" s="76"/>
      <c r="I16" s="76"/>
      <c r="J16" s="77"/>
      <c r="K16" s="5"/>
      <c r="L16" s="9"/>
      <c r="M16" s="6"/>
      <c r="N16" s="4"/>
      <c r="O16" s="26"/>
      <c r="P16" s="25"/>
      <c r="Q16" s="16"/>
      <c r="R16" s="17"/>
    </row>
    <row r="17" spans="1:18" s="12" customFormat="1" ht="51.6" customHeight="1" x14ac:dyDescent="0.3">
      <c r="A17" s="13"/>
      <c r="B17" s="28"/>
      <c r="C17" s="5"/>
      <c r="D17" s="1"/>
      <c r="E17" s="1"/>
      <c r="F17" s="9"/>
      <c r="G17" s="75"/>
      <c r="H17" s="76"/>
      <c r="I17" s="76"/>
      <c r="J17" s="77"/>
      <c r="K17" s="5"/>
      <c r="L17" s="9"/>
      <c r="M17" s="6"/>
      <c r="N17" s="4"/>
      <c r="O17" s="26"/>
      <c r="P17" s="25"/>
      <c r="Q17" s="16"/>
      <c r="R17" s="17"/>
    </row>
    <row r="18" spans="1:18" s="12" customFormat="1" ht="51.6" customHeight="1" x14ac:dyDescent="0.3">
      <c r="A18" s="13"/>
      <c r="B18" s="28"/>
      <c r="C18" s="5"/>
      <c r="D18" s="1"/>
      <c r="E18" s="1"/>
      <c r="F18" s="9"/>
      <c r="G18" s="75"/>
      <c r="H18" s="76"/>
      <c r="I18" s="76"/>
      <c r="J18" s="77"/>
      <c r="K18" s="5"/>
      <c r="L18" s="9"/>
      <c r="M18" s="6"/>
      <c r="N18" s="4"/>
      <c r="O18" s="26"/>
      <c r="P18" s="25"/>
      <c r="Q18" s="16"/>
      <c r="R18" s="17"/>
    </row>
    <row r="19" spans="1:18" s="12" customFormat="1" ht="51.6" customHeight="1" x14ac:dyDescent="0.3">
      <c r="A19" s="13"/>
      <c r="B19" s="28"/>
      <c r="C19" s="5"/>
      <c r="D19" s="1"/>
      <c r="E19" s="1"/>
      <c r="F19" s="9"/>
      <c r="G19" s="75"/>
      <c r="H19" s="76"/>
      <c r="I19" s="76"/>
      <c r="J19" s="77"/>
      <c r="K19" s="5"/>
      <c r="L19" s="9"/>
      <c r="M19" s="6"/>
      <c r="N19" s="4"/>
      <c r="O19" s="26"/>
      <c r="P19" s="25"/>
      <c r="Q19" s="16"/>
      <c r="R19" s="17"/>
    </row>
    <row r="20" spans="1:18" s="12" customFormat="1" ht="51.6" customHeight="1" x14ac:dyDescent="0.3">
      <c r="A20" s="13"/>
      <c r="B20" s="28"/>
      <c r="C20" s="5"/>
      <c r="D20" s="1"/>
      <c r="E20" s="1"/>
      <c r="F20" s="9"/>
      <c r="G20" s="75"/>
      <c r="H20" s="76"/>
      <c r="I20" s="76"/>
      <c r="J20" s="77"/>
      <c r="K20" s="5"/>
      <c r="L20" s="9"/>
      <c r="M20" s="6"/>
      <c r="N20" s="4"/>
      <c r="O20" s="26"/>
      <c r="P20" s="25"/>
      <c r="Q20" s="16"/>
      <c r="R20" s="17"/>
    </row>
    <row r="21" spans="1:18" s="12" customFormat="1" ht="51.6" customHeight="1" x14ac:dyDescent="0.3">
      <c r="A21" s="13"/>
      <c r="B21" s="28"/>
      <c r="C21" s="5"/>
      <c r="D21" s="1"/>
      <c r="E21" s="1"/>
      <c r="F21" s="9"/>
      <c r="G21" s="75"/>
      <c r="H21" s="76"/>
      <c r="I21" s="76"/>
      <c r="J21" s="77"/>
      <c r="K21" s="5"/>
      <c r="L21" s="9"/>
      <c r="M21" s="6"/>
      <c r="N21" s="4"/>
      <c r="O21" s="26"/>
      <c r="P21" s="25"/>
      <c r="Q21" s="16"/>
      <c r="R21" s="17"/>
    </row>
    <row r="22" spans="1:18" s="12" customFormat="1" ht="51.6" customHeight="1" x14ac:dyDescent="0.3">
      <c r="A22" s="13"/>
      <c r="B22" s="28"/>
      <c r="C22" s="5"/>
      <c r="D22" s="1"/>
      <c r="E22" s="1"/>
      <c r="F22" s="9"/>
      <c r="G22" s="75"/>
      <c r="H22" s="76"/>
      <c r="I22" s="76"/>
      <c r="J22" s="77"/>
      <c r="K22" s="5"/>
      <c r="L22" s="9"/>
      <c r="M22" s="6"/>
      <c r="N22" s="4"/>
      <c r="O22" s="26"/>
      <c r="P22" s="25"/>
      <c r="Q22" s="16"/>
      <c r="R22" s="17"/>
    </row>
    <row r="23" spans="1:18" s="12" customFormat="1" ht="51.6" customHeight="1" x14ac:dyDescent="0.3">
      <c r="A23" s="13"/>
      <c r="B23" s="28"/>
      <c r="C23" s="5"/>
      <c r="D23" s="1"/>
      <c r="E23" s="1"/>
      <c r="F23" s="9"/>
      <c r="G23" s="75"/>
      <c r="H23" s="76"/>
      <c r="I23" s="76"/>
      <c r="J23" s="77"/>
      <c r="K23" s="5"/>
      <c r="L23" s="9"/>
      <c r="M23" s="6"/>
      <c r="N23" s="4"/>
      <c r="O23" s="26"/>
      <c r="P23" s="25"/>
      <c r="Q23" s="16"/>
      <c r="R23" s="17"/>
    </row>
    <row r="24" spans="1:18" s="12" customFormat="1" ht="51.6" customHeight="1" x14ac:dyDescent="0.3">
      <c r="A24" s="13"/>
      <c r="B24" s="28"/>
      <c r="C24" s="5"/>
      <c r="D24" s="1"/>
      <c r="E24" s="1"/>
      <c r="F24" s="9"/>
      <c r="G24" s="75"/>
      <c r="H24" s="76"/>
      <c r="I24" s="76"/>
      <c r="J24" s="77"/>
      <c r="K24" s="5"/>
      <c r="L24" s="9"/>
      <c r="M24" s="6"/>
      <c r="N24" s="4"/>
      <c r="O24" s="26"/>
      <c r="P24" s="25"/>
      <c r="Q24" s="16"/>
      <c r="R24" s="17"/>
    </row>
    <row r="25" spans="1:18" s="12" customFormat="1" ht="51.6" customHeight="1" x14ac:dyDescent="0.3">
      <c r="A25" s="13"/>
      <c r="B25" s="28"/>
      <c r="C25" s="5"/>
      <c r="D25" s="1"/>
      <c r="E25" s="1"/>
      <c r="F25" s="9"/>
      <c r="G25" s="75"/>
      <c r="H25" s="76"/>
      <c r="I25" s="76"/>
      <c r="J25" s="77"/>
      <c r="K25" s="5"/>
      <c r="L25" s="9"/>
      <c r="M25" s="6"/>
      <c r="N25" s="4"/>
      <c r="O25" s="26"/>
      <c r="P25" s="25"/>
      <c r="Q25" s="16"/>
      <c r="R25" s="17"/>
    </row>
    <row r="26" spans="1:18" s="12" customFormat="1" ht="51.6" customHeight="1" x14ac:dyDescent="0.3">
      <c r="A26" s="13"/>
      <c r="B26" s="28"/>
      <c r="C26" s="5"/>
      <c r="D26" s="1"/>
      <c r="E26" s="1"/>
      <c r="F26" s="9"/>
      <c r="G26" s="75"/>
      <c r="H26" s="76"/>
      <c r="I26" s="76"/>
      <c r="J26" s="77"/>
      <c r="K26" s="5"/>
      <c r="L26" s="9"/>
      <c r="M26" s="6"/>
      <c r="N26" s="4"/>
      <c r="O26" s="26"/>
      <c r="P26" s="25"/>
      <c r="Q26" s="16"/>
      <c r="R26" s="17"/>
    </row>
    <row r="27" spans="1:18" s="12" customFormat="1" ht="51.6" customHeight="1" x14ac:dyDescent="0.3">
      <c r="A27" s="13"/>
      <c r="B27" s="28"/>
      <c r="C27" s="5"/>
      <c r="D27" s="1"/>
      <c r="E27" s="1"/>
      <c r="F27" s="9"/>
      <c r="G27" s="75"/>
      <c r="H27" s="76"/>
      <c r="I27" s="76"/>
      <c r="J27" s="77"/>
      <c r="K27" s="5"/>
      <c r="L27" s="9"/>
      <c r="M27" s="6"/>
      <c r="N27" s="4"/>
      <c r="O27" s="26"/>
      <c r="P27" s="25"/>
      <c r="Q27" s="16"/>
      <c r="R27" s="17"/>
    </row>
    <row r="28" spans="1:18" s="12" customFormat="1" ht="51.6" customHeight="1" x14ac:dyDescent="0.3">
      <c r="A28" s="13"/>
      <c r="B28" s="28"/>
      <c r="C28" s="5"/>
      <c r="D28" s="1"/>
      <c r="E28" s="1"/>
      <c r="F28" s="9"/>
      <c r="G28" s="67"/>
      <c r="H28" s="32"/>
      <c r="I28" s="32"/>
      <c r="J28" s="68"/>
      <c r="K28" s="5"/>
      <c r="L28" s="9"/>
      <c r="M28" s="6"/>
      <c r="N28" s="4"/>
      <c r="O28" s="26"/>
      <c r="P28" s="25"/>
      <c r="Q28" s="16"/>
      <c r="R28" s="17"/>
    </row>
    <row r="29" spans="1:18" s="12" customFormat="1" ht="51.6" customHeight="1" x14ac:dyDescent="0.3">
      <c r="A29" s="13"/>
      <c r="B29" s="28"/>
      <c r="C29" s="5"/>
      <c r="D29" s="1"/>
      <c r="E29" s="1"/>
      <c r="F29" s="9"/>
      <c r="G29" s="67"/>
      <c r="H29" s="32"/>
      <c r="I29" s="32"/>
      <c r="J29" s="68"/>
      <c r="K29" s="5"/>
      <c r="L29" s="9"/>
      <c r="M29" s="6"/>
      <c r="N29" s="4"/>
      <c r="O29" s="26"/>
      <c r="P29" s="25"/>
      <c r="Q29" s="16"/>
      <c r="R29" s="17"/>
    </row>
    <row r="30" spans="1:18" s="12" customFormat="1" ht="51.6" customHeight="1" x14ac:dyDescent="0.3">
      <c r="A30" s="13"/>
      <c r="B30" s="28"/>
      <c r="C30" s="5"/>
      <c r="D30" s="1"/>
      <c r="E30" s="1"/>
      <c r="F30" s="9"/>
      <c r="G30" s="67"/>
      <c r="H30" s="32"/>
      <c r="I30" s="32"/>
      <c r="J30" s="68"/>
      <c r="K30" s="5"/>
      <c r="L30" s="9"/>
      <c r="M30" s="6"/>
      <c r="N30" s="4"/>
      <c r="O30" s="26"/>
      <c r="P30" s="25"/>
      <c r="Q30" s="16"/>
      <c r="R30" s="17"/>
    </row>
    <row r="31" spans="1:18" s="12" customFormat="1" ht="51.6" customHeight="1" x14ac:dyDescent="0.3">
      <c r="A31" s="13"/>
      <c r="B31" s="28"/>
      <c r="C31" s="5"/>
      <c r="D31" s="1"/>
      <c r="E31" s="1"/>
      <c r="F31" s="9"/>
      <c r="G31" s="67"/>
      <c r="H31" s="32"/>
      <c r="I31" s="32"/>
      <c r="J31" s="68"/>
      <c r="K31" s="5"/>
      <c r="L31" s="9"/>
      <c r="M31" s="6"/>
      <c r="N31" s="4"/>
      <c r="O31" s="26"/>
      <c r="P31" s="25"/>
      <c r="Q31" s="16"/>
      <c r="R31" s="17"/>
    </row>
    <row r="32" spans="1:18" s="12" customFormat="1" ht="51.6" customHeight="1" x14ac:dyDescent="0.3">
      <c r="A32" s="13"/>
      <c r="B32" s="28"/>
      <c r="C32" s="5"/>
      <c r="D32" s="1"/>
      <c r="E32" s="1"/>
      <c r="F32" s="9"/>
      <c r="G32" s="32"/>
      <c r="H32" s="32"/>
      <c r="I32" s="32"/>
      <c r="J32" s="32"/>
      <c r="K32" s="6"/>
      <c r="L32" s="9"/>
      <c r="M32" s="6"/>
      <c r="N32" s="4"/>
      <c r="O32" s="26"/>
      <c r="P32" s="25"/>
      <c r="Q32" s="16"/>
      <c r="R32" s="17"/>
    </row>
    <row r="33" spans="1:18" s="12" customFormat="1" ht="51.6" customHeight="1" x14ac:dyDescent="0.3">
      <c r="A33" s="13"/>
      <c r="B33" s="28"/>
      <c r="C33" s="5"/>
      <c r="D33" s="1"/>
      <c r="E33" s="1"/>
      <c r="F33" s="9"/>
      <c r="G33" s="32"/>
      <c r="H33" s="32"/>
      <c r="I33" s="32"/>
      <c r="J33" s="32"/>
      <c r="K33" s="6"/>
      <c r="L33" s="9"/>
      <c r="M33" s="6"/>
      <c r="N33" s="4"/>
      <c r="O33" s="26"/>
      <c r="P33" s="25"/>
      <c r="Q33" s="16"/>
      <c r="R33" s="17"/>
    </row>
    <row r="34" spans="1:18" s="12" customFormat="1" ht="51.6" customHeight="1" x14ac:dyDescent="0.3">
      <c r="A34" s="13"/>
      <c r="B34" s="28"/>
      <c r="C34" s="5"/>
      <c r="D34" s="1"/>
      <c r="E34" s="1"/>
      <c r="F34" s="9"/>
      <c r="G34" s="32"/>
      <c r="H34" s="32"/>
      <c r="I34" s="32"/>
      <c r="J34" s="32"/>
      <c r="K34" s="6"/>
      <c r="L34" s="9"/>
      <c r="M34" s="6"/>
      <c r="N34" s="4"/>
      <c r="O34" s="26"/>
      <c r="P34" s="25"/>
      <c r="Q34" s="16"/>
      <c r="R34" s="17"/>
    </row>
    <row r="35" spans="1:18" s="12" customFormat="1" ht="51.6" customHeight="1" x14ac:dyDescent="0.3">
      <c r="A35" s="13"/>
      <c r="B35" s="28"/>
      <c r="C35" s="5"/>
      <c r="D35" s="1"/>
      <c r="E35" s="1"/>
      <c r="F35" s="9"/>
      <c r="G35" s="32"/>
      <c r="H35" s="32"/>
      <c r="I35" s="32"/>
      <c r="J35" s="32"/>
      <c r="K35" s="6"/>
      <c r="L35" s="9"/>
      <c r="M35" s="6"/>
      <c r="N35" s="4"/>
      <c r="O35" s="26"/>
      <c r="P35" s="25"/>
      <c r="Q35" s="16"/>
      <c r="R35" s="17"/>
    </row>
  </sheetData>
  <autoFilter ref="A4:Q7" xr:uid="{00000000-0001-0000-0000-000000000000}"/>
  <mergeCells count="7">
    <mergeCell ref="A1:P2"/>
    <mergeCell ref="K3:L3"/>
    <mergeCell ref="M3:N3"/>
    <mergeCell ref="O3:P3"/>
    <mergeCell ref="I3:J3"/>
    <mergeCell ref="G3:H3"/>
    <mergeCell ref="C3:F3"/>
  </mergeCells>
  <phoneticPr fontId="6" type="noConversion"/>
  <conditionalFormatting sqref="Q1:Q35">
    <cfRule type="containsText" dxfId="15" priority="1" operator="containsText" text="Response ">
      <formula>NOT(ISERROR(SEARCH("Response ",Q1)))</formula>
    </cfRule>
    <cfRule type="containsText" dxfId="14" priority="2" operator="containsText" text="open">
      <formula>NOT(ISERROR(SEARCH("open",Q1)))</formula>
    </cfRule>
  </conditionalFormatting>
  <pageMargins left="0.7" right="0.7" top="0.75" bottom="0.75" header="0.3" footer="0.3"/>
  <pageSetup paperSize="9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10E6-9050-45E2-AF62-F5D7D47FC233}">
  <dimension ref="A1:T35"/>
  <sheetViews>
    <sheetView view="pageBreakPreview" topLeftCell="C1" zoomScale="85" zoomScaleNormal="100" zoomScaleSheetLayoutView="85" workbookViewId="0">
      <pane ySplit="4" topLeftCell="A5" activePane="bottomLeft" state="frozen"/>
      <selection pane="bottomLeft" activeCell="E5" sqref="E5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11.21875" style="2" customWidth="1"/>
    <col min="4" max="4" width="38.88671875" style="2" customWidth="1"/>
    <col min="5" max="5" width="38" style="2" customWidth="1"/>
    <col min="6" max="10" width="17.77734375" style="2" customWidth="1"/>
    <col min="11" max="11" width="22.109375" style="2" customWidth="1"/>
    <col min="12" max="12" width="17.77734375" style="2" customWidth="1"/>
    <col min="13" max="14" width="17.77734375" style="2" hidden="1" customWidth="1"/>
    <col min="15" max="15" width="19.33203125" style="2" hidden="1" customWidth="1"/>
    <col min="16" max="16" width="17.77734375" style="2" hidden="1" customWidth="1"/>
    <col min="17" max="17" width="17.5546875" style="2" customWidth="1"/>
    <col min="18" max="18" width="27" style="27" customWidth="1"/>
    <col min="19" max="19" width="21.5546875" customWidth="1"/>
    <col min="20" max="20" width="23.33203125" customWidth="1"/>
  </cols>
  <sheetData>
    <row r="1" spans="1:20" ht="37.200000000000003" customHeight="1" x14ac:dyDescent="0.3">
      <c r="A1" s="95" t="s">
        <v>29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14" t="s">
        <v>11</v>
      </c>
      <c r="R1" s="3">
        <f>COUNTA(Q$5:Q$1048576)</f>
        <v>1</v>
      </c>
    </row>
    <row r="2" spans="1:20" ht="37.200000000000003" customHeight="1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15" t="s">
        <v>9</v>
      </c>
      <c r="R2" s="17">
        <f>COUNTIF(Q$5:Q$1048576,"Response ")</f>
        <v>1</v>
      </c>
    </row>
    <row r="3" spans="1:20" ht="40.799999999999997" customHeight="1" x14ac:dyDescent="0.3">
      <c r="A3" s="41" t="s">
        <v>13</v>
      </c>
      <c r="B3" s="41"/>
      <c r="C3" s="108" t="s">
        <v>23</v>
      </c>
      <c r="D3" s="97"/>
      <c r="E3" s="97"/>
      <c r="F3" s="98"/>
      <c r="G3" s="99" t="s">
        <v>21</v>
      </c>
      <c r="H3" s="103"/>
      <c r="I3" s="99" t="s">
        <v>22</v>
      </c>
      <c r="J3" s="100"/>
      <c r="K3" s="101" t="s">
        <v>14</v>
      </c>
      <c r="L3" s="101"/>
      <c r="M3" s="104" t="s">
        <v>7</v>
      </c>
      <c r="N3" s="105"/>
      <c r="O3" s="104" t="s">
        <v>8</v>
      </c>
      <c r="P3" s="105"/>
      <c r="Q3" s="15" t="s">
        <v>10</v>
      </c>
      <c r="R3" s="17">
        <f>COUNTIF(Q$5:Q$1048576,"OPEN")</f>
        <v>0</v>
      </c>
    </row>
    <row r="4" spans="1:20" ht="59.4" customHeight="1" x14ac:dyDescent="0.3">
      <c r="A4" s="18" t="s">
        <v>0</v>
      </c>
      <c r="B4" s="18" t="s">
        <v>0</v>
      </c>
      <c r="C4" s="18" t="s">
        <v>12</v>
      </c>
      <c r="D4" s="19" t="s">
        <v>6</v>
      </c>
      <c r="E4" s="19" t="s">
        <v>1</v>
      </c>
      <c r="F4" s="35" t="s">
        <v>2</v>
      </c>
      <c r="G4" s="35" t="s">
        <v>0</v>
      </c>
      <c r="H4" s="35" t="s">
        <v>2</v>
      </c>
      <c r="I4" s="35" t="s">
        <v>0</v>
      </c>
      <c r="J4" s="35" t="s">
        <v>2</v>
      </c>
      <c r="K4" s="34" t="s">
        <v>0</v>
      </c>
      <c r="L4" s="21" t="s">
        <v>2</v>
      </c>
      <c r="M4" s="20" t="s">
        <v>0</v>
      </c>
      <c r="N4" s="21" t="s">
        <v>2</v>
      </c>
      <c r="O4" s="20" t="s">
        <v>0</v>
      </c>
      <c r="P4" s="21" t="s">
        <v>2</v>
      </c>
      <c r="Q4" s="22"/>
      <c r="R4" s="23"/>
    </row>
    <row r="5" spans="1:20" s="12" customFormat="1" ht="46.2" customHeight="1" x14ac:dyDescent="0.3">
      <c r="A5" s="11" t="s">
        <v>5</v>
      </c>
      <c r="B5" s="29" t="s">
        <v>30</v>
      </c>
      <c r="C5" s="29">
        <v>0</v>
      </c>
      <c r="D5" s="10" t="s">
        <v>27</v>
      </c>
      <c r="E5" s="30" t="s">
        <v>26</v>
      </c>
      <c r="F5" s="42" t="s">
        <v>28</v>
      </c>
      <c r="G5" s="29" t="s">
        <v>31</v>
      </c>
      <c r="H5" s="42">
        <v>46201</v>
      </c>
      <c r="I5" s="42" t="s">
        <v>45</v>
      </c>
      <c r="J5" s="42" t="s">
        <v>45</v>
      </c>
      <c r="K5" s="29" t="s">
        <v>46</v>
      </c>
      <c r="L5" s="36">
        <v>46215</v>
      </c>
      <c r="M5" s="7"/>
      <c r="N5" s="8"/>
      <c r="O5" s="24"/>
      <c r="P5" s="25"/>
      <c r="Q5" s="15" t="s">
        <v>9</v>
      </c>
      <c r="R5" s="44" t="s">
        <v>47</v>
      </c>
      <c r="S5" s="31"/>
      <c r="T5" s="31"/>
    </row>
    <row r="6" spans="1:20" s="12" customFormat="1" ht="51.6" customHeight="1" x14ac:dyDescent="0.3">
      <c r="A6" s="13" t="s">
        <v>4</v>
      </c>
      <c r="B6" s="5"/>
      <c r="C6" s="5"/>
      <c r="D6" s="1"/>
      <c r="E6" s="1"/>
      <c r="F6" s="9"/>
      <c r="G6" s="37"/>
      <c r="H6" s="37"/>
      <c r="I6" s="37"/>
      <c r="J6" s="37"/>
      <c r="K6" s="5"/>
      <c r="L6" s="9"/>
      <c r="M6" s="6"/>
      <c r="N6" s="4"/>
      <c r="O6" s="26"/>
      <c r="P6" s="25"/>
      <c r="Q6" s="16"/>
      <c r="R6" s="17"/>
    </row>
    <row r="7" spans="1:20" s="12" customFormat="1" ht="51.6" customHeight="1" x14ac:dyDescent="0.3">
      <c r="A7" s="13" t="s">
        <v>3</v>
      </c>
      <c r="B7" s="28"/>
      <c r="C7" s="5"/>
      <c r="D7" s="1"/>
      <c r="E7" s="1"/>
      <c r="F7" s="9"/>
      <c r="G7" s="37"/>
      <c r="H7" s="37"/>
      <c r="I7" s="37"/>
      <c r="J7" s="37"/>
      <c r="K7" s="5"/>
      <c r="L7" s="9"/>
      <c r="M7" s="6"/>
      <c r="N7" s="4"/>
      <c r="O7" s="26"/>
      <c r="P7" s="25"/>
      <c r="Q7" s="16"/>
      <c r="R7" s="17"/>
    </row>
    <row r="8" spans="1:20" s="12" customFormat="1" ht="51.6" customHeight="1" x14ac:dyDescent="0.3">
      <c r="A8" s="13"/>
      <c r="B8" s="28"/>
      <c r="C8" s="5"/>
      <c r="D8" s="1"/>
      <c r="E8" s="1"/>
      <c r="F8" s="9"/>
      <c r="G8" s="37"/>
      <c r="H8" s="37"/>
      <c r="I8" s="37"/>
      <c r="J8" s="37"/>
      <c r="K8" s="5"/>
      <c r="L8" s="9"/>
      <c r="M8" s="6"/>
      <c r="N8" s="4"/>
      <c r="O8" s="26"/>
      <c r="P8" s="25"/>
      <c r="Q8" s="16"/>
      <c r="R8" s="17"/>
    </row>
    <row r="9" spans="1:20" s="12" customFormat="1" ht="51.6" customHeight="1" x14ac:dyDescent="0.3">
      <c r="A9" s="13"/>
      <c r="B9" s="1"/>
      <c r="C9" s="1"/>
      <c r="D9" s="1"/>
      <c r="E9" s="1"/>
      <c r="F9" s="37"/>
      <c r="G9" s="37"/>
      <c r="H9" s="37"/>
      <c r="I9" s="37"/>
      <c r="J9" s="37"/>
      <c r="K9" s="1"/>
      <c r="L9" s="37"/>
      <c r="M9" s="1"/>
      <c r="N9" s="1"/>
      <c r="O9" s="38"/>
      <c r="P9" s="39"/>
      <c r="Q9" s="16"/>
      <c r="R9" s="40"/>
    </row>
    <row r="10" spans="1:20" s="12" customFormat="1" ht="51.6" customHeight="1" x14ac:dyDescent="0.3">
      <c r="A10" s="13"/>
      <c r="B10" s="1"/>
      <c r="C10" s="1"/>
      <c r="D10" s="1"/>
      <c r="E10" s="1"/>
      <c r="F10" s="37"/>
      <c r="G10" s="37"/>
      <c r="H10" s="37"/>
      <c r="I10" s="37"/>
      <c r="J10" s="37"/>
      <c r="K10" s="1"/>
      <c r="L10" s="37"/>
      <c r="M10" s="1"/>
      <c r="N10" s="1"/>
      <c r="O10" s="38"/>
      <c r="P10" s="39"/>
      <c r="Q10" s="16"/>
      <c r="R10" s="40"/>
    </row>
    <row r="11" spans="1:20" s="12" customFormat="1" ht="51.6" customHeight="1" x14ac:dyDescent="0.3">
      <c r="A11" s="13"/>
      <c r="B11" s="1"/>
      <c r="C11" s="1"/>
      <c r="D11" s="1"/>
      <c r="E11" s="1"/>
      <c r="F11" s="37"/>
      <c r="G11" s="37"/>
      <c r="H11" s="37"/>
      <c r="I11" s="37"/>
      <c r="J11" s="37"/>
      <c r="K11" s="1"/>
      <c r="L11" s="37"/>
      <c r="M11" s="1"/>
      <c r="N11" s="1"/>
      <c r="O11" s="38"/>
      <c r="P11" s="39"/>
      <c r="Q11" s="16"/>
      <c r="R11" s="40"/>
    </row>
    <row r="12" spans="1:20" s="12" customFormat="1" ht="51.6" customHeight="1" x14ac:dyDescent="0.3">
      <c r="A12" s="13"/>
      <c r="B12" s="28"/>
      <c r="C12" s="5"/>
      <c r="D12" s="1"/>
      <c r="E12" s="1"/>
      <c r="F12" s="9"/>
      <c r="G12" s="32"/>
      <c r="H12" s="32"/>
      <c r="I12" s="32"/>
      <c r="J12" s="32"/>
      <c r="K12" s="6"/>
      <c r="L12" s="9"/>
      <c r="M12" s="6"/>
      <c r="N12" s="4"/>
      <c r="O12" s="26"/>
      <c r="P12" s="25"/>
      <c r="Q12" s="16"/>
      <c r="R12" s="17"/>
    </row>
    <row r="13" spans="1:20" s="12" customFormat="1" ht="51.6" customHeight="1" x14ac:dyDescent="0.3">
      <c r="A13" s="13"/>
      <c r="B13" s="28"/>
      <c r="C13" s="5"/>
      <c r="D13" s="1"/>
      <c r="E13" s="1"/>
      <c r="F13" s="9"/>
      <c r="G13" s="32"/>
      <c r="H13" s="32"/>
      <c r="I13" s="32"/>
      <c r="J13" s="32"/>
      <c r="K13" s="6"/>
      <c r="L13" s="9"/>
      <c r="M13" s="6"/>
      <c r="N13" s="4"/>
      <c r="O13" s="26"/>
      <c r="P13" s="25"/>
      <c r="Q13" s="16"/>
      <c r="R13" s="17"/>
    </row>
    <row r="14" spans="1:20" s="12" customFormat="1" ht="51.6" customHeight="1" x14ac:dyDescent="0.3">
      <c r="A14" s="13"/>
      <c r="B14" s="28"/>
      <c r="C14" s="5"/>
      <c r="D14" s="1"/>
      <c r="E14" s="1"/>
      <c r="F14" s="9"/>
      <c r="G14" s="32"/>
      <c r="H14" s="32"/>
      <c r="I14" s="32"/>
      <c r="J14" s="32"/>
      <c r="K14" s="6"/>
      <c r="L14" s="9"/>
      <c r="M14" s="6"/>
      <c r="N14" s="4"/>
      <c r="O14" s="26"/>
      <c r="P14" s="25"/>
      <c r="Q14" s="16"/>
      <c r="R14" s="17"/>
    </row>
    <row r="15" spans="1:20" s="12" customFormat="1" ht="51.6" customHeight="1" x14ac:dyDescent="0.3">
      <c r="A15" s="13"/>
      <c r="B15" s="28"/>
      <c r="C15" s="5"/>
      <c r="D15" s="1"/>
      <c r="E15" s="1"/>
      <c r="F15" s="9"/>
      <c r="G15" s="32"/>
      <c r="H15" s="32"/>
      <c r="I15" s="32"/>
      <c r="J15" s="32"/>
      <c r="K15" s="6"/>
      <c r="L15" s="9"/>
      <c r="M15" s="6"/>
      <c r="N15" s="4"/>
      <c r="O15" s="26"/>
      <c r="P15" s="25"/>
      <c r="Q15" s="16"/>
      <c r="R15" s="17"/>
    </row>
    <row r="16" spans="1:20" s="12" customFormat="1" ht="51.6" customHeight="1" x14ac:dyDescent="0.3">
      <c r="A16" s="13"/>
      <c r="B16" s="28"/>
      <c r="C16" s="5"/>
      <c r="D16" s="1"/>
      <c r="E16" s="1"/>
      <c r="F16" s="9"/>
      <c r="G16" s="32"/>
      <c r="H16" s="32"/>
      <c r="I16" s="32"/>
      <c r="J16" s="32"/>
      <c r="K16" s="6"/>
      <c r="L16" s="9"/>
      <c r="M16" s="6"/>
      <c r="N16" s="4"/>
      <c r="O16" s="26"/>
      <c r="P16" s="25"/>
      <c r="Q16" s="16"/>
      <c r="R16" s="17"/>
    </row>
    <row r="17" spans="1:18" s="12" customFormat="1" ht="51.6" customHeight="1" x14ac:dyDescent="0.3">
      <c r="A17" s="13"/>
      <c r="B17" s="28"/>
      <c r="C17" s="5"/>
      <c r="D17" s="1"/>
      <c r="E17" s="1"/>
      <c r="F17" s="9"/>
      <c r="G17" s="32"/>
      <c r="H17" s="32"/>
      <c r="I17" s="32"/>
      <c r="J17" s="32"/>
      <c r="K17" s="6"/>
      <c r="L17" s="9"/>
      <c r="M17" s="6"/>
      <c r="N17" s="4"/>
      <c r="O17" s="26"/>
      <c r="P17" s="25"/>
      <c r="Q17" s="16"/>
      <c r="R17" s="17"/>
    </row>
    <row r="18" spans="1:18" s="12" customFormat="1" ht="51.6" customHeight="1" x14ac:dyDescent="0.3">
      <c r="A18" s="13"/>
      <c r="B18" s="28"/>
      <c r="C18" s="5"/>
      <c r="D18" s="1"/>
      <c r="E18" s="1"/>
      <c r="F18" s="9"/>
      <c r="G18" s="32"/>
      <c r="H18" s="32"/>
      <c r="I18" s="32"/>
      <c r="J18" s="32"/>
      <c r="K18" s="6"/>
      <c r="L18" s="9"/>
      <c r="M18" s="6"/>
      <c r="N18" s="4"/>
      <c r="O18" s="26"/>
      <c r="P18" s="25"/>
      <c r="Q18" s="16"/>
      <c r="R18" s="17"/>
    </row>
    <row r="19" spans="1:18" s="12" customFormat="1" ht="51.6" customHeight="1" x14ac:dyDescent="0.3">
      <c r="A19" s="13"/>
      <c r="B19" s="28"/>
      <c r="C19" s="5"/>
      <c r="D19" s="1"/>
      <c r="E19" s="1"/>
      <c r="F19" s="9"/>
      <c r="G19" s="32"/>
      <c r="H19" s="32"/>
      <c r="I19" s="32"/>
      <c r="J19" s="32"/>
      <c r="K19" s="6"/>
      <c r="L19" s="9"/>
      <c r="M19" s="6"/>
      <c r="N19" s="4"/>
      <c r="O19" s="26"/>
      <c r="P19" s="25"/>
      <c r="Q19" s="16"/>
      <c r="R19" s="17"/>
    </row>
    <row r="20" spans="1:18" s="12" customFormat="1" ht="51.6" customHeight="1" x14ac:dyDescent="0.3">
      <c r="A20" s="13"/>
      <c r="B20" s="28"/>
      <c r="C20" s="5"/>
      <c r="D20" s="1"/>
      <c r="E20" s="1"/>
      <c r="F20" s="9"/>
      <c r="G20" s="32"/>
      <c r="H20" s="32"/>
      <c r="I20" s="32"/>
      <c r="J20" s="32"/>
      <c r="K20" s="6"/>
      <c r="L20" s="9"/>
      <c r="M20" s="6"/>
      <c r="N20" s="4"/>
      <c r="O20" s="26"/>
      <c r="P20" s="25"/>
      <c r="Q20" s="16"/>
      <c r="R20" s="17"/>
    </row>
    <row r="21" spans="1:18" s="12" customFormat="1" ht="51.6" customHeight="1" x14ac:dyDescent="0.3">
      <c r="A21" s="13"/>
      <c r="B21" s="28"/>
      <c r="C21" s="5"/>
      <c r="D21" s="1"/>
      <c r="E21" s="1"/>
      <c r="F21" s="9"/>
      <c r="G21" s="32"/>
      <c r="H21" s="32"/>
      <c r="I21" s="32"/>
      <c r="J21" s="32"/>
      <c r="K21" s="6"/>
      <c r="L21" s="9"/>
      <c r="M21" s="6"/>
      <c r="N21" s="4"/>
      <c r="O21" s="26"/>
      <c r="P21" s="25"/>
      <c r="Q21" s="16"/>
      <c r="R21" s="17"/>
    </row>
    <row r="22" spans="1:18" s="12" customFormat="1" ht="51.6" customHeight="1" x14ac:dyDescent="0.3">
      <c r="A22" s="13"/>
      <c r="B22" s="28"/>
      <c r="C22" s="5"/>
      <c r="D22" s="1"/>
      <c r="E22" s="1"/>
      <c r="F22" s="9"/>
      <c r="G22" s="32"/>
      <c r="H22" s="32"/>
      <c r="I22" s="32"/>
      <c r="J22" s="32"/>
      <c r="K22" s="6"/>
      <c r="L22" s="9"/>
      <c r="M22" s="6"/>
      <c r="N22" s="4"/>
      <c r="O22" s="26"/>
      <c r="P22" s="25"/>
      <c r="Q22" s="16"/>
      <c r="R22" s="17"/>
    </row>
    <row r="23" spans="1:18" s="12" customFormat="1" ht="51.6" customHeight="1" x14ac:dyDescent="0.3">
      <c r="A23" s="13"/>
      <c r="B23" s="28"/>
      <c r="C23" s="5"/>
      <c r="D23" s="1"/>
      <c r="E23" s="1"/>
      <c r="F23" s="9"/>
      <c r="G23" s="32"/>
      <c r="H23" s="32"/>
      <c r="I23" s="32"/>
      <c r="J23" s="32"/>
      <c r="K23" s="6"/>
      <c r="L23" s="9"/>
      <c r="M23" s="6"/>
      <c r="N23" s="4"/>
      <c r="O23" s="26"/>
      <c r="P23" s="25"/>
      <c r="Q23" s="16"/>
      <c r="R23" s="17"/>
    </row>
    <row r="24" spans="1:18" s="12" customFormat="1" ht="51.6" customHeight="1" x14ac:dyDescent="0.3">
      <c r="A24" s="13"/>
      <c r="B24" s="28"/>
      <c r="C24" s="5"/>
      <c r="D24" s="1"/>
      <c r="E24" s="1"/>
      <c r="F24" s="9"/>
      <c r="G24" s="32"/>
      <c r="H24" s="32"/>
      <c r="I24" s="32"/>
      <c r="J24" s="32"/>
      <c r="K24" s="6"/>
      <c r="L24" s="9"/>
      <c r="M24" s="6"/>
      <c r="N24" s="4"/>
      <c r="O24" s="26"/>
      <c r="P24" s="25"/>
      <c r="Q24" s="16"/>
      <c r="R24" s="17"/>
    </row>
    <row r="25" spans="1:18" s="12" customFormat="1" ht="51.6" customHeight="1" x14ac:dyDescent="0.3">
      <c r="A25" s="13"/>
      <c r="B25" s="28"/>
      <c r="C25" s="5"/>
      <c r="D25" s="1"/>
      <c r="E25" s="1"/>
      <c r="F25" s="9"/>
      <c r="G25" s="32"/>
      <c r="H25" s="32"/>
      <c r="I25" s="32"/>
      <c r="J25" s="32"/>
      <c r="K25" s="6"/>
      <c r="L25" s="9"/>
      <c r="M25" s="6"/>
      <c r="N25" s="4"/>
      <c r="O25" s="26"/>
      <c r="P25" s="25"/>
      <c r="Q25" s="16"/>
      <c r="R25" s="17"/>
    </row>
    <row r="26" spans="1:18" s="12" customFormat="1" ht="51.6" customHeight="1" x14ac:dyDescent="0.3">
      <c r="A26" s="13"/>
      <c r="B26" s="28"/>
      <c r="C26" s="5"/>
      <c r="D26" s="1"/>
      <c r="E26" s="1"/>
      <c r="F26" s="9"/>
      <c r="G26" s="32"/>
      <c r="H26" s="32"/>
      <c r="I26" s="32"/>
      <c r="J26" s="32"/>
      <c r="K26" s="6"/>
      <c r="L26" s="9"/>
      <c r="M26" s="6"/>
      <c r="N26" s="4"/>
      <c r="O26" s="26"/>
      <c r="P26" s="25"/>
      <c r="Q26" s="16"/>
      <c r="R26" s="17"/>
    </row>
    <row r="27" spans="1:18" s="12" customFormat="1" ht="51.6" customHeight="1" x14ac:dyDescent="0.3">
      <c r="A27" s="13"/>
      <c r="B27" s="28"/>
      <c r="C27" s="5"/>
      <c r="D27" s="1"/>
      <c r="E27" s="1"/>
      <c r="F27" s="9"/>
      <c r="G27" s="32"/>
      <c r="H27" s="32"/>
      <c r="I27" s="32"/>
      <c r="J27" s="32"/>
      <c r="K27" s="6"/>
      <c r="L27" s="9"/>
      <c r="M27" s="6"/>
      <c r="N27" s="4"/>
      <c r="O27" s="26"/>
      <c r="P27" s="25"/>
      <c r="Q27" s="16"/>
      <c r="R27" s="17"/>
    </row>
    <row r="28" spans="1:18" s="12" customFormat="1" ht="51.6" customHeight="1" x14ac:dyDescent="0.3">
      <c r="A28" s="13"/>
      <c r="B28" s="28"/>
      <c r="C28" s="5"/>
      <c r="D28" s="1"/>
      <c r="E28" s="1"/>
      <c r="F28" s="9"/>
      <c r="G28" s="32"/>
      <c r="H28" s="32"/>
      <c r="I28" s="32"/>
      <c r="J28" s="32"/>
      <c r="K28" s="6"/>
      <c r="L28" s="9"/>
      <c r="M28" s="6"/>
      <c r="N28" s="4"/>
      <c r="O28" s="26"/>
      <c r="P28" s="25"/>
      <c r="Q28" s="16"/>
      <c r="R28" s="17"/>
    </row>
    <row r="29" spans="1:18" s="12" customFormat="1" ht="51.6" customHeight="1" x14ac:dyDescent="0.3">
      <c r="A29" s="13"/>
      <c r="B29" s="28"/>
      <c r="C29" s="5"/>
      <c r="D29" s="1"/>
      <c r="E29" s="1"/>
      <c r="F29" s="9"/>
      <c r="G29" s="32"/>
      <c r="H29" s="32"/>
      <c r="I29" s="32"/>
      <c r="J29" s="32"/>
      <c r="K29" s="6"/>
      <c r="L29" s="9"/>
      <c r="M29" s="6"/>
      <c r="N29" s="4"/>
      <c r="O29" s="26"/>
      <c r="P29" s="25"/>
      <c r="Q29" s="16"/>
      <c r="R29" s="17"/>
    </row>
    <row r="30" spans="1:18" s="12" customFormat="1" ht="51.6" customHeight="1" x14ac:dyDescent="0.3">
      <c r="A30" s="13"/>
      <c r="B30" s="28"/>
      <c r="C30" s="5"/>
      <c r="D30" s="1"/>
      <c r="E30" s="1"/>
      <c r="F30" s="9"/>
      <c r="G30" s="32"/>
      <c r="H30" s="32"/>
      <c r="I30" s="32"/>
      <c r="J30" s="32"/>
      <c r="K30" s="6"/>
      <c r="L30" s="9"/>
      <c r="M30" s="6"/>
      <c r="N30" s="4"/>
      <c r="O30" s="26"/>
      <c r="P30" s="25"/>
      <c r="Q30" s="16"/>
      <c r="R30" s="17"/>
    </row>
    <row r="31" spans="1:18" s="12" customFormat="1" ht="51.6" customHeight="1" x14ac:dyDescent="0.3">
      <c r="A31" s="13"/>
      <c r="B31" s="28"/>
      <c r="C31" s="5"/>
      <c r="D31" s="1"/>
      <c r="E31" s="1"/>
      <c r="F31" s="9"/>
      <c r="G31" s="32"/>
      <c r="H31" s="32"/>
      <c r="I31" s="32"/>
      <c r="J31" s="32"/>
      <c r="K31" s="6"/>
      <c r="L31" s="9"/>
      <c r="M31" s="6"/>
      <c r="N31" s="4"/>
      <c r="O31" s="26"/>
      <c r="P31" s="25"/>
      <c r="Q31" s="16"/>
      <c r="R31" s="17"/>
    </row>
    <row r="32" spans="1:18" s="12" customFormat="1" ht="51.6" customHeight="1" x14ac:dyDescent="0.3">
      <c r="A32" s="13"/>
      <c r="B32" s="28"/>
      <c r="C32" s="5"/>
      <c r="D32" s="1"/>
      <c r="E32" s="1"/>
      <c r="F32" s="9"/>
      <c r="G32" s="32"/>
      <c r="H32" s="32"/>
      <c r="I32" s="32"/>
      <c r="J32" s="32"/>
      <c r="K32" s="6"/>
      <c r="L32" s="9"/>
      <c r="M32" s="6"/>
      <c r="N32" s="4"/>
      <c r="O32" s="26"/>
      <c r="P32" s="25"/>
      <c r="Q32" s="16"/>
      <c r="R32" s="17"/>
    </row>
    <row r="33" spans="1:18" s="12" customFormat="1" ht="51.6" customHeight="1" x14ac:dyDescent="0.3">
      <c r="A33" s="13"/>
      <c r="B33" s="28"/>
      <c r="C33" s="5"/>
      <c r="D33" s="1"/>
      <c r="E33" s="1"/>
      <c r="F33" s="9"/>
      <c r="G33" s="32"/>
      <c r="H33" s="32"/>
      <c r="I33" s="32"/>
      <c r="J33" s="32"/>
      <c r="K33" s="6"/>
      <c r="L33" s="9"/>
      <c r="M33" s="6"/>
      <c r="N33" s="4"/>
      <c r="O33" s="26"/>
      <c r="P33" s="25"/>
      <c r="Q33" s="16"/>
      <c r="R33" s="17"/>
    </row>
    <row r="34" spans="1:18" s="12" customFormat="1" ht="51.6" customHeight="1" x14ac:dyDescent="0.3">
      <c r="A34" s="13"/>
      <c r="B34" s="28"/>
      <c r="C34" s="5"/>
      <c r="D34" s="1"/>
      <c r="E34" s="1"/>
      <c r="F34" s="9"/>
      <c r="G34" s="32"/>
      <c r="H34" s="32"/>
      <c r="I34" s="32"/>
      <c r="J34" s="32"/>
      <c r="K34" s="6"/>
      <c r="L34" s="9"/>
      <c r="M34" s="6"/>
      <c r="N34" s="4"/>
      <c r="O34" s="26"/>
      <c r="P34" s="25"/>
      <c r="Q34" s="16"/>
      <c r="R34" s="17"/>
    </row>
    <row r="35" spans="1:18" s="12" customFormat="1" ht="51.6" customHeight="1" x14ac:dyDescent="0.3">
      <c r="A35" s="13"/>
      <c r="B35" s="28"/>
      <c r="C35" s="5"/>
      <c r="D35" s="1"/>
      <c r="E35" s="1"/>
      <c r="F35" s="9"/>
      <c r="G35" s="32"/>
      <c r="H35" s="32"/>
      <c r="I35" s="32"/>
      <c r="J35" s="32"/>
      <c r="K35" s="6"/>
      <c r="L35" s="9"/>
      <c r="M35" s="6"/>
      <c r="N35" s="4"/>
      <c r="O35" s="26"/>
      <c r="P35" s="25"/>
      <c r="Q35" s="16"/>
      <c r="R35" s="17"/>
    </row>
  </sheetData>
  <autoFilter ref="A4:Q7" xr:uid="{00000000-0001-0000-0000-000000000000}"/>
  <mergeCells count="7">
    <mergeCell ref="A1:P2"/>
    <mergeCell ref="C3:F3"/>
    <mergeCell ref="G3:H3"/>
    <mergeCell ref="I3:J3"/>
    <mergeCell ref="K3:L3"/>
    <mergeCell ref="M3:N3"/>
    <mergeCell ref="O3:P3"/>
  </mergeCells>
  <conditionalFormatting sqref="Q1:Q35">
    <cfRule type="containsText" dxfId="13" priority="1" operator="containsText" text="Response ">
      <formula>NOT(ISERROR(SEARCH("Response ",Q1)))</formula>
    </cfRule>
    <cfRule type="containsText" dxfId="12" priority="2" operator="containsText" text="open">
      <formula>NOT(ISERROR(SEARCH("open",Q1)))</formula>
    </cfRule>
  </conditionalFormatting>
  <pageMargins left="0.7" right="0.7" top="0.75" bottom="0.75" header="0.3" footer="0.3"/>
  <pageSetup paperSize="9" scale="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115F-DA1C-45E8-BE6C-74ADD76B56E2}">
  <dimension ref="A1:S35"/>
  <sheetViews>
    <sheetView view="pageBreakPreview" topLeftCell="B1" zoomScale="85" zoomScaleNormal="100" zoomScaleSheetLayoutView="85" workbookViewId="0">
      <pane ySplit="4" topLeftCell="A5" activePane="bottomLeft" state="frozen"/>
      <selection pane="bottomLeft" activeCell="I9" sqref="I9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38.88671875" style="2" customWidth="1"/>
    <col min="4" max="4" width="38" style="2" customWidth="1"/>
    <col min="5" max="7" width="17.77734375" style="2" customWidth="1"/>
    <col min="8" max="8" width="19.5546875" style="2" customWidth="1"/>
    <col min="9" max="9" width="17.77734375" style="2" customWidth="1"/>
    <col min="10" max="10" width="22.109375" style="2" customWidth="1"/>
    <col min="11" max="11" width="17.77734375" style="2" customWidth="1"/>
    <col min="12" max="13" width="17.77734375" style="2" hidden="1" customWidth="1"/>
    <col min="14" max="14" width="19.33203125" style="2" hidden="1" customWidth="1"/>
    <col min="15" max="15" width="17.77734375" style="2" hidden="1" customWidth="1"/>
    <col min="16" max="16" width="17.5546875" style="2" customWidth="1"/>
    <col min="17" max="17" width="27" style="27" customWidth="1"/>
    <col min="18" max="18" width="21.5546875" customWidth="1"/>
    <col min="19" max="19" width="23.33203125" customWidth="1"/>
  </cols>
  <sheetData>
    <row r="1" spans="1:19" ht="37.200000000000003" customHeight="1" x14ac:dyDescent="0.3">
      <c r="A1" s="95" t="s">
        <v>72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14" t="s">
        <v>11</v>
      </c>
      <c r="Q1" s="3">
        <f>COUNTA(P$5:P$1048576)</f>
        <v>2</v>
      </c>
    </row>
    <row r="2" spans="1:19" ht="37.200000000000003" customHeight="1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15" t="s">
        <v>9</v>
      </c>
      <c r="Q2" s="17">
        <f>COUNTIF(P$5:P$1048576,"Response ")</f>
        <v>1</v>
      </c>
    </row>
    <row r="3" spans="1:19" ht="40.799999999999997" customHeight="1" x14ac:dyDescent="0.3">
      <c r="A3" s="41" t="s">
        <v>13</v>
      </c>
      <c r="B3" s="41"/>
      <c r="C3" s="97"/>
      <c r="D3" s="97"/>
      <c r="E3" s="98"/>
      <c r="F3" s="99" t="s">
        <v>21</v>
      </c>
      <c r="G3" s="103"/>
      <c r="H3" s="99" t="s">
        <v>22</v>
      </c>
      <c r="I3" s="100"/>
      <c r="J3" s="101" t="s">
        <v>14</v>
      </c>
      <c r="K3" s="101"/>
      <c r="L3" s="104" t="s">
        <v>7</v>
      </c>
      <c r="M3" s="105"/>
      <c r="N3" s="104" t="s">
        <v>8</v>
      </c>
      <c r="O3" s="105"/>
      <c r="P3" s="15" t="s">
        <v>10</v>
      </c>
      <c r="Q3" s="17">
        <f>COUNTIF(P$5:P$1048576,"OPEN")</f>
        <v>0</v>
      </c>
    </row>
    <row r="4" spans="1:19" ht="59.4" customHeight="1" x14ac:dyDescent="0.3">
      <c r="A4" s="18" t="s">
        <v>0</v>
      </c>
      <c r="B4" s="18" t="s">
        <v>0</v>
      </c>
      <c r="C4" s="19" t="s">
        <v>6</v>
      </c>
      <c r="D4" s="19" t="s">
        <v>1</v>
      </c>
      <c r="E4" s="35" t="s">
        <v>2</v>
      </c>
      <c r="F4" s="35" t="s">
        <v>0</v>
      </c>
      <c r="G4" s="35" t="s">
        <v>2</v>
      </c>
      <c r="H4" s="35" t="s">
        <v>0</v>
      </c>
      <c r="I4" s="35" t="s">
        <v>2</v>
      </c>
      <c r="J4" s="34" t="s">
        <v>0</v>
      </c>
      <c r="K4" s="21" t="s">
        <v>2</v>
      </c>
      <c r="L4" s="20" t="s">
        <v>0</v>
      </c>
      <c r="M4" s="21" t="s">
        <v>2</v>
      </c>
      <c r="N4" s="20" t="s">
        <v>0</v>
      </c>
      <c r="O4" s="21" t="s">
        <v>2</v>
      </c>
      <c r="P4" s="22"/>
      <c r="Q4" s="23"/>
    </row>
    <row r="5" spans="1:19" s="12" customFormat="1" ht="52.8" customHeight="1" x14ac:dyDescent="0.3">
      <c r="A5" s="11" t="s">
        <v>5</v>
      </c>
      <c r="B5" s="29" t="s">
        <v>52</v>
      </c>
      <c r="C5" s="10" t="s">
        <v>50</v>
      </c>
      <c r="D5" s="30" t="s">
        <v>51</v>
      </c>
      <c r="E5" s="36">
        <v>46215</v>
      </c>
      <c r="F5" s="45"/>
      <c r="G5" s="45"/>
      <c r="H5" s="45"/>
      <c r="I5" s="45"/>
      <c r="J5" s="46" t="s">
        <v>53</v>
      </c>
      <c r="K5" s="36">
        <v>46216</v>
      </c>
      <c r="L5" s="7"/>
      <c r="M5" s="8"/>
      <c r="N5" s="24"/>
      <c r="O5" s="25"/>
      <c r="P5" s="16" t="s">
        <v>9</v>
      </c>
      <c r="Q5" s="44" t="s">
        <v>56</v>
      </c>
      <c r="R5" s="31"/>
      <c r="S5" s="31"/>
    </row>
    <row r="6" spans="1:19" s="12" customFormat="1" ht="51.6" customHeight="1" x14ac:dyDescent="0.3">
      <c r="A6" s="13" t="s">
        <v>4</v>
      </c>
      <c r="B6" s="29" t="s">
        <v>65</v>
      </c>
      <c r="C6" s="10" t="s">
        <v>61</v>
      </c>
      <c r="D6" s="43" t="s">
        <v>62</v>
      </c>
      <c r="E6" s="36">
        <v>46218</v>
      </c>
      <c r="F6" s="45"/>
      <c r="G6" s="45"/>
      <c r="H6" s="45"/>
      <c r="I6" s="45"/>
      <c r="J6" s="5" t="s">
        <v>64</v>
      </c>
      <c r="K6" s="36">
        <v>46218</v>
      </c>
      <c r="L6" s="6"/>
      <c r="M6" s="4"/>
      <c r="N6" s="26"/>
      <c r="O6" s="25"/>
      <c r="P6" s="16" t="s">
        <v>63</v>
      </c>
      <c r="Q6" s="17"/>
    </row>
    <row r="7" spans="1:19" s="12" customFormat="1" ht="51.6" customHeight="1" x14ac:dyDescent="0.3">
      <c r="A7" s="13" t="s">
        <v>3</v>
      </c>
      <c r="B7" s="29"/>
      <c r="C7" s="10"/>
      <c r="D7" s="43"/>
      <c r="E7" s="9"/>
      <c r="F7" s="37"/>
      <c r="G7" s="37"/>
      <c r="H7" s="37"/>
      <c r="I7" s="37"/>
      <c r="J7" s="5"/>
      <c r="K7" s="9"/>
      <c r="L7" s="6"/>
      <c r="M7" s="4"/>
      <c r="N7" s="26"/>
      <c r="O7" s="25"/>
      <c r="P7" s="16"/>
      <c r="Q7" s="17"/>
    </row>
    <row r="8" spans="1:19" s="12" customFormat="1" ht="51.6" customHeight="1" x14ac:dyDescent="0.3">
      <c r="A8" s="13"/>
      <c r="B8" s="28"/>
      <c r="C8" s="1"/>
      <c r="D8" s="1"/>
      <c r="E8" s="9"/>
      <c r="F8" s="37"/>
      <c r="G8" s="37"/>
      <c r="H8" s="37"/>
      <c r="I8" s="37"/>
      <c r="J8" s="5"/>
      <c r="K8" s="9"/>
      <c r="L8" s="6"/>
      <c r="M8" s="4"/>
      <c r="N8" s="26"/>
      <c r="O8" s="25"/>
      <c r="P8" s="16"/>
      <c r="Q8" s="17"/>
    </row>
    <row r="9" spans="1:19" s="12" customFormat="1" ht="51.6" customHeight="1" x14ac:dyDescent="0.3">
      <c r="A9" s="13"/>
      <c r="B9" s="1"/>
      <c r="C9" s="1"/>
      <c r="D9" s="1"/>
      <c r="E9" s="37"/>
      <c r="F9" s="37"/>
      <c r="G9" s="37"/>
      <c r="H9" s="37"/>
      <c r="I9" s="37"/>
      <c r="J9" s="1"/>
      <c r="K9" s="37"/>
      <c r="L9" s="1"/>
      <c r="M9" s="1"/>
      <c r="N9" s="38"/>
      <c r="O9" s="39"/>
      <c r="P9" s="16"/>
      <c r="Q9" s="40"/>
    </row>
    <row r="10" spans="1:19" s="12" customFormat="1" ht="51.6" customHeight="1" x14ac:dyDescent="0.3">
      <c r="A10" s="13"/>
      <c r="B10" s="1"/>
      <c r="C10" s="1"/>
      <c r="D10" s="1"/>
      <c r="E10" s="37"/>
      <c r="F10" s="37"/>
      <c r="G10" s="37"/>
      <c r="H10" s="37"/>
      <c r="I10" s="37"/>
      <c r="J10" s="1"/>
      <c r="K10" s="37"/>
      <c r="L10" s="1"/>
      <c r="M10" s="1"/>
      <c r="N10" s="38"/>
      <c r="O10" s="39"/>
      <c r="P10" s="16"/>
      <c r="Q10" s="40"/>
    </row>
    <row r="11" spans="1:19" s="12" customFormat="1" ht="51.6" customHeight="1" x14ac:dyDescent="0.3">
      <c r="A11" s="13"/>
      <c r="B11" s="1"/>
      <c r="C11" s="1"/>
      <c r="D11" s="1"/>
      <c r="E11" s="37"/>
      <c r="F11" s="37"/>
      <c r="G11" s="37"/>
      <c r="H11" s="37"/>
      <c r="I11" s="37"/>
      <c r="J11" s="1"/>
      <c r="K11" s="37"/>
      <c r="L11" s="1"/>
      <c r="M11" s="1"/>
      <c r="N11" s="38"/>
      <c r="O11" s="39"/>
      <c r="P11" s="16"/>
      <c r="Q11" s="40"/>
    </row>
    <row r="12" spans="1:19" s="12" customFormat="1" ht="51.6" customHeight="1" x14ac:dyDescent="0.3">
      <c r="A12" s="13"/>
      <c r="B12" s="28"/>
      <c r="C12" s="1"/>
      <c r="D12" s="1"/>
      <c r="E12" s="9"/>
      <c r="F12" s="32"/>
      <c r="G12" s="32"/>
      <c r="H12" s="32"/>
      <c r="I12" s="32"/>
      <c r="J12" s="6"/>
      <c r="K12" s="9"/>
      <c r="L12" s="6"/>
      <c r="M12" s="4"/>
      <c r="N12" s="26"/>
      <c r="O12" s="25"/>
      <c r="P12" s="16"/>
      <c r="Q12" s="17"/>
    </row>
    <row r="13" spans="1:19" s="12" customFormat="1" ht="51.6" customHeight="1" x14ac:dyDescent="0.3">
      <c r="A13" s="13"/>
      <c r="B13" s="28"/>
      <c r="C13" s="1"/>
      <c r="D13" s="1"/>
      <c r="E13" s="9"/>
      <c r="F13" s="32"/>
      <c r="G13" s="32"/>
      <c r="H13" s="32"/>
      <c r="I13" s="32"/>
      <c r="J13" s="6"/>
      <c r="K13" s="9"/>
      <c r="L13" s="6"/>
      <c r="M13" s="4"/>
      <c r="N13" s="26"/>
      <c r="O13" s="25"/>
      <c r="P13" s="16"/>
      <c r="Q13" s="17"/>
    </row>
    <row r="14" spans="1:19" s="12" customFormat="1" ht="51.6" customHeight="1" x14ac:dyDescent="0.3">
      <c r="A14" s="13"/>
      <c r="B14" s="28"/>
      <c r="C14" s="1"/>
      <c r="D14" s="1"/>
      <c r="E14" s="9"/>
      <c r="F14" s="32"/>
      <c r="G14" s="32"/>
      <c r="H14" s="32"/>
      <c r="I14" s="32"/>
      <c r="J14" s="6"/>
      <c r="K14" s="9"/>
      <c r="L14" s="6"/>
      <c r="M14" s="4"/>
      <c r="N14" s="26"/>
      <c r="O14" s="25"/>
      <c r="P14" s="16"/>
      <c r="Q14" s="17"/>
    </row>
    <row r="15" spans="1:19" s="12" customFormat="1" ht="51.6" customHeight="1" x14ac:dyDescent="0.3">
      <c r="A15" s="13"/>
      <c r="B15" s="28"/>
      <c r="C15" s="1"/>
      <c r="D15" s="1"/>
      <c r="E15" s="9"/>
      <c r="F15" s="32"/>
      <c r="G15" s="32"/>
      <c r="H15" s="32"/>
      <c r="I15" s="32"/>
      <c r="J15" s="6"/>
      <c r="K15" s="9"/>
      <c r="L15" s="6"/>
      <c r="M15" s="4"/>
      <c r="N15" s="26"/>
      <c r="O15" s="25"/>
      <c r="P15" s="16"/>
      <c r="Q15" s="17"/>
    </row>
    <row r="16" spans="1:19" s="12" customFormat="1" ht="51.6" customHeight="1" x14ac:dyDescent="0.3">
      <c r="A16" s="13"/>
      <c r="B16" s="28"/>
      <c r="C16" s="1"/>
      <c r="D16" s="1"/>
      <c r="E16" s="9"/>
      <c r="F16" s="32"/>
      <c r="G16" s="32"/>
      <c r="H16" s="32"/>
      <c r="I16" s="32"/>
      <c r="J16" s="6"/>
      <c r="K16" s="9"/>
      <c r="L16" s="6"/>
      <c r="M16" s="4"/>
      <c r="N16" s="26"/>
      <c r="O16" s="25"/>
      <c r="P16" s="16"/>
      <c r="Q16" s="17"/>
    </row>
    <row r="17" spans="1:17" s="12" customFormat="1" ht="51.6" customHeight="1" x14ac:dyDescent="0.3">
      <c r="A17" s="13"/>
      <c r="B17" s="28"/>
      <c r="C17" s="1"/>
      <c r="D17" s="1"/>
      <c r="E17" s="9"/>
      <c r="F17" s="32"/>
      <c r="G17" s="32"/>
      <c r="H17" s="32"/>
      <c r="I17" s="32"/>
      <c r="J17" s="6"/>
      <c r="K17" s="9"/>
      <c r="L17" s="6"/>
      <c r="M17" s="4"/>
      <c r="N17" s="26"/>
      <c r="O17" s="25"/>
      <c r="P17" s="16"/>
      <c r="Q17" s="17"/>
    </row>
    <row r="18" spans="1:17" s="12" customFormat="1" ht="51.6" customHeight="1" x14ac:dyDescent="0.3">
      <c r="A18" s="13"/>
      <c r="B18" s="28"/>
      <c r="C18" s="1"/>
      <c r="D18" s="1"/>
      <c r="E18" s="9"/>
      <c r="F18" s="32"/>
      <c r="G18" s="32"/>
      <c r="H18" s="32"/>
      <c r="I18" s="32"/>
      <c r="J18" s="6"/>
      <c r="K18" s="9"/>
      <c r="L18" s="6"/>
      <c r="M18" s="4"/>
      <c r="N18" s="26"/>
      <c r="O18" s="25"/>
      <c r="P18" s="16"/>
      <c r="Q18" s="17"/>
    </row>
    <row r="19" spans="1:17" s="12" customFormat="1" ht="51.6" customHeight="1" x14ac:dyDescent="0.3">
      <c r="A19" s="13"/>
      <c r="B19" s="28"/>
      <c r="C19" s="1"/>
      <c r="D19" s="1"/>
      <c r="E19" s="9"/>
      <c r="F19" s="32"/>
      <c r="G19" s="32"/>
      <c r="H19" s="32"/>
      <c r="I19" s="32"/>
      <c r="J19" s="6"/>
      <c r="K19" s="9"/>
      <c r="L19" s="6"/>
      <c r="M19" s="4"/>
      <c r="N19" s="26"/>
      <c r="O19" s="25"/>
      <c r="P19" s="16"/>
      <c r="Q19" s="17"/>
    </row>
    <row r="20" spans="1:17" s="12" customFormat="1" ht="51.6" customHeight="1" x14ac:dyDescent="0.3">
      <c r="A20" s="13"/>
      <c r="B20" s="28"/>
      <c r="C20" s="1"/>
      <c r="D20" s="1"/>
      <c r="E20" s="9"/>
      <c r="F20" s="32"/>
      <c r="G20" s="32"/>
      <c r="H20" s="32"/>
      <c r="I20" s="32"/>
      <c r="J20" s="6"/>
      <c r="K20" s="9"/>
      <c r="L20" s="6"/>
      <c r="M20" s="4"/>
      <c r="N20" s="26"/>
      <c r="O20" s="25"/>
      <c r="P20" s="16"/>
      <c r="Q20" s="17"/>
    </row>
    <row r="21" spans="1:17" s="12" customFormat="1" ht="51.6" customHeight="1" x14ac:dyDescent="0.3">
      <c r="A21" s="13"/>
      <c r="B21" s="28"/>
      <c r="C21" s="1"/>
      <c r="D21" s="1"/>
      <c r="E21" s="9"/>
      <c r="F21" s="32"/>
      <c r="G21" s="32"/>
      <c r="H21" s="32"/>
      <c r="I21" s="32"/>
      <c r="J21" s="6"/>
      <c r="K21" s="9"/>
      <c r="L21" s="6"/>
      <c r="M21" s="4"/>
      <c r="N21" s="26"/>
      <c r="O21" s="25"/>
      <c r="P21" s="16"/>
      <c r="Q21" s="17"/>
    </row>
    <row r="22" spans="1:17" s="12" customFormat="1" ht="51.6" customHeight="1" x14ac:dyDescent="0.3">
      <c r="A22" s="13"/>
      <c r="B22" s="28"/>
      <c r="C22" s="1"/>
      <c r="D22" s="1"/>
      <c r="E22" s="9"/>
      <c r="F22" s="32"/>
      <c r="G22" s="32"/>
      <c r="H22" s="32"/>
      <c r="I22" s="32"/>
      <c r="J22" s="6"/>
      <c r="K22" s="9"/>
      <c r="L22" s="6"/>
      <c r="M22" s="4"/>
      <c r="N22" s="26"/>
      <c r="O22" s="25"/>
      <c r="P22" s="16"/>
      <c r="Q22" s="17"/>
    </row>
    <row r="23" spans="1:17" s="12" customFormat="1" ht="51.6" customHeight="1" x14ac:dyDescent="0.3">
      <c r="A23" s="13"/>
      <c r="B23" s="28"/>
      <c r="C23" s="1"/>
      <c r="D23" s="1"/>
      <c r="E23" s="9"/>
      <c r="F23" s="32"/>
      <c r="G23" s="32"/>
      <c r="H23" s="32"/>
      <c r="I23" s="32"/>
      <c r="J23" s="6"/>
      <c r="K23" s="9"/>
      <c r="L23" s="6"/>
      <c r="M23" s="4"/>
      <c r="N23" s="26"/>
      <c r="O23" s="25"/>
      <c r="P23" s="16"/>
      <c r="Q23" s="17"/>
    </row>
    <row r="24" spans="1:17" s="12" customFormat="1" ht="51.6" customHeight="1" x14ac:dyDescent="0.3">
      <c r="A24" s="13"/>
      <c r="B24" s="28"/>
      <c r="C24" s="1"/>
      <c r="D24" s="1"/>
      <c r="E24" s="9"/>
      <c r="F24" s="32"/>
      <c r="G24" s="32"/>
      <c r="H24" s="32"/>
      <c r="I24" s="32"/>
      <c r="J24" s="6"/>
      <c r="K24" s="9"/>
      <c r="L24" s="6"/>
      <c r="M24" s="4"/>
      <c r="N24" s="26"/>
      <c r="O24" s="25"/>
      <c r="P24" s="16"/>
      <c r="Q24" s="17"/>
    </row>
    <row r="25" spans="1:17" s="12" customFormat="1" ht="51.6" customHeight="1" x14ac:dyDescent="0.3">
      <c r="A25" s="13"/>
      <c r="B25" s="28"/>
      <c r="C25" s="1"/>
      <c r="D25" s="1"/>
      <c r="E25" s="9"/>
      <c r="F25" s="32"/>
      <c r="G25" s="32"/>
      <c r="H25" s="32"/>
      <c r="I25" s="32"/>
      <c r="J25" s="6"/>
      <c r="K25" s="9"/>
      <c r="L25" s="6"/>
      <c r="M25" s="4"/>
      <c r="N25" s="26"/>
      <c r="O25" s="25"/>
      <c r="P25" s="16"/>
      <c r="Q25" s="17"/>
    </row>
    <row r="26" spans="1:17" s="12" customFormat="1" ht="51.6" customHeight="1" x14ac:dyDescent="0.3">
      <c r="A26" s="13"/>
      <c r="B26" s="28"/>
      <c r="C26" s="1"/>
      <c r="D26" s="1"/>
      <c r="E26" s="9"/>
      <c r="F26" s="32"/>
      <c r="G26" s="32"/>
      <c r="H26" s="32"/>
      <c r="I26" s="32"/>
      <c r="J26" s="6"/>
      <c r="K26" s="9"/>
      <c r="L26" s="6"/>
      <c r="M26" s="4"/>
      <c r="N26" s="26"/>
      <c r="O26" s="25"/>
      <c r="P26" s="16"/>
      <c r="Q26" s="17"/>
    </row>
    <row r="27" spans="1:17" s="12" customFormat="1" ht="51.6" customHeight="1" x14ac:dyDescent="0.3">
      <c r="A27" s="13"/>
      <c r="B27" s="28"/>
      <c r="C27" s="1"/>
      <c r="D27" s="1"/>
      <c r="E27" s="9"/>
      <c r="F27" s="32"/>
      <c r="G27" s="32"/>
      <c r="H27" s="32"/>
      <c r="I27" s="32"/>
      <c r="J27" s="6"/>
      <c r="K27" s="9"/>
      <c r="L27" s="6"/>
      <c r="M27" s="4"/>
      <c r="N27" s="26"/>
      <c r="O27" s="25"/>
      <c r="P27" s="16"/>
      <c r="Q27" s="17"/>
    </row>
    <row r="28" spans="1:17" s="12" customFormat="1" ht="51.6" customHeight="1" x14ac:dyDescent="0.3">
      <c r="A28" s="13"/>
      <c r="B28" s="28"/>
      <c r="C28" s="1"/>
      <c r="D28" s="1"/>
      <c r="E28" s="9"/>
      <c r="F28" s="32"/>
      <c r="G28" s="32"/>
      <c r="H28" s="32"/>
      <c r="I28" s="32"/>
      <c r="J28" s="6"/>
      <c r="K28" s="9"/>
      <c r="L28" s="6"/>
      <c r="M28" s="4"/>
      <c r="N28" s="26"/>
      <c r="O28" s="25"/>
      <c r="P28" s="16"/>
      <c r="Q28" s="17"/>
    </row>
    <row r="29" spans="1:17" s="12" customFormat="1" ht="51.6" customHeight="1" x14ac:dyDescent="0.3">
      <c r="A29" s="13"/>
      <c r="B29" s="28"/>
      <c r="C29" s="1"/>
      <c r="D29" s="1"/>
      <c r="E29" s="9"/>
      <c r="F29" s="32"/>
      <c r="G29" s="32"/>
      <c r="H29" s="32"/>
      <c r="I29" s="32"/>
      <c r="J29" s="6"/>
      <c r="K29" s="9"/>
      <c r="L29" s="6"/>
      <c r="M29" s="4"/>
      <c r="N29" s="26"/>
      <c r="O29" s="25"/>
      <c r="P29" s="16"/>
      <c r="Q29" s="17"/>
    </row>
    <row r="30" spans="1:17" s="12" customFormat="1" ht="51.6" customHeight="1" x14ac:dyDescent="0.3">
      <c r="A30" s="13"/>
      <c r="B30" s="28"/>
      <c r="C30" s="1"/>
      <c r="D30" s="1"/>
      <c r="E30" s="9"/>
      <c r="F30" s="32"/>
      <c r="G30" s="32"/>
      <c r="H30" s="32"/>
      <c r="I30" s="32"/>
      <c r="J30" s="6"/>
      <c r="K30" s="9"/>
      <c r="L30" s="6"/>
      <c r="M30" s="4"/>
      <c r="N30" s="26"/>
      <c r="O30" s="25"/>
      <c r="P30" s="16"/>
      <c r="Q30" s="17"/>
    </row>
    <row r="31" spans="1:17" s="12" customFormat="1" ht="51.6" customHeight="1" x14ac:dyDescent="0.3">
      <c r="A31" s="13"/>
      <c r="B31" s="28"/>
      <c r="C31" s="1"/>
      <c r="D31" s="1"/>
      <c r="E31" s="9"/>
      <c r="F31" s="32"/>
      <c r="G31" s="32"/>
      <c r="H31" s="32"/>
      <c r="I31" s="32"/>
      <c r="J31" s="6"/>
      <c r="K31" s="9"/>
      <c r="L31" s="6"/>
      <c r="M31" s="4"/>
      <c r="N31" s="26"/>
      <c r="O31" s="25"/>
      <c r="P31" s="16"/>
      <c r="Q31" s="17"/>
    </row>
    <row r="32" spans="1:17" s="12" customFormat="1" ht="51.6" customHeight="1" x14ac:dyDescent="0.3">
      <c r="A32" s="13"/>
      <c r="B32" s="28"/>
      <c r="C32" s="1"/>
      <c r="D32" s="1"/>
      <c r="E32" s="9"/>
      <c r="F32" s="32"/>
      <c r="G32" s="32"/>
      <c r="H32" s="32"/>
      <c r="I32" s="32"/>
      <c r="J32" s="6"/>
      <c r="K32" s="9"/>
      <c r="L32" s="6"/>
      <c r="M32" s="4"/>
      <c r="N32" s="26"/>
      <c r="O32" s="25"/>
      <c r="P32" s="16"/>
      <c r="Q32" s="17"/>
    </row>
    <row r="33" spans="1:17" s="12" customFormat="1" ht="51.6" customHeight="1" x14ac:dyDescent="0.3">
      <c r="A33" s="13"/>
      <c r="B33" s="28"/>
      <c r="C33" s="1"/>
      <c r="D33" s="1"/>
      <c r="E33" s="9"/>
      <c r="F33" s="32"/>
      <c r="G33" s="32"/>
      <c r="H33" s="32"/>
      <c r="I33" s="32"/>
      <c r="J33" s="6"/>
      <c r="K33" s="9"/>
      <c r="L33" s="6"/>
      <c r="M33" s="4"/>
      <c r="N33" s="26"/>
      <c r="O33" s="25"/>
      <c r="P33" s="16"/>
      <c r="Q33" s="17"/>
    </row>
    <row r="34" spans="1:17" s="12" customFormat="1" ht="51.6" customHeight="1" x14ac:dyDescent="0.3">
      <c r="A34" s="13"/>
      <c r="B34" s="28"/>
      <c r="C34" s="1"/>
      <c r="D34" s="1"/>
      <c r="E34" s="9"/>
      <c r="F34" s="32"/>
      <c r="G34" s="32"/>
      <c r="H34" s="32"/>
      <c r="I34" s="32"/>
      <c r="J34" s="6"/>
      <c r="K34" s="9"/>
      <c r="L34" s="6"/>
      <c r="M34" s="4"/>
      <c r="N34" s="26"/>
      <c r="O34" s="25"/>
      <c r="P34" s="16"/>
      <c r="Q34" s="17"/>
    </row>
    <row r="35" spans="1:17" s="12" customFormat="1" ht="51.6" customHeight="1" x14ac:dyDescent="0.3">
      <c r="A35" s="13"/>
      <c r="B35" s="28"/>
      <c r="C35" s="1"/>
      <c r="D35" s="1"/>
      <c r="E35" s="9"/>
      <c r="F35" s="32"/>
      <c r="G35" s="32"/>
      <c r="H35" s="32"/>
      <c r="I35" s="32"/>
      <c r="J35" s="6"/>
      <c r="K35" s="9"/>
      <c r="L35" s="6"/>
      <c r="M35" s="4"/>
      <c r="N35" s="26"/>
      <c r="O35" s="25"/>
      <c r="P35" s="16"/>
      <c r="Q35" s="17"/>
    </row>
  </sheetData>
  <autoFilter ref="A4:P7" xr:uid="{00000000-0001-0000-0000-000000000000}"/>
  <mergeCells count="7">
    <mergeCell ref="A1:O2"/>
    <mergeCell ref="C3:E3"/>
    <mergeCell ref="F3:G3"/>
    <mergeCell ref="H3:I3"/>
    <mergeCell ref="J3:K3"/>
    <mergeCell ref="L3:M3"/>
    <mergeCell ref="N3:O3"/>
  </mergeCells>
  <phoneticPr fontId="6" type="noConversion"/>
  <conditionalFormatting sqref="P1:P35">
    <cfRule type="containsText" dxfId="11" priority="1" operator="containsText" text="Response ">
      <formula>NOT(ISERROR(SEARCH("Response ",P1)))</formula>
    </cfRule>
    <cfRule type="containsText" dxfId="10" priority="2" operator="containsText" text="open">
      <formula>NOT(ISERROR(SEARCH("open",P1)))</formula>
    </cfRule>
  </conditionalFormatting>
  <pageMargins left="0.7" right="0.7" top="0.75" bottom="0.75" header="0.3" footer="0.3"/>
  <pageSetup paperSize="9" scale="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3FB4-7DCC-4FDF-BF00-ADFC5C88B4F5}">
  <sheetPr>
    <pageSetUpPr fitToPage="1"/>
  </sheetPr>
  <dimension ref="A1:Q38"/>
  <sheetViews>
    <sheetView view="pageBreakPreview" topLeftCell="B1" zoomScale="70" zoomScaleNormal="100" zoomScaleSheetLayoutView="70" workbookViewId="0">
      <pane ySplit="4" topLeftCell="A20" activePane="bottomLeft" state="frozen"/>
      <selection pane="bottomLeft" activeCell="C22" sqref="C22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35.77734375" style="2" bestFit="1" customWidth="1"/>
    <col min="4" max="4" width="11.33203125" style="2" bestFit="1" customWidth="1"/>
    <col min="5" max="5" width="56.109375" style="2" customWidth="1"/>
    <col min="6" max="6" width="17.77734375" style="2" customWidth="1"/>
    <col min="7" max="7" width="20.21875" style="2" customWidth="1"/>
    <col min="8" max="8" width="17.77734375" style="2" customWidth="1"/>
    <col min="9" max="9" width="24.21875" style="2" customWidth="1"/>
    <col min="10" max="10" width="19.5546875" style="2" customWidth="1"/>
    <col min="11" max="11" width="17.77734375" style="2" customWidth="1"/>
    <col min="12" max="12" width="22.109375" style="2" customWidth="1"/>
    <col min="13" max="13" width="17.33203125" style="2" customWidth="1"/>
    <col min="14" max="14" width="13" style="2" bestFit="1" customWidth="1"/>
    <col min="15" max="15" width="46.44140625" style="27" customWidth="1"/>
    <col min="16" max="16" width="21.5546875" customWidth="1"/>
    <col min="17" max="17" width="23.33203125" customWidth="1"/>
  </cols>
  <sheetData>
    <row r="1" spans="1:17" ht="37.200000000000003" customHeight="1" x14ac:dyDescent="0.3">
      <c r="A1" s="95" t="s">
        <v>19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4" t="s">
        <v>11</v>
      </c>
      <c r="O1" s="3">
        <f>COUNTA(N$5:N$1048576)</f>
        <v>33</v>
      </c>
    </row>
    <row r="2" spans="1:17" ht="37.200000000000003" customHeight="1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5" t="s">
        <v>9</v>
      </c>
      <c r="O2" s="17">
        <f>COUNTIF(N$5:N$1048576,"Response ")</f>
        <v>30</v>
      </c>
    </row>
    <row r="3" spans="1:17" ht="40.799999999999997" customHeight="1" x14ac:dyDescent="0.3">
      <c r="A3" s="41" t="s">
        <v>13</v>
      </c>
      <c r="B3" s="41"/>
      <c r="C3" s="97"/>
      <c r="D3" s="97"/>
      <c r="E3" s="97"/>
      <c r="F3" s="97"/>
      <c r="G3" s="109" t="s">
        <v>459</v>
      </c>
      <c r="H3" s="102"/>
      <c r="I3" s="113"/>
      <c r="J3" s="109" t="s">
        <v>462</v>
      </c>
      <c r="K3" s="110"/>
      <c r="L3" s="111" t="s">
        <v>14</v>
      </c>
      <c r="M3" s="112"/>
      <c r="N3" s="15" t="s">
        <v>10</v>
      </c>
      <c r="O3" s="17">
        <f>COUNTIF(N$5:N$1048576,"OPEN")</f>
        <v>3</v>
      </c>
    </row>
    <row r="4" spans="1:17" ht="18" x14ac:dyDescent="0.3">
      <c r="A4" s="18" t="s">
        <v>0</v>
      </c>
      <c r="B4" s="18" t="s">
        <v>0</v>
      </c>
      <c r="C4" s="19" t="s">
        <v>6</v>
      </c>
      <c r="D4" s="19" t="s">
        <v>116</v>
      </c>
      <c r="E4" s="19" t="s">
        <v>1</v>
      </c>
      <c r="F4" s="35" t="s">
        <v>2</v>
      </c>
      <c r="G4" s="35" t="s">
        <v>0</v>
      </c>
      <c r="H4" s="21" t="s">
        <v>2</v>
      </c>
      <c r="I4" s="87" t="s">
        <v>460</v>
      </c>
      <c r="J4" s="20" t="s">
        <v>0</v>
      </c>
      <c r="K4" s="52" t="s">
        <v>2</v>
      </c>
      <c r="L4" s="20" t="s">
        <v>0</v>
      </c>
      <c r="M4" s="52" t="s">
        <v>2</v>
      </c>
      <c r="N4" s="22"/>
      <c r="O4" s="23"/>
    </row>
    <row r="5" spans="1:17" s="12" customFormat="1" ht="55.8" customHeight="1" x14ac:dyDescent="0.3">
      <c r="A5" s="11" t="s">
        <v>5</v>
      </c>
      <c r="B5" s="29" t="s">
        <v>35</v>
      </c>
      <c r="C5" s="63" t="s">
        <v>34</v>
      </c>
      <c r="D5" s="10">
        <v>0</v>
      </c>
      <c r="E5" s="30" t="s">
        <v>36</v>
      </c>
      <c r="F5" s="56" t="s">
        <v>37</v>
      </c>
      <c r="G5" s="60" t="s">
        <v>38</v>
      </c>
      <c r="H5" s="54">
        <v>46208</v>
      </c>
      <c r="I5" s="88"/>
      <c r="J5" s="53" t="s">
        <v>40</v>
      </c>
      <c r="K5" s="54">
        <v>46210</v>
      </c>
      <c r="L5" s="53" t="s">
        <v>39</v>
      </c>
      <c r="M5" s="54">
        <v>46210</v>
      </c>
      <c r="N5" s="16" t="s">
        <v>9</v>
      </c>
      <c r="O5" s="17"/>
      <c r="P5" s="31"/>
      <c r="Q5" s="31"/>
    </row>
    <row r="6" spans="1:17" s="12" customFormat="1" ht="61.2" customHeight="1" x14ac:dyDescent="0.3">
      <c r="A6" s="13" t="s">
        <v>4</v>
      </c>
      <c r="B6" s="29" t="s">
        <v>43</v>
      </c>
      <c r="C6" s="63" t="s">
        <v>41</v>
      </c>
      <c r="D6" s="10">
        <v>0</v>
      </c>
      <c r="E6" s="30" t="s">
        <v>42</v>
      </c>
      <c r="F6" s="56">
        <v>46211</v>
      </c>
      <c r="G6" s="53" t="s">
        <v>44</v>
      </c>
      <c r="H6" s="61">
        <v>46211</v>
      </c>
      <c r="I6" s="88"/>
      <c r="J6" s="57" t="s">
        <v>69</v>
      </c>
      <c r="K6" s="55">
        <v>46219</v>
      </c>
      <c r="L6" s="53" t="s">
        <v>70</v>
      </c>
      <c r="M6" s="55">
        <v>46219</v>
      </c>
      <c r="N6" s="16" t="s">
        <v>9</v>
      </c>
      <c r="O6" s="17"/>
    </row>
    <row r="7" spans="1:17" s="12" customFormat="1" ht="55.8" customHeight="1" x14ac:dyDescent="0.3">
      <c r="A7" s="13" t="s">
        <v>3</v>
      </c>
      <c r="B7" s="29" t="s">
        <v>55</v>
      </c>
      <c r="C7" s="63" t="s">
        <v>48</v>
      </c>
      <c r="D7" s="10">
        <v>0</v>
      </c>
      <c r="E7" s="30" t="s">
        <v>49</v>
      </c>
      <c r="F7" s="56">
        <v>46215</v>
      </c>
      <c r="G7" s="53" t="s">
        <v>54</v>
      </c>
      <c r="H7" s="61">
        <v>46217</v>
      </c>
      <c r="I7" s="88"/>
      <c r="J7" s="57" t="s">
        <v>68</v>
      </c>
      <c r="K7" s="55">
        <v>46219</v>
      </c>
      <c r="L7" s="6" t="s">
        <v>68</v>
      </c>
      <c r="M7" s="55">
        <v>46219</v>
      </c>
      <c r="N7" s="16" t="s">
        <v>9</v>
      </c>
      <c r="O7" s="17"/>
    </row>
    <row r="8" spans="1:17" s="12" customFormat="1" ht="48.6" customHeight="1" x14ac:dyDescent="0.3">
      <c r="A8" s="13"/>
      <c r="B8" s="29" t="s">
        <v>59</v>
      </c>
      <c r="C8" s="63" t="s">
        <v>57</v>
      </c>
      <c r="D8" s="10">
        <v>0</v>
      </c>
      <c r="E8" s="30" t="s">
        <v>58</v>
      </c>
      <c r="F8" s="56">
        <v>46218</v>
      </c>
      <c r="G8" s="57" t="s">
        <v>60</v>
      </c>
      <c r="H8" s="55">
        <v>46218</v>
      </c>
      <c r="I8" s="32"/>
      <c r="J8" s="57" t="s">
        <v>67</v>
      </c>
      <c r="K8" s="55">
        <v>46219</v>
      </c>
      <c r="L8" s="6" t="s">
        <v>66</v>
      </c>
      <c r="M8" s="55">
        <v>46219</v>
      </c>
      <c r="N8" s="16" t="s">
        <v>9</v>
      </c>
      <c r="O8" s="17"/>
    </row>
    <row r="9" spans="1:17" s="12" customFormat="1" ht="48" customHeight="1" x14ac:dyDescent="0.3">
      <c r="A9" s="13"/>
      <c r="B9" s="1" t="s">
        <v>82</v>
      </c>
      <c r="C9" s="63" t="s">
        <v>79</v>
      </c>
      <c r="D9" s="10">
        <v>0</v>
      </c>
      <c r="E9" s="1" t="s">
        <v>81</v>
      </c>
      <c r="F9" s="56">
        <v>46230</v>
      </c>
      <c r="G9" s="57" t="s">
        <v>84</v>
      </c>
      <c r="H9" s="61">
        <v>46230</v>
      </c>
      <c r="I9" s="88"/>
      <c r="J9" s="57" t="s">
        <v>110</v>
      </c>
      <c r="K9" s="55">
        <v>46238</v>
      </c>
      <c r="L9" s="6" t="s">
        <v>109</v>
      </c>
      <c r="M9" s="55">
        <v>46240</v>
      </c>
      <c r="N9" s="16" t="s">
        <v>9</v>
      </c>
      <c r="O9" s="40"/>
    </row>
    <row r="10" spans="1:17" s="12" customFormat="1" ht="51.6" customHeight="1" x14ac:dyDescent="0.3">
      <c r="A10" s="13"/>
      <c r="B10" s="1" t="s">
        <v>83</v>
      </c>
      <c r="C10" s="63" t="s">
        <v>80</v>
      </c>
      <c r="D10" s="10">
        <v>0</v>
      </c>
      <c r="E10" s="1" t="s">
        <v>85</v>
      </c>
      <c r="F10" s="56">
        <v>46230</v>
      </c>
      <c r="G10" s="57" t="s">
        <v>86</v>
      </c>
      <c r="H10" s="61">
        <v>46230</v>
      </c>
      <c r="I10" s="88"/>
      <c r="J10" s="57" t="s">
        <v>112</v>
      </c>
      <c r="K10" s="55">
        <v>46238</v>
      </c>
      <c r="L10" s="6" t="s">
        <v>111</v>
      </c>
      <c r="M10" s="55">
        <v>46240</v>
      </c>
      <c r="N10" s="16" t="s">
        <v>9</v>
      </c>
      <c r="O10" s="48"/>
    </row>
    <row r="11" spans="1:17" s="12" customFormat="1" ht="51.6" customHeight="1" x14ac:dyDescent="0.3">
      <c r="A11" s="13"/>
      <c r="B11" s="1" t="s">
        <v>88</v>
      </c>
      <c r="C11" s="63" t="s">
        <v>87</v>
      </c>
      <c r="D11" s="10">
        <v>0</v>
      </c>
      <c r="E11" s="1" t="s">
        <v>89</v>
      </c>
      <c r="F11" s="9">
        <v>46232</v>
      </c>
      <c r="G11" s="57" t="s">
        <v>90</v>
      </c>
      <c r="H11" s="55">
        <v>46232</v>
      </c>
      <c r="I11" s="32"/>
      <c r="J11" s="57" t="s">
        <v>115</v>
      </c>
      <c r="K11" s="55">
        <v>46239</v>
      </c>
      <c r="L11" s="6" t="s">
        <v>114</v>
      </c>
      <c r="M11" s="55">
        <v>46240</v>
      </c>
      <c r="N11" s="16" t="s">
        <v>9</v>
      </c>
      <c r="O11" s="49" t="s">
        <v>113</v>
      </c>
    </row>
    <row r="12" spans="1:17" s="12" customFormat="1" ht="51.6" customHeight="1" x14ac:dyDescent="0.3">
      <c r="A12" s="13"/>
      <c r="B12" s="1" t="s">
        <v>117</v>
      </c>
      <c r="C12" s="63" t="s">
        <v>87</v>
      </c>
      <c r="D12" s="10">
        <v>1</v>
      </c>
      <c r="E12" s="1" t="s">
        <v>89</v>
      </c>
      <c r="F12" s="9">
        <v>46243</v>
      </c>
      <c r="G12" s="62" t="s">
        <v>138</v>
      </c>
      <c r="H12" s="55">
        <v>46243</v>
      </c>
      <c r="I12" s="32"/>
      <c r="J12" s="57" t="s">
        <v>126</v>
      </c>
      <c r="K12" s="55">
        <v>46246</v>
      </c>
      <c r="L12" s="6" t="s">
        <v>137</v>
      </c>
      <c r="M12" s="55">
        <v>46246</v>
      </c>
      <c r="N12" s="16" t="s">
        <v>9</v>
      </c>
      <c r="O12" s="50"/>
    </row>
    <row r="13" spans="1:17" s="12" customFormat="1" ht="51.6" customHeight="1" x14ac:dyDescent="0.3">
      <c r="A13" s="13"/>
      <c r="B13" s="1" t="s">
        <v>96</v>
      </c>
      <c r="C13" s="63" t="s">
        <v>93</v>
      </c>
      <c r="D13" s="10">
        <v>0</v>
      </c>
      <c r="E13" s="30" t="s">
        <v>95</v>
      </c>
      <c r="F13" s="51">
        <v>46237</v>
      </c>
      <c r="G13" s="7" t="s">
        <v>94</v>
      </c>
      <c r="H13" s="54">
        <v>46237</v>
      </c>
      <c r="I13" s="89"/>
      <c r="J13" s="57" t="s">
        <v>119</v>
      </c>
      <c r="K13" s="55">
        <v>46245</v>
      </c>
      <c r="L13" s="6" t="s">
        <v>118</v>
      </c>
      <c r="M13" s="55">
        <v>46245</v>
      </c>
      <c r="N13" s="16" t="s">
        <v>9</v>
      </c>
      <c r="O13" s="17"/>
    </row>
    <row r="14" spans="1:17" s="12" customFormat="1" ht="51.6" customHeight="1" x14ac:dyDescent="0.3">
      <c r="A14" s="13"/>
      <c r="B14" s="1" t="s">
        <v>98</v>
      </c>
      <c r="C14" s="63" t="s">
        <v>97</v>
      </c>
      <c r="D14" s="10">
        <v>0</v>
      </c>
      <c r="E14" s="43" t="s">
        <v>99</v>
      </c>
      <c r="F14" s="51">
        <v>46238</v>
      </c>
      <c r="G14" s="7" t="s">
        <v>100</v>
      </c>
      <c r="H14" s="54">
        <v>46238</v>
      </c>
      <c r="I14" s="89"/>
      <c r="J14" s="57" t="s">
        <v>108</v>
      </c>
      <c r="K14" s="55">
        <v>46239</v>
      </c>
      <c r="L14" s="6" t="s">
        <v>107</v>
      </c>
      <c r="M14" s="55">
        <v>46240</v>
      </c>
      <c r="N14" s="16" t="s">
        <v>9</v>
      </c>
      <c r="O14" s="17"/>
    </row>
    <row r="15" spans="1:17" s="12" customFormat="1" ht="51.6" customHeight="1" x14ac:dyDescent="0.3">
      <c r="A15" s="13"/>
      <c r="B15" s="1" t="s">
        <v>105</v>
      </c>
      <c r="C15" s="63" t="s">
        <v>103</v>
      </c>
      <c r="D15" s="10">
        <v>0</v>
      </c>
      <c r="E15" s="43" t="s">
        <v>104</v>
      </c>
      <c r="F15" s="51">
        <v>46240</v>
      </c>
      <c r="G15" s="7" t="s">
        <v>106</v>
      </c>
      <c r="H15" s="54">
        <v>46240</v>
      </c>
      <c r="I15" s="89"/>
      <c r="J15" s="57" t="s">
        <v>125</v>
      </c>
      <c r="K15" s="55">
        <v>46214</v>
      </c>
      <c r="L15" s="6" t="s">
        <v>124</v>
      </c>
      <c r="M15" s="55">
        <v>46247</v>
      </c>
      <c r="N15" s="16" t="s">
        <v>9</v>
      </c>
      <c r="O15" s="17"/>
    </row>
    <row r="16" spans="1:17" s="12" customFormat="1" ht="51.6" customHeight="1" x14ac:dyDescent="0.3">
      <c r="A16" s="13"/>
      <c r="B16" s="1" t="s">
        <v>123</v>
      </c>
      <c r="C16" s="63" t="s">
        <v>121</v>
      </c>
      <c r="D16" s="10">
        <v>0</v>
      </c>
      <c r="E16" s="43" t="s">
        <v>120</v>
      </c>
      <c r="F16" s="51">
        <v>46246</v>
      </c>
      <c r="G16" s="7" t="s">
        <v>127</v>
      </c>
      <c r="H16" s="54">
        <v>46247</v>
      </c>
      <c r="I16" s="89"/>
      <c r="J16" s="57" t="s">
        <v>394</v>
      </c>
      <c r="K16" s="55">
        <v>46287</v>
      </c>
      <c r="L16" s="6" t="s">
        <v>395</v>
      </c>
      <c r="M16" s="55">
        <v>46287</v>
      </c>
      <c r="N16" s="16" t="s">
        <v>9</v>
      </c>
      <c r="O16" s="44" t="s">
        <v>254</v>
      </c>
    </row>
    <row r="17" spans="1:15" s="12" customFormat="1" ht="51.6" customHeight="1" x14ac:dyDescent="0.3">
      <c r="A17" s="13"/>
      <c r="B17" s="28" t="s">
        <v>132</v>
      </c>
      <c r="C17" s="63" t="s">
        <v>122</v>
      </c>
      <c r="D17" s="1">
        <v>0</v>
      </c>
      <c r="E17" s="1" t="s">
        <v>133</v>
      </c>
      <c r="F17" s="9">
        <v>46247</v>
      </c>
      <c r="G17" s="7" t="s">
        <v>154</v>
      </c>
      <c r="H17" s="54">
        <v>46250</v>
      </c>
      <c r="I17" s="89"/>
      <c r="J17" s="57" t="s">
        <v>245</v>
      </c>
      <c r="K17" s="55">
        <v>46269</v>
      </c>
      <c r="L17" s="6" t="s">
        <v>244</v>
      </c>
      <c r="M17" s="55">
        <v>46273</v>
      </c>
      <c r="N17" s="16" t="s">
        <v>9</v>
      </c>
      <c r="O17" s="17"/>
    </row>
    <row r="18" spans="1:15" s="12" customFormat="1" ht="51.6" customHeight="1" x14ac:dyDescent="0.3">
      <c r="A18" s="13"/>
      <c r="B18" s="28" t="s">
        <v>165</v>
      </c>
      <c r="C18" s="63" t="s">
        <v>159</v>
      </c>
      <c r="D18" s="1">
        <v>0</v>
      </c>
      <c r="E18" s="1" t="s">
        <v>164</v>
      </c>
      <c r="F18" s="9">
        <v>46251</v>
      </c>
      <c r="G18" s="7" t="s">
        <v>166</v>
      </c>
      <c r="H18" s="54">
        <v>46252</v>
      </c>
      <c r="I18" s="89"/>
      <c r="J18" s="57" t="s">
        <v>170</v>
      </c>
      <c r="K18" s="9">
        <v>46252</v>
      </c>
      <c r="L18" s="6" t="s">
        <v>169</v>
      </c>
      <c r="M18" s="9">
        <v>46253</v>
      </c>
      <c r="N18" s="16" t="s">
        <v>9</v>
      </c>
      <c r="O18" s="17"/>
    </row>
    <row r="19" spans="1:15" s="12" customFormat="1" ht="51.6" customHeight="1" x14ac:dyDescent="0.3">
      <c r="A19" s="13"/>
      <c r="B19" s="28" t="s">
        <v>161</v>
      </c>
      <c r="C19" s="63" t="s">
        <v>160</v>
      </c>
      <c r="D19" s="1">
        <v>0</v>
      </c>
      <c r="E19" s="1" t="s">
        <v>162</v>
      </c>
      <c r="F19" s="9">
        <v>46251</v>
      </c>
      <c r="G19" s="7" t="s">
        <v>163</v>
      </c>
      <c r="H19" s="54">
        <v>46252</v>
      </c>
      <c r="I19" s="89"/>
      <c r="J19" s="57" t="s">
        <v>168</v>
      </c>
      <c r="K19" s="9">
        <v>46252</v>
      </c>
      <c r="L19" s="6" t="s">
        <v>167</v>
      </c>
      <c r="M19" s="9">
        <v>46253</v>
      </c>
      <c r="N19" s="16" t="s">
        <v>9</v>
      </c>
      <c r="O19" s="17"/>
    </row>
    <row r="20" spans="1:15" s="12" customFormat="1" ht="51.6" customHeight="1" x14ac:dyDescent="0.3">
      <c r="A20" s="13"/>
      <c r="B20" s="28" t="s">
        <v>178</v>
      </c>
      <c r="C20" s="63" t="s">
        <v>174</v>
      </c>
      <c r="D20" s="1">
        <v>0</v>
      </c>
      <c r="E20" s="1" t="s">
        <v>175</v>
      </c>
      <c r="F20" s="9">
        <v>46254</v>
      </c>
      <c r="G20" s="7" t="s">
        <v>179</v>
      </c>
      <c r="H20" s="54">
        <v>46258</v>
      </c>
      <c r="I20" s="89"/>
      <c r="J20" s="57" t="s">
        <v>193</v>
      </c>
      <c r="K20" s="55">
        <v>46261</v>
      </c>
      <c r="L20" s="6" t="s">
        <v>192</v>
      </c>
      <c r="M20" s="9">
        <v>46264</v>
      </c>
      <c r="N20" s="16" t="s">
        <v>9</v>
      </c>
      <c r="O20" s="17"/>
    </row>
    <row r="21" spans="1:15" s="12" customFormat="1" ht="51.6" customHeight="1" x14ac:dyDescent="0.3">
      <c r="A21" s="13"/>
      <c r="B21" s="28" t="s">
        <v>209</v>
      </c>
      <c r="C21" s="63" t="s">
        <v>194</v>
      </c>
      <c r="D21" s="1">
        <v>0</v>
      </c>
      <c r="E21" s="1" t="s">
        <v>208</v>
      </c>
      <c r="F21" s="9">
        <v>46263</v>
      </c>
      <c r="G21" s="7" t="s">
        <v>225</v>
      </c>
      <c r="H21" s="54">
        <v>46265</v>
      </c>
      <c r="I21" s="89"/>
      <c r="J21" s="57" t="s">
        <v>247</v>
      </c>
      <c r="K21" s="9">
        <v>46268</v>
      </c>
      <c r="L21" s="6" t="s">
        <v>246</v>
      </c>
      <c r="M21" s="9">
        <v>46273</v>
      </c>
      <c r="N21" s="16" t="s">
        <v>9</v>
      </c>
      <c r="O21" s="17"/>
    </row>
    <row r="22" spans="1:15" s="12" customFormat="1" ht="51.6" customHeight="1" x14ac:dyDescent="0.3">
      <c r="A22" s="13"/>
      <c r="B22" s="28" t="s">
        <v>470</v>
      </c>
      <c r="C22" s="63" t="s">
        <v>194</v>
      </c>
      <c r="D22" s="1">
        <v>1</v>
      </c>
      <c r="E22" s="1" t="s">
        <v>208</v>
      </c>
      <c r="F22" s="9">
        <v>46299</v>
      </c>
      <c r="G22" s="7" t="s">
        <v>471</v>
      </c>
      <c r="H22" s="54">
        <v>46300</v>
      </c>
      <c r="I22" s="90" t="s">
        <v>458</v>
      </c>
      <c r="J22" s="57"/>
      <c r="K22" s="9"/>
      <c r="L22" s="6"/>
      <c r="M22" s="9"/>
      <c r="N22" s="15" t="s">
        <v>10</v>
      </c>
      <c r="O22" s="17"/>
    </row>
    <row r="23" spans="1:15" s="12" customFormat="1" ht="51.6" customHeight="1" x14ac:dyDescent="0.3">
      <c r="A23" s="13"/>
      <c r="B23" s="28" t="s">
        <v>207</v>
      </c>
      <c r="C23" s="63" t="s">
        <v>195</v>
      </c>
      <c r="D23" s="1">
        <v>0</v>
      </c>
      <c r="E23" s="1" t="s">
        <v>206</v>
      </c>
      <c r="F23" s="9">
        <v>46263</v>
      </c>
      <c r="G23" s="7" t="s">
        <v>226</v>
      </c>
      <c r="H23" s="54">
        <v>46265</v>
      </c>
      <c r="I23" s="89"/>
      <c r="J23" s="57" t="s">
        <v>249</v>
      </c>
      <c r="K23" s="9">
        <v>46268</v>
      </c>
      <c r="L23" s="6" t="s">
        <v>248</v>
      </c>
      <c r="M23" s="9">
        <v>46273</v>
      </c>
      <c r="N23" s="16" t="s">
        <v>9</v>
      </c>
      <c r="O23" s="17"/>
    </row>
    <row r="24" spans="1:15" s="12" customFormat="1" ht="66" customHeight="1" x14ac:dyDescent="0.3">
      <c r="A24" s="13"/>
      <c r="B24" s="28" t="s">
        <v>202</v>
      </c>
      <c r="C24" s="63" t="s">
        <v>196</v>
      </c>
      <c r="D24" s="1">
        <v>0</v>
      </c>
      <c r="E24" s="1" t="s">
        <v>201</v>
      </c>
      <c r="F24" s="9">
        <v>46263</v>
      </c>
      <c r="G24" s="7" t="s">
        <v>227</v>
      </c>
      <c r="H24" s="54">
        <v>46265</v>
      </c>
      <c r="I24" s="89"/>
      <c r="J24" s="57" t="s">
        <v>250</v>
      </c>
      <c r="K24" s="9">
        <v>46268</v>
      </c>
      <c r="L24" s="6" t="s">
        <v>251</v>
      </c>
      <c r="M24" s="9">
        <v>46273</v>
      </c>
      <c r="N24" s="16" t="s">
        <v>9</v>
      </c>
      <c r="O24" s="17"/>
    </row>
    <row r="25" spans="1:15" s="12" customFormat="1" ht="66" customHeight="1" x14ac:dyDescent="0.3">
      <c r="A25" s="13"/>
      <c r="B25" s="28" t="s">
        <v>374</v>
      </c>
      <c r="C25" s="63" t="s">
        <v>196</v>
      </c>
      <c r="D25" s="1">
        <v>1</v>
      </c>
      <c r="E25" s="1" t="s">
        <v>201</v>
      </c>
      <c r="F25" s="9">
        <v>46281</v>
      </c>
      <c r="G25" s="7" t="s">
        <v>375</v>
      </c>
      <c r="H25" s="54">
        <v>46281</v>
      </c>
      <c r="I25" s="89"/>
      <c r="J25" s="57" t="s">
        <v>397</v>
      </c>
      <c r="K25" s="9">
        <v>46287</v>
      </c>
      <c r="L25" s="6" t="s">
        <v>396</v>
      </c>
      <c r="M25" s="9">
        <v>46287</v>
      </c>
      <c r="N25" s="16" t="s">
        <v>9</v>
      </c>
      <c r="O25" s="17"/>
    </row>
    <row r="26" spans="1:15" s="12" customFormat="1" ht="51.6" customHeight="1" x14ac:dyDescent="0.3">
      <c r="A26" s="13"/>
      <c r="B26" s="28" t="s">
        <v>228</v>
      </c>
      <c r="C26" s="63" t="s">
        <v>219</v>
      </c>
      <c r="D26" s="1">
        <v>0</v>
      </c>
      <c r="E26" s="1" t="s">
        <v>220</v>
      </c>
      <c r="F26" s="9">
        <v>46265</v>
      </c>
      <c r="G26" s="7" t="s">
        <v>229</v>
      </c>
      <c r="H26" s="54">
        <v>46265</v>
      </c>
      <c r="I26" s="89"/>
      <c r="J26" s="57" t="s">
        <v>253</v>
      </c>
      <c r="K26" s="9">
        <v>46268</v>
      </c>
      <c r="L26" s="6" t="s">
        <v>252</v>
      </c>
      <c r="M26" s="9">
        <v>46273</v>
      </c>
      <c r="N26" s="16" t="s">
        <v>9</v>
      </c>
      <c r="O26" s="17"/>
    </row>
    <row r="27" spans="1:15" s="12" customFormat="1" ht="51.6" customHeight="1" x14ac:dyDescent="0.3">
      <c r="A27" s="13"/>
      <c r="B27" s="28" t="s">
        <v>243</v>
      </c>
      <c r="C27" s="63" t="s">
        <v>242</v>
      </c>
      <c r="D27" s="1">
        <v>0</v>
      </c>
      <c r="E27" s="1" t="s">
        <v>241</v>
      </c>
      <c r="F27" s="9">
        <v>46268</v>
      </c>
      <c r="G27" s="7" t="s">
        <v>255</v>
      </c>
      <c r="H27" s="9">
        <v>46273</v>
      </c>
      <c r="I27" s="90"/>
      <c r="J27" s="57" t="s">
        <v>363</v>
      </c>
      <c r="K27" s="55">
        <v>46280</v>
      </c>
      <c r="L27" s="6" t="s">
        <v>364</v>
      </c>
      <c r="M27" s="9">
        <v>46280</v>
      </c>
      <c r="N27" s="16" t="s">
        <v>9</v>
      </c>
      <c r="O27" s="17"/>
    </row>
    <row r="28" spans="1:15" s="12" customFormat="1" ht="51.6" customHeight="1" x14ac:dyDescent="0.3">
      <c r="A28" s="13"/>
      <c r="B28" s="28" t="s">
        <v>262</v>
      </c>
      <c r="C28" s="63" t="s">
        <v>256</v>
      </c>
      <c r="D28" s="1">
        <v>0</v>
      </c>
      <c r="E28" s="1" t="s">
        <v>261</v>
      </c>
      <c r="F28" s="9">
        <v>46268</v>
      </c>
      <c r="G28" s="7" t="s">
        <v>263</v>
      </c>
      <c r="H28" s="51">
        <v>46273</v>
      </c>
      <c r="I28" s="90"/>
      <c r="J28" s="57" t="s">
        <v>365</v>
      </c>
      <c r="K28" s="55">
        <v>46280</v>
      </c>
      <c r="L28" s="6" t="s">
        <v>366</v>
      </c>
      <c r="M28" s="9">
        <v>46280</v>
      </c>
      <c r="N28" s="16" t="s">
        <v>9</v>
      </c>
      <c r="O28" s="17"/>
    </row>
    <row r="29" spans="1:15" s="12" customFormat="1" ht="51.6" customHeight="1" x14ac:dyDescent="0.3">
      <c r="A29" s="13"/>
      <c r="B29" s="28" t="s">
        <v>260</v>
      </c>
      <c r="C29" s="63" t="s">
        <v>257</v>
      </c>
      <c r="D29" s="1">
        <v>0</v>
      </c>
      <c r="E29" s="1" t="s">
        <v>259</v>
      </c>
      <c r="F29" s="9">
        <v>46268</v>
      </c>
      <c r="G29" s="7" t="s">
        <v>258</v>
      </c>
      <c r="H29" s="9">
        <v>46273</v>
      </c>
      <c r="I29" s="90" t="s">
        <v>458</v>
      </c>
      <c r="J29" s="57" t="s">
        <v>477</v>
      </c>
      <c r="K29" s="55">
        <v>46302</v>
      </c>
      <c r="L29" s="6" t="s">
        <v>478</v>
      </c>
      <c r="M29" s="9">
        <v>46304</v>
      </c>
      <c r="N29" s="16" t="s">
        <v>9</v>
      </c>
      <c r="O29" s="17"/>
    </row>
    <row r="30" spans="1:15" s="12" customFormat="1" ht="51.6" customHeight="1" x14ac:dyDescent="0.3">
      <c r="A30" s="13"/>
      <c r="B30" s="28" t="s">
        <v>379</v>
      </c>
      <c r="C30" s="63" t="s">
        <v>378</v>
      </c>
      <c r="D30" s="1">
        <v>0</v>
      </c>
      <c r="E30" s="1" t="s">
        <v>377</v>
      </c>
      <c r="F30" s="9">
        <v>46281</v>
      </c>
      <c r="G30" s="7" t="s">
        <v>376</v>
      </c>
      <c r="H30" s="51">
        <v>46281</v>
      </c>
      <c r="I30" s="90"/>
      <c r="J30" s="57" t="s">
        <v>398</v>
      </c>
      <c r="K30" s="55">
        <v>46287</v>
      </c>
      <c r="L30" s="6" t="s">
        <v>399</v>
      </c>
      <c r="M30" s="9">
        <v>46287</v>
      </c>
      <c r="N30" s="16" t="s">
        <v>9</v>
      </c>
      <c r="O30" s="17"/>
    </row>
    <row r="31" spans="1:15" s="12" customFormat="1" ht="51.6" customHeight="1" x14ac:dyDescent="0.3">
      <c r="A31" s="13"/>
      <c r="B31" s="28" t="s">
        <v>382</v>
      </c>
      <c r="C31" s="63" t="s">
        <v>380</v>
      </c>
      <c r="D31" s="1">
        <v>0</v>
      </c>
      <c r="E31" s="1" t="s">
        <v>381</v>
      </c>
      <c r="F31" s="9">
        <v>46281</v>
      </c>
      <c r="G31" s="7" t="s">
        <v>383</v>
      </c>
      <c r="H31" s="51">
        <v>46281</v>
      </c>
      <c r="I31" s="90" t="s">
        <v>458</v>
      </c>
      <c r="J31" s="57" t="s">
        <v>393</v>
      </c>
      <c r="K31" s="9">
        <v>46287</v>
      </c>
      <c r="L31" s="6" t="s">
        <v>392</v>
      </c>
      <c r="M31" s="9">
        <v>46287</v>
      </c>
      <c r="N31" s="16" t="s">
        <v>9</v>
      </c>
      <c r="O31" s="17"/>
    </row>
    <row r="32" spans="1:15" s="12" customFormat="1" ht="51.6" customHeight="1" x14ac:dyDescent="0.3">
      <c r="A32" s="13"/>
      <c r="B32" s="28" t="s">
        <v>405</v>
      </c>
      <c r="C32" s="63" t="s">
        <v>400</v>
      </c>
      <c r="D32" s="1">
        <v>0</v>
      </c>
      <c r="E32" s="1" t="s">
        <v>402</v>
      </c>
      <c r="F32" s="9">
        <v>46289</v>
      </c>
      <c r="G32" s="7" t="s">
        <v>474</v>
      </c>
      <c r="H32" s="9">
        <v>46289</v>
      </c>
      <c r="I32" s="90" t="s">
        <v>461</v>
      </c>
      <c r="J32" s="57" t="s">
        <v>474</v>
      </c>
      <c r="K32" s="9">
        <v>46299</v>
      </c>
      <c r="L32" s="6" t="s">
        <v>475</v>
      </c>
      <c r="M32" s="9">
        <v>46304</v>
      </c>
      <c r="N32" s="16" t="s">
        <v>9</v>
      </c>
      <c r="O32" s="17"/>
    </row>
    <row r="33" spans="1:15" s="12" customFormat="1" ht="51.6" customHeight="1" x14ac:dyDescent="0.3">
      <c r="A33" s="13"/>
      <c r="B33" s="28" t="s">
        <v>404</v>
      </c>
      <c r="C33" s="63" t="s">
        <v>401</v>
      </c>
      <c r="D33" s="1">
        <v>0</v>
      </c>
      <c r="E33" s="1" t="s">
        <v>403</v>
      </c>
      <c r="F33" s="9">
        <v>46289</v>
      </c>
      <c r="G33" s="7" t="s">
        <v>406</v>
      </c>
      <c r="H33" s="9">
        <v>46289</v>
      </c>
      <c r="I33" s="90" t="s">
        <v>458</v>
      </c>
      <c r="J33" s="57" t="s">
        <v>412</v>
      </c>
      <c r="K33" s="9">
        <v>46289</v>
      </c>
      <c r="L33" s="6" t="s">
        <v>411</v>
      </c>
      <c r="M33" s="9">
        <v>46291</v>
      </c>
      <c r="N33" s="16" t="s">
        <v>9</v>
      </c>
      <c r="O33" s="17"/>
    </row>
    <row r="34" spans="1:15" s="12" customFormat="1" ht="51.6" customHeight="1" x14ac:dyDescent="0.3">
      <c r="A34" s="13"/>
      <c r="B34" s="28" t="s">
        <v>431</v>
      </c>
      <c r="C34" s="63" t="s">
        <v>426</v>
      </c>
      <c r="D34" s="1">
        <v>0</v>
      </c>
      <c r="E34" s="1" t="s">
        <v>430</v>
      </c>
      <c r="F34" s="9">
        <v>46292</v>
      </c>
      <c r="G34" s="7" t="s">
        <v>432</v>
      </c>
      <c r="H34" s="9">
        <v>46293</v>
      </c>
      <c r="I34" s="90" t="s">
        <v>458</v>
      </c>
      <c r="J34" s="57" t="s">
        <v>466</v>
      </c>
      <c r="K34" s="9">
        <v>46297</v>
      </c>
      <c r="L34" s="6" t="s">
        <v>467</v>
      </c>
      <c r="M34" s="9">
        <v>46300</v>
      </c>
      <c r="N34" s="16" t="s">
        <v>9</v>
      </c>
      <c r="O34" s="17"/>
    </row>
    <row r="35" spans="1:15" s="12" customFormat="1" ht="51.6" customHeight="1" x14ac:dyDescent="0.3">
      <c r="A35" s="13"/>
      <c r="B35" s="28" t="s">
        <v>428</v>
      </c>
      <c r="C35" s="63" t="s">
        <v>427</v>
      </c>
      <c r="D35" s="1">
        <v>0</v>
      </c>
      <c r="E35" s="1" t="s">
        <v>429</v>
      </c>
      <c r="F35" s="9">
        <v>46293</v>
      </c>
      <c r="G35" s="7" t="s">
        <v>457</v>
      </c>
      <c r="H35" s="9">
        <v>46296</v>
      </c>
      <c r="I35" s="90" t="s">
        <v>458</v>
      </c>
      <c r="J35" s="57"/>
      <c r="K35" s="9"/>
      <c r="L35" s="6"/>
      <c r="M35" s="9"/>
      <c r="N35" s="15" t="s">
        <v>10</v>
      </c>
      <c r="O35" s="17"/>
    </row>
    <row r="36" spans="1:15" s="12" customFormat="1" ht="51.6" customHeight="1" x14ac:dyDescent="0.3">
      <c r="A36" s="13"/>
      <c r="B36" s="28" t="s">
        <v>453</v>
      </c>
      <c r="C36" s="63" t="s">
        <v>450</v>
      </c>
      <c r="D36" s="1">
        <v>0</v>
      </c>
      <c r="E36" s="1" t="s">
        <v>454</v>
      </c>
      <c r="F36" s="9">
        <v>46294</v>
      </c>
      <c r="G36" s="7" t="s">
        <v>476</v>
      </c>
      <c r="H36" s="9">
        <v>46304</v>
      </c>
      <c r="I36" s="90" t="s">
        <v>458</v>
      </c>
      <c r="J36" s="57"/>
      <c r="K36" s="9"/>
      <c r="L36" s="6"/>
      <c r="M36" s="9"/>
      <c r="N36" s="15" t="s">
        <v>10</v>
      </c>
      <c r="O36" s="17"/>
    </row>
    <row r="37" spans="1:15" s="12" customFormat="1" ht="51.6" customHeight="1" x14ac:dyDescent="0.3">
      <c r="A37" s="13"/>
      <c r="B37" s="28" t="s">
        <v>455</v>
      </c>
      <c r="C37" s="63" t="s">
        <v>451</v>
      </c>
      <c r="D37" s="1">
        <v>0</v>
      </c>
      <c r="E37" s="1" t="s">
        <v>456</v>
      </c>
      <c r="F37" s="9">
        <v>46295</v>
      </c>
      <c r="G37" s="7" t="s">
        <v>452</v>
      </c>
      <c r="H37" s="9">
        <v>46295</v>
      </c>
      <c r="I37" s="90" t="s">
        <v>461</v>
      </c>
      <c r="J37" s="57" t="s">
        <v>473</v>
      </c>
      <c r="K37" s="9">
        <v>46303</v>
      </c>
      <c r="L37" s="6" t="s">
        <v>472</v>
      </c>
      <c r="M37" s="9">
        <v>46304</v>
      </c>
      <c r="N37" s="16" t="s">
        <v>9</v>
      </c>
      <c r="O37" s="44" t="s">
        <v>464</v>
      </c>
    </row>
    <row r="38" spans="1:15" s="12" customFormat="1" ht="51.6" customHeight="1" x14ac:dyDescent="0.3">
      <c r="A38" s="13"/>
      <c r="B38" s="28"/>
      <c r="C38" s="1"/>
      <c r="D38" s="1"/>
      <c r="E38" s="1"/>
      <c r="F38" s="9"/>
      <c r="G38" s="58"/>
      <c r="H38" s="59"/>
      <c r="I38" s="89"/>
      <c r="J38" s="58"/>
      <c r="K38" s="59"/>
      <c r="L38" s="6"/>
      <c r="M38" s="9"/>
      <c r="N38" s="16"/>
      <c r="O38" s="17"/>
    </row>
  </sheetData>
  <autoFilter ref="A4:N29" xr:uid="{00000000-0001-0000-0000-000000000000}"/>
  <mergeCells count="5">
    <mergeCell ref="A1:M2"/>
    <mergeCell ref="C3:F3"/>
    <mergeCell ref="J3:K3"/>
    <mergeCell ref="L3:M3"/>
    <mergeCell ref="G3:I3"/>
  </mergeCells>
  <phoneticPr fontId="6" type="noConversion"/>
  <conditionalFormatting sqref="N1:N38">
    <cfRule type="containsText" dxfId="9" priority="1" operator="containsText" text="Response ">
      <formula>NOT(ISERROR(SEARCH("Response ",N1)))</formula>
    </cfRule>
    <cfRule type="containsText" dxfId="8" priority="2" operator="containsText" text="open">
      <formula>NOT(ISERROR(SEARCH("open",N1)))</formula>
    </cfRule>
  </conditionalFormatting>
  <pageMargins left="0.7" right="0.7" top="0.75" bottom="0.75" header="0.3" footer="0.3"/>
  <pageSetup paperSize="9" scale="3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9F3C-DA64-4382-AAD1-71C3827BDADC}">
  <sheetPr>
    <pageSetUpPr fitToPage="1"/>
  </sheetPr>
  <dimension ref="A1:P36"/>
  <sheetViews>
    <sheetView tabSelected="1" view="pageBreakPreview" topLeftCell="B1" zoomScale="70" zoomScaleNormal="100" zoomScaleSheetLayoutView="70" workbookViewId="0">
      <pane ySplit="4" topLeftCell="A17" activePane="bottomLeft" state="frozen"/>
      <selection pane="bottomLeft" activeCell="J23" sqref="I23:J24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45.44140625" style="2" customWidth="1"/>
    <col min="4" max="4" width="50.21875" style="2" customWidth="1"/>
    <col min="5" max="8" width="17.77734375" style="2" customWidth="1"/>
    <col min="9" max="9" width="19.5546875" style="2" customWidth="1"/>
    <col min="10" max="10" width="17.77734375" style="2" customWidth="1"/>
    <col min="11" max="11" width="22.109375" style="2" customWidth="1"/>
    <col min="12" max="12" width="17.77734375" style="2" customWidth="1"/>
    <col min="13" max="13" width="17.5546875" style="2" customWidth="1"/>
    <col min="14" max="14" width="27" style="27" customWidth="1"/>
    <col min="15" max="15" width="21.5546875" customWidth="1"/>
    <col min="16" max="16" width="23.33203125" style="81" customWidth="1"/>
  </cols>
  <sheetData>
    <row r="1" spans="1:16" ht="37.200000000000003" customHeight="1" x14ac:dyDescent="0.3">
      <c r="A1" s="95" t="s">
        <v>71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14" t="s">
        <v>11</v>
      </c>
      <c r="N1" s="3">
        <f>COUNTA(M$5:M$1048576)</f>
        <v>20</v>
      </c>
    </row>
    <row r="2" spans="1:16" ht="37.200000000000003" customHeight="1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15" t="s">
        <v>9</v>
      </c>
      <c r="N2" s="17">
        <f>COUNTIF(M$5:M$1048576,"Response ")</f>
        <v>16</v>
      </c>
    </row>
    <row r="3" spans="1:16" ht="40.799999999999997" customHeight="1" x14ac:dyDescent="0.3">
      <c r="A3" s="41" t="s">
        <v>13</v>
      </c>
      <c r="B3" s="41"/>
      <c r="C3" s="97"/>
      <c r="D3" s="97"/>
      <c r="E3" s="98"/>
      <c r="F3" s="99" t="s">
        <v>487</v>
      </c>
      <c r="G3" s="102"/>
      <c r="H3" s="103"/>
      <c r="I3" s="99" t="s">
        <v>189</v>
      </c>
      <c r="J3" s="100"/>
      <c r="K3" s="101" t="s">
        <v>14</v>
      </c>
      <c r="L3" s="101"/>
      <c r="M3" s="15" t="s">
        <v>10</v>
      </c>
      <c r="N3" s="17">
        <f>COUNTIF(M$5:M$1048576,"OPEN")</f>
        <v>4</v>
      </c>
    </row>
    <row r="4" spans="1:16" ht="59.4" customHeight="1" x14ac:dyDescent="0.3">
      <c r="A4" s="18" t="s">
        <v>0</v>
      </c>
      <c r="B4" s="18" t="s">
        <v>0</v>
      </c>
      <c r="C4" s="19" t="s">
        <v>6</v>
      </c>
      <c r="D4" s="19" t="s">
        <v>1</v>
      </c>
      <c r="E4" s="35" t="s">
        <v>2</v>
      </c>
      <c r="F4" s="35" t="s">
        <v>0</v>
      </c>
      <c r="G4" s="35" t="s">
        <v>2</v>
      </c>
      <c r="H4" s="35"/>
      <c r="I4" s="35" t="s">
        <v>0</v>
      </c>
      <c r="J4" s="21" t="s">
        <v>2</v>
      </c>
      <c r="K4" s="20" t="s">
        <v>0</v>
      </c>
      <c r="L4" s="21" t="s">
        <v>2</v>
      </c>
      <c r="M4" s="22"/>
      <c r="N4" s="23"/>
      <c r="P4" s="35" t="s">
        <v>325</v>
      </c>
    </row>
    <row r="5" spans="1:16" s="12" customFormat="1" ht="52.8" customHeight="1" x14ac:dyDescent="0.3">
      <c r="A5" s="11" t="s">
        <v>5</v>
      </c>
      <c r="B5" s="29" t="s">
        <v>75</v>
      </c>
      <c r="C5" s="10" t="s">
        <v>73</v>
      </c>
      <c r="D5" s="30" t="s">
        <v>76</v>
      </c>
      <c r="E5" s="51">
        <v>46229</v>
      </c>
      <c r="F5" s="6" t="s">
        <v>91</v>
      </c>
      <c r="G5" s="51">
        <v>46236</v>
      </c>
      <c r="H5" s="54"/>
      <c r="I5" s="6" t="s">
        <v>102</v>
      </c>
      <c r="J5" s="80">
        <v>46240</v>
      </c>
      <c r="K5" s="7" t="s">
        <v>101</v>
      </c>
      <c r="L5" s="36">
        <v>46240</v>
      </c>
      <c r="M5" s="15" t="s">
        <v>9</v>
      </c>
      <c r="N5" s="44"/>
      <c r="O5" s="31"/>
      <c r="P5" s="82"/>
    </row>
    <row r="6" spans="1:16" s="12" customFormat="1" ht="51.6" customHeight="1" x14ac:dyDescent="0.3">
      <c r="A6" s="13" t="s">
        <v>4</v>
      </c>
      <c r="B6" s="29" t="s">
        <v>77</v>
      </c>
      <c r="C6" s="10" t="s">
        <v>74</v>
      </c>
      <c r="D6" s="43" t="s">
        <v>78</v>
      </c>
      <c r="E6" s="51">
        <v>46229</v>
      </c>
      <c r="F6" s="7" t="s">
        <v>92</v>
      </c>
      <c r="G6" s="51">
        <v>46236</v>
      </c>
      <c r="H6" s="61"/>
      <c r="I6" s="7" t="s">
        <v>172</v>
      </c>
      <c r="J6" s="54">
        <v>46252</v>
      </c>
      <c r="K6" s="6" t="s">
        <v>171</v>
      </c>
      <c r="L6" s="36">
        <v>46253</v>
      </c>
      <c r="M6" s="15" t="s">
        <v>9</v>
      </c>
      <c r="N6" s="17"/>
      <c r="P6" s="81"/>
    </row>
    <row r="7" spans="1:16" s="12" customFormat="1" ht="51.6" customHeight="1" x14ac:dyDescent="0.3">
      <c r="A7" s="13" t="s">
        <v>3</v>
      </c>
      <c r="B7" s="29" t="s">
        <v>131</v>
      </c>
      <c r="C7" s="10" t="s">
        <v>129</v>
      </c>
      <c r="D7" s="43" t="s">
        <v>130</v>
      </c>
      <c r="E7" s="9">
        <v>46246</v>
      </c>
      <c r="F7" s="7" t="s">
        <v>128</v>
      </c>
      <c r="G7" s="9">
        <v>46247</v>
      </c>
      <c r="H7" s="55"/>
      <c r="I7" s="57" t="s">
        <v>184</v>
      </c>
      <c r="J7" s="54">
        <v>46252</v>
      </c>
      <c r="K7" s="6" t="s">
        <v>185</v>
      </c>
      <c r="L7" s="9">
        <v>46258</v>
      </c>
      <c r="M7" s="15" t="s">
        <v>9</v>
      </c>
      <c r="N7" s="17"/>
      <c r="P7" s="81"/>
    </row>
    <row r="8" spans="1:16" s="12" customFormat="1" ht="51.6" customHeight="1" x14ac:dyDescent="0.3">
      <c r="A8" s="13"/>
      <c r="B8" s="93" t="s">
        <v>482</v>
      </c>
      <c r="C8" s="10" t="s">
        <v>129</v>
      </c>
      <c r="D8" s="43" t="s">
        <v>481</v>
      </c>
      <c r="E8" s="9">
        <v>46302</v>
      </c>
      <c r="F8" s="7" t="s">
        <v>483</v>
      </c>
      <c r="G8" s="9">
        <v>46306</v>
      </c>
      <c r="H8" s="55" t="s">
        <v>458</v>
      </c>
      <c r="I8" s="57"/>
      <c r="J8" s="51"/>
      <c r="K8" s="6"/>
      <c r="L8" s="9"/>
      <c r="M8" s="47" t="s">
        <v>10</v>
      </c>
      <c r="N8" s="17"/>
      <c r="P8" s="81"/>
    </row>
    <row r="9" spans="1:16" s="12" customFormat="1" ht="51.6" customHeight="1" x14ac:dyDescent="0.3">
      <c r="A9" s="13"/>
      <c r="B9" s="28" t="s">
        <v>153</v>
      </c>
      <c r="C9" s="10" t="s">
        <v>151</v>
      </c>
      <c r="D9" s="43" t="s">
        <v>152</v>
      </c>
      <c r="E9" s="9">
        <v>46250</v>
      </c>
      <c r="F9" s="57" t="s">
        <v>240</v>
      </c>
      <c r="G9" s="9">
        <v>46251</v>
      </c>
      <c r="H9" s="55"/>
      <c r="I9" s="57" t="s">
        <v>391</v>
      </c>
      <c r="J9" s="9">
        <v>46279</v>
      </c>
      <c r="K9" s="6" t="s">
        <v>390</v>
      </c>
      <c r="L9" s="9">
        <v>46286</v>
      </c>
      <c r="M9" s="15" t="s">
        <v>9</v>
      </c>
      <c r="N9" s="17"/>
      <c r="P9" s="83" t="s">
        <v>321</v>
      </c>
    </row>
    <row r="10" spans="1:16" s="12" customFormat="1" ht="51.6" customHeight="1" x14ac:dyDescent="0.3">
      <c r="A10" s="13"/>
      <c r="B10" s="1" t="s">
        <v>191</v>
      </c>
      <c r="C10" s="10" t="s">
        <v>173</v>
      </c>
      <c r="D10" s="43" t="s">
        <v>190</v>
      </c>
      <c r="E10" s="9">
        <v>46253</v>
      </c>
      <c r="F10" s="57" t="s">
        <v>311</v>
      </c>
      <c r="G10" s="9" t="s">
        <v>312</v>
      </c>
      <c r="H10" s="55"/>
      <c r="I10" s="57" t="s">
        <v>333</v>
      </c>
      <c r="J10" s="55">
        <v>46278</v>
      </c>
      <c r="K10" s="6" t="s">
        <v>334</v>
      </c>
      <c r="L10" s="9">
        <v>46278</v>
      </c>
      <c r="M10" s="15" t="s">
        <v>9</v>
      </c>
      <c r="N10" s="40"/>
      <c r="O10" s="78"/>
      <c r="P10" s="83"/>
    </row>
    <row r="11" spans="1:16" s="12" customFormat="1" ht="69" customHeight="1" x14ac:dyDescent="0.3">
      <c r="A11" s="13"/>
      <c r="B11" s="1" t="s">
        <v>187</v>
      </c>
      <c r="C11" s="10" t="s">
        <v>186</v>
      </c>
      <c r="D11" s="43" t="s">
        <v>188</v>
      </c>
      <c r="E11" s="9">
        <v>46258</v>
      </c>
      <c r="F11" s="57" t="s">
        <v>264</v>
      </c>
      <c r="G11" s="9">
        <v>46258</v>
      </c>
      <c r="H11" s="55"/>
      <c r="I11" s="57" t="s">
        <v>330</v>
      </c>
      <c r="J11" s="55" t="s">
        <v>331</v>
      </c>
      <c r="K11" s="6" t="s">
        <v>332</v>
      </c>
      <c r="L11" s="9">
        <v>46278</v>
      </c>
      <c r="M11" s="15" t="s">
        <v>9</v>
      </c>
      <c r="N11" s="40"/>
      <c r="O11" s="78"/>
      <c r="P11" s="83"/>
    </row>
    <row r="12" spans="1:16" s="12" customFormat="1" ht="51.6" customHeight="1" x14ac:dyDescent="0.3">
      <c r="A12" s="13"/>
      <c r="B12" s="1" t="s">
        <v>205</v>
      </c>
      <c r="C12" s="10" t="s">
        <v>203</v>
      </c>
      <c r="D12" s="43" t="s">
        <v>204</v>
      </c>
      <c r="E12" s="9">
        <v>46260</v>
      </c>
      <c r="F12" s="57" t="s">
        <v>230</v>
      </c>
      <c r="G12" s="9">
        <v>46265</v>
      </c>
      <c r="H12" s="55"/>
      <c r="I12" s="57" t="s">
        <v>416</v>
      </c>
      <c r="J12" s="55">
        <v>46290</v>
      </c>
      <c r="K12" s="6" t="s">
        <v>415</v>
      </c>
      <c r="L12" s="9">
        <v>46291</v>
      </c>
      <c r="M12" s="15" t="s">
        <v>9</v>
      </c>
      <c r="N12" s="40"/>
      <c r="P12" s="83" t="s">
        <v>322</v>
      </c>
    </row>
    <row r="13" spans="1:16" s="12" customFormat="1" ht="51.6" customHeight="1" x14ac:dyDescent="0.3">
      <c r="A13" s="13"/>
      <c r="B13" s="28" t="s">
        <v>299</v>
      </c>
      <c r="C13" s="10" t="s">
        <v>300</v>
      </c>
      <c r="D13" s="43" t="s">
        <v>301</v>
      </c>
      <c r="E13" s="9">
        <v>46272</v>
      </c>
      <c r="F13" s="57" t="s">
        <v>299</v>
      </c>
      <c r="G13" s="9">
        <v>46273</v>
      </c>
      <c r="H13" s="55"/>
      <c r="I13" s="57" t="s">
        <v>352</v>
      </c>
      <c r="J13" s="9">
        <v>46279</v>
      </c>
      <c r="K13" s="6" t="s">
        <v>351</v>
      </c>
      <c r="L13" s="9">
        <v>46279</v>
      </c>
      <c r="M13" s="15" t="s">
        <v>9</v>
      </c>
      <c r="N13" s="17"/>
      <c r="P13" s="83" t="s">
        <v>323</v>
      </c>
    </row>
    <row r="14" spans="1:16" s="12" customFormat="1" ht="51.6" customHeight="1" x14ac:dyDescent="0.3">
      <c r="A14" s="13"/>
      <c r="B14" s="28" t="s">
        <v>307</v>
      </c>
      <c r="C14" s="10" t="s">
        <v>308</v>
      </c>
      <c r="D14" s="43" t="s">
        <v>309</v>
      </c>
      <c r="E14" s="9">
        <v>46274</v>
      </c>
      <c r="F14" s="57" t="s">
        <v>310</v>
      </c>
      <c r="G14" s="9">
        <v>46274</v>
      </c>
      <c r="H14" s="55"/>
      <c r="I14" s="57"/>
      <c r="J14" s="55"/>
      <c r="K14" s="6"/>
      <c r="L14" s="9"/>
      <c r="M14" s="47" t="s">
        <v>10</v>
      </c>
      <c r="N14" s="17"/>
      <c r="P14" s="83" t="s">
        <v>323</v>
      </c>
    </row>
    <row r="15" spans="1:16" s="12" customFormat="1" ht="51.6" customHeight="1" x14ac:dyDescent="0.3">
      <c r="A15" s="13"/>
      <c r="B15" s="28" t="s">
        <v>315</v>
      </c>
      <c r="C15" s="10" t="s">
        <v>314</v>
      </c>
      <c r="D15" s="79" t="s">
        <v>313</v>
      </c>
      <c r="E15" s="9">
        <v>46275</v>
      </c>
      <c r="F15" s="57" t="s">
        <v>316</v>
      </c>
      <c r="G15" s="9">
        <v>46277</v>
      </c>
      <c r="H15" s="55" t="s">
        <v>458</v>
      </c>
      <c r="I15" s="57" t="s">
        <v>496</v>
      </c>
      <c r="J15" s="55">
        <v>46279</v>
      </c>
      <c r="K15" s="6" t="s">
        <v>497</v>
      </c>
      <c r="L15" s="9">
        <v>46293</v>
      </c>
      <c r="M15" s="15" t="s">
        <v>9</v>
      </c>
      <c r="N15" s="17"/>
      <c r="P15" s="83"/>
    </row>
    <row r="16" spans="1:16" s="12" customFormat="1" ht="51.6" customHeight="1" x14ac:dyDescent="0.3">
      <c r="A16" s="13"/>
      <c r="B16" s="1" t="s">
        <v>318</v>
      </c>
      <c r="C16" s="10" t="s">
        <v>317</v>
      </c>
      <c r="D16" s="43" t="s">
        <v>319</v>
      </c>
      <c r="E16" s="9">
        <v>46275</v>
      </c>
      <c r="F16" s="57" t="s">
        <v>320</v>
      </c>
      <c r="G16" s="9">
        <v>46277</v>
      </c>
      <c r="H16" s="55"/>
      <c r="I16" s="57" t="s">
        <v>361</v>
      </c>
      <c r="J16" s="9">
        <v>46279</v>
      </c>
      <c r="K16" s="6" t="s">
        <v>362</v>
      </c>
      <c r="L16" s="9">
        <v>46280</v>
      </c>
      <c r="M16" s="15" t="s">
        <v>9</v>
      </c>
      <c r="N16" s="17"/>
      <c r="P16" s="83"/>
    </row>
    <row r="17" spans="1:16" s="12" customFormat="1" ht="51.6" customHeight="1" x14ac:dyDescent="0.3">
      <c r="A17" s="13"/>
      <c r="B17" s="28" t="s">
        <v>328</v>
      </c>
      <c r="C17" s="10" t="s">
        <v>326</v>
      </c>
      <c r="D17" s="43" t="s">
        <v>329</v>
      </c>
      <c r="E17" s="9">
        <v>46278</v>
      </c>
      <c r="F17" s="57" t="s">
        <v>327</v>
      </c>
      <c r="G17" s="9">
        <v>46278</v>
      </c>
      <c r="H17" s="55"/>
      <c r="I17" s="57" t="s">
        <v>359</v>
      </c>
      <c r="J17" s="9">
        <v>46279</v>
      </c>
      <c r="K17" s="6" t="s">
        <v>360</v>
      </c>
      <c r="L17" s="9">
        <v>46280</v>
      </c>
      <c r="M17" s="15" t="s">
        <v>9</v>
      </c>
      <c r="N17" s="17"/>
      <c r="P17" s="83"/>
    </row>
    <row r="18" spans="1:16" s="12" customFormat="1" ht="51.6" customHeight="1" x14ac:dyDescent="0.3">
      <c r="A18" s="13"/>
      <c r="B18" s="28" t="s">
        <v>369</v>
      </c>
      <c r="C18" s="10" t="s">
        <v>368</v>
      </c>
      <c r="D18" s="43" t="s">
        <v>367</v>
      </c>
      <c r="E18" s="9">
        <v>46281</v>
      </c>
      <c r="F18" s="57" t="s">
        <v>385</v>
      </c>
      <c r="G18" s="9">
        <v>46281</v>
      </c>
      <c r="H18" s="55"/>
      <c r="I18" s="57" t="s">
        <v>385</v>
      </c>
      <c r="J18" s="55">
        <v>46283</v>
      </c>
      <c r="K18" s="6" t="s">
        <v>384</v>
      </c>
      <c r="L18" s="9">
        <v>46284</v>
      </c>
      <c r="M18" s="15" t="s">
        <v>9</v>
      </c>
      <c r="N18" s="17"/>
      <c r="P18" s="81"/>
    </row>
    <row r="19" spans="1:16" s="12" customFormat="1" ht="51.6" customHeight="1" x14ac:dyDescent="0.3">
      <c r="A19" s="13"/>
      <c r="B19" s="28" t="s">
        <v>419</v>
      </c>
      <c r="C19" s="10" t="s">
        <v>417</v>
      </c>
      <c r="D19" s="43" t="s">
        <v>319</v>
      </c>
      <c r="E19" s="9">
        <v>46292</v>
      </c>
      <c r="F19" s="57" t="s">
        <v>420</v>
      </c>
      <c r="G19" s="9">
        <v>46292</v>
      </c>
      <c r="H19" s="55"/>
      <c r="I19" s="57" t="s">
        <v>444</v>
      </c>
      <c r="J19" s="9">
        <v>46293</v>
      </c>
      <c r="K19" s="6" t="s">
        <v>445</v>
      </c>
      <c r="L19" s="9">
        <v>46293</v>
      </c>
      <c r="M19" s="15" t="s">
        <v>9</v>
      </c>
      <c r="N19" s="17"/>
      <c r="P19" s="81"/>
    </row>
    <row r="20" spans="1:16" s="12" customFormat="1" ht="51.6" customHeight="1" x14ac:dyDescent="0.3">
      <c r="A20" s="13"/>
      <c r="B20" s="28" t="s">
        <v>421</v>
      </c>
      <c r="C20" s="10" t="s">
        <v>418</v>
      </c>
      <c r="D20" s="43" t="s">
        <v>313</v>
      </c>
      <c r="E20" s="9">
        <v>46292</v>
      </c>
      <c r="F20" s="57" t="s">
        <v>422</v>
      </c>
      <c r="G20" s="9">
        <v>46292</v>
      </c>
      <c r="H20" s="55"/>
      <c r="I20" s="57" t="s">
        <v>443</v>
      </c>
      <c r="J20" s="9">
        <v>46293</v>
      </c>
      <c r="K20" s="6" t="s">
        <v>442</v>
      </c>
      <c r="L20" s="9">
        <v>46293</v>
      </c>
      <c r="M20" s="15" t="s">
        <v>9</v>
      </c>
      <c r="N20" s="17"/>
      <c r="P20" s="81"/>
    </row>
    <row r="21" spans="1:16" s="12" customFormat="1" ht="51.6" customHeight="1" x14ac:dyDescent="0.3">
      <c r="A21" s="13"/>
      <c r="B21" s="28" t="s">
        <v>424</v>
      </c>
      <c r="C21" s="10" t="s">
        <v>423</v>
      </c>
      <c r="D21" s="43" t="s">
        <v>329</v>
      </c>
      <c r="E21" s="9">
        <v>46292</v>
      </c>
      <c r="F21" s="57" t="s">
        <v>425</v>
      </c>
      <c r="G21" s="9">
        <v>46292</v>
      </c>
      <c r="H21" s="55"/>
      <c r="I21" s="57" t="s">
        <v>441</v>
      </c>
      <c r="J21" s="55">
        <v>46293</v>
      </c>
      <c r="K21" s="6" t="s">
        <v>440</v>
      </c>
      <c r="L21" s="9">
        <v>46293</v>
      </c>
      <c r="M21" s="15" t="s">
        <v>9</v>
      </c>
      <c r="N21" s="17"/>
      <c r="P21" s="81"/>
    </row>
    <row r="22" spans="1:16" s="12" customFormat="1" ht="51.6" customHeight="1" x14ac:dyDescent="0.3">
      <c r="A22" s="13"/>
      <c r="B22" s="28" t="s">
        <v>435</v>
      </c>
      <c r="C22" s="10" t="s">
        <v>433</v>
      </c>
      <c r="D22" s="43" t="s">
        <v>434</v>
      </c>
      <c r="E22" s="9">
        <v>46293</v>
      </c>
      <c r="F22" s="57" t="s">
        <v>465</v>
      </c>
      <c r="G22" s="9">
        <v>46296</v>
      </c>
      <c r="H22" s="55" t="s">
        <v>463</v>
      </c>
      <c r="I22" s="57" t="s">
        <v>479</v>
      </c>
      <c r="J22" s="55">
        <v>46302</v>
      </c>
      <c r="K22" s="6" t="s">
        <v>480</v>
      </c>
      <c r="L22" s="9">
        <v>46304</v>
      </c>
      <c r="M22" s="15" t="s">
        <v>9</v>
      </c>
      <c r="N22" s="17"/>
      <c r="P22" s="81"/>
    </row>
    <row r="23" spans="1:16" s="12" customFormat="1" ht="51.6" customHeight="1" x14ac:dyDescent="0.3">
      <c r="A23" s="13"/>
      <c r="B23" s="28" t="s">
        <v>490</v>
      </c>
      <c r="C23" s="10" t="s">
        <v>484</v>
      </c>
      <c r="D23" s="43" t="s">
        <v>489</v>
      </c>
      <c r="E23" s="9">
        <v>46296</v>
      </c>
      <c r="F23" s="57" t="s">
        <v>488</v>
      </c>
      <c r="G23" s="55">
        <v>46306</v>
      </c>
      <c r="H23" s="32" t="s">
        <v>486</v>
      </c>
      <c r="I23" s="57"/>
      <c r="J23" s="55"/>
      <c r="K23" s="6"/>
      <c r="L23" s="9"/>
      <c r="M23" s="47" t="s">
        <v>10</v>
      </c>
      <c r="N23" s="17"/>
      <c r="P23" s="81"/>
    </row>
    <row r="24" spans="1:16" s="12" customFormat="1" ht="51.6" customHeight="1" x14ac:dyDescent="0.3">
      <c r="A24" s="13"/>
      <c r="B24" s="28" t="s">
        <v>510</v>
      </c>
      <c r="C24" s="10" t="s">
        <v>485</v>
      </c>
      <c r="D24" s="43" t="s">
        <v>511</v>
      </c>
      <c r="E24" s="9">
        <v>46296</v>
      </c>
      <c r="F24" s="57" t="s">
        <v>502</v>
      </c>
      <c r="G24" s="55">
        <v>46306</v>
      </c>
      <c r="H24" s="32" t="s">
        <v>486</v>
      </c>
      <c r="I24" s="57"/>
      <c r="J24" s="55"/>
      <c r="K24" s="6"/>
      <c r="L24" s="9"/>
      <c r="M24" s="47" t="s">
        <v>10</v>
      </c>
      <c r="N24" s="17"/>
      <c r="P24" s="81"/>
    </row>
    <row r="25" spans="1:16" s="12" customFormat="1" ht="51.6" customHeight="1" x14ac:dyDescent="0.3">
      <c r="A25" s="13"/>
      <c r="B25" s="28"/>
      <c r="C25" s="10"/>
      <c r="D25" s="1"/>
      <c r="E25" s="9"/>
      <c r="F25" s="57"/>
      <c r="G25" s="55"/>
      <c r="H25" s="32"/>
      <c r="I25" s="57"/>
      <c r="J25" s="55"/>
      <c r="K25" s="6"/>
      <c r="L25" s="9"/>
      <c r="M25" s="47"/>
      <c r="N25" s="17"/>
      <c r="P25" s="81"/>
    </row>
    <row r="26" spans="1:16" s="12" customFormat="1" ht="51.6" customHeight="1" x14ac:dyDescent="0.3">
      <c r="A26" s="13"/>
      <c r="B26" s="28"/>
      <c r="C26" s="1"/>
      <c r="D26" s="1"/>
      <c r="E26" s="9"/>
      <c r="F26" s="57"/>
      <c r="G26" s="55"/>
      <c r="H26" s="32"/>
      <c r="I26" s="57"/>
      <c r="J26" s="55"/>
      <c r="K26" s="6"/>
      <c r="L26" s="9"/>
      <c r="M26" s="16"/>
      <c r="N26" s="17"/>
      <c r="P26" s="81"/>
    </row>
    <row r="27" spans="1:16" s="12" customFormat="1" ht="51.6" customHeight="1" x14ac:dyDescent="0.3">
      <c r="A27" s="13"/>
      <c r="B27" s="28"/>
      <c r="C27" s="1"/>
      <c r="D27" s="1"/>
      <c r="E27" s="9"/>
      <c r="F27" s="57"/>
      <c r="G27" s="55"/>
      <c r="H27" s="32"/>
      <c r="I27" s="57"/>
      <c r="J27" s="55"/>
      <c r="K27" s="6"/>
      <c r="L27" s="9"/>
      <c r="M27" s="16"/>
      <c r="N27" s="17"/>
      <c r="P27" s="81"/>
    </row>
    <row r="28" spans="1:16" s="12" customFormat="1" ht="51.6" customHeight="1" x14ac:dyDescent="0.3">
      <c r="A28" s="13"/>
      <c r="B28" s="28"/>
      <c r="C28" s="1"/>
      <c r="D28" s="1"/>
      <c r="E28" s="9"/>
      <c r="F28" s="32"/>
      <c r="G28" s="32"/>
      <c r="H28" s="32"/>
      <c r="I28" s="32"/>
      <c r="J28" s="32"/>
      <c r="K28" s="6"/>
      <c r="L28" s="9"/>
      <c r="M28" s="16"/>
      <c r="N28" s="17"/>
      <c r="P28" s="81"/>
    </row>
    <row r="29" spans="1:16" s="12" customFormat="1" ht="51.6" customHeight="1" x14ac:dyDescent="0.3">
      <c r="A29" s="13"/>
      <c r="B29" s="28"/>
      <c r="C29" s="1"/>
      <c r="D29" s="1"/>
      <c r="E29" s="9"/>
      <c r="F29" s="32"/>
      <c r="G29" s="32"/>
      <c r="H29" s="32"/>
      <c r="I29" s="32"/>
      <c r="J29" s="32"/>
      <c r="K29" s="6"/>
      <c r="L29" s="9"/>
      <c r="M29" s="16"/>
      <c r="N29" s="17"/>
      <c r="P29" s="81"/>
    </row>
    <row r="30" spans="1:16" s="12" customFormat="1" ht="51.6" customHeight="1" x14ac:dyDescent="0.3">
      <c r="A30" s="13"/>
      <c r="B30" s="28"/>
      <c r="C30" s="1"/>
      <c r="D30" s="1"/>
      <c r="E30" s="9"/>
      <c r="F30" s="32"/>
      <c r="G30" s="32"/>
      <c r="H30" s="32"/>
      <c r="I30" s="32"/>
      <c r="J30" s="32"/>
      <c r="K30" s="6"/>
      <c r="L30" s="9"/>
      <c r="M30" s="16"/>
      <c r="N30" s="17"/>
      <c r="P30" s="81"/>
    </row>
    <row r="31" spans="1:16" s="12" customFormat="1" ht="51.6" customHeight="1" x14ac:dyDescent="0.3">
      <c r="A31" s="13"/>
      <c r="B31" s="28"/>
      <c r="C31" s="1"/>
      <c r="D31" s="1"/>
      <c r="E31" s="9"/>
      <c r="F31" s="32"/>
      <c r="G31" s="32"/>
      <c r="H31" s="32"/>
      <c r="I31" s="32"/>
      <c r="J31" s="32"/>
      <c r="K31" s="6"/>
      <c r="L31" s="9"/>
      <c r="M31" s="16"/>
      <c r="N31" s="17"/>
      <c r="P31" s="81"/>
    </row>
    <row r="32" spans="1:16" s="12" customFormat="1" ht="51.6" customHeight="1" x14ac:dyDescent="0.3">
      <c r="A32" s="13"/>
      <c r="B32" s="28"/>
      <c r="C32" s="1"/>
      <c r="D32" s="1"/>
      <c r="E32" s="9"/>
      <c r="F32" s="32"/>
      <c r="G32" s="32"/>
      <c r="H32" s="32"/>
      <c r="I32" s="32"/>
      <c r="J32" s="32"/>
      <c r="K32" s="6"/>
      <c r="L32" s="9"/>
      <c r="M32" s="16"/>
      <c r="N32" s="17"/>
      <c r="P32" s="81"/>
    </row>
    <row r="33" spans="1:16" s="12" customFormat="1" ht="51.6" customHeight="1" x14ac:dyDescent="0.3">
      <c r="A33" s="13"/>
      <c r="B33" s="28"/>
      <c r="C33" s="1"/>
      <c r="D33" s="1"/>
      <c r="E33" s="9"/>
      <c r="F33" s="32"/>
      <c r="G33" s="32"/>
      <c r="H33" s="32"/>
      <c r="I33" s="32"/>
      <c r="J33" s="32"/>
      <c r="K33" s="6"/>
      <c r="L33" s="9"/>
      <c r="M33" s="16"/>
      <c r="N33" s="17"/>
      <c r="P33" s="81"/>
    </row>
    <row r="34" spans="1:16" s="12" customFormat="1" ht="51.6" customHeight="1" x14ac:dyDescent="0.3">
      <c r="A34" s="13"/>
      <c r="B34" s="28"/>
      <c r="C34" s="1"/>
      <c r="D34" s="1"/>
      <c r="E34" s="9"/>
      <c r="F34" s="32"/>
      <c r="G34" s="32"/>
      <c r="H34" s="32"/>
      <c r="I34" s="32"/>
      <c r="J34" s="32"/>
      <c r="K34" s="6"/>
      <c r="L34" s="9"/>
      <c r="M34" s="16"/>
      <c r="N34" s="17"/>
      <c r="P34" s="81"/>
    </row>
    <row r="35" spans="1:16" s="12" customFormat="1" ht="51.6" customHeight="1" x14ac:dyDescent="0.3">
      <c r="A35" s="13"/>
      <c r="B35" s="28"/>
      <c r="C35" s="1"/>
      <c r="D35" s="1"/>
      <c r="E35" s="9"/>
      <c r="F35" s="32"/>
      <c r="G35" s="32"/>
      <c r="H35" s="32"/>
      <c r="I35" s="32"/>
      <c r="J35" s="32"/>
      <c r="K35" s="6"/>
      <c r="L35" s="9"/>
      <c r="M35" s="16"/>
      <c r="N35" s="17"/>
      <c r="P35" s="81"/>
    </row>
    <row r="36" spans="1:16" s="12" customFormat="1" ht="51.6" customHeight="1" x14ac:dyDescent="0.3">
      <c r="A36" s="13"/>
      <c r="B36" s="28"/>
      <c r="C36" s="1"/>
      <c r="D36" s="1"/>
      <c r="E36" s="9"/>
      <c r="F36" s="32"/>
      <c r="G36" s="32"/>
      <c r="H36" s="32"/>
      <c r="I36" s="32"/>
      <c r="J36" s="32"/>
      <c r="K36" s="6"/>
      <c r="L36" s="9"/>
      <c r="M36" s="16"/>
      <c r="N36" s="17"/>
      <c r="P36" s="81"/>
    </row>
  </sheetData>
  <autoFilter ref="A4:M16" xr:uid="{00000000-0001-0000-0000-000000000000}"/>
  <mergeCells count="5">
    <mergeCell ref="A1:L2"/>
    <mergeCell ref="C3:E3"/>
    <mergeCell ref="I3:J3"/>
    <mergeCell ref="K3:L3"/>
    <mergeCell ref="F3:H3"/>
  </mergeCells>
  <phoneticPr fontId="6" type="noConversion"/>
  <conditionalFormatting sqref="M1:M36">
    <cfRule type="containsText" dxfId="7" priority="1" operator="containsText" text="Response ">
      <formula>NOT(ISERROR(SEARCH("Response ",M1)))</formula>
    </cfRule>
    <cfRule type="containsText" dxfId="6" priority="2" operator="containsText" text="open">
      <formula>NOT(ISERROR(SEARCH("open",M1)))</formula>
    </cfRule>
  </conditionalFormatting>
  <pageMargins left="0.7" right="0.7" top="0.75" bottom="0.75" header="0.3" footer="0.3"/>
  <pageSetup paperSize="9" scale="2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7C30-BA74-4019-81BB-BC58C0EA4979}">
  <sheetPr>
    <pageSetUpPr fitToPage="1"/>
  </sheetPr>
  <dimension ref="A1:P38"/>
  <sheetViews>
    <sheetView view="pageBreakPreview" topLeftCell="B1" zoomScale="70" zoomScaleNormal="100" zoomScaleSheetLayoutView="70" workbookViewId="0">
      <pane ySplit="4" topLeftCell="A15" activePane="bottomLeft" state="frozen"/>
      <selection pane="bottomLeft" activeCell="B26" sqref="B26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50.6640625" style="2" bestFit="1" customWidth="1"/>
    <col min="4" max="4" width="11.6640625" style="2" bestFit="1" customWidth="1"/>
    <col min="5" max="5" width="54.109375" style="2" customWidth="1"/>
    <col min="6" max="6" width="17.77734375" style="2" customWidth="1"/>
    <col min="7" max="7" width="20.21875" style="2" customWidth="1"/>
    <col min="8" max="8" width="17.77734375" style="2" customWidth="1"/>
    <col min="9" max="9" width="19.5546875" style="2" customWidth="1"/>
    <col min="10" max="10" width="17.77734375" style="2" customWidth="1"/>
    <col min="11" max="11" width="22.109375" style="2" customWidth="1"/>
    <col min="12" max="12" width="17.77734375" style="2" customWidth="1"/>
    <col min="13" max="13" width="17.5546875" style="2" customWidth="1"/>
    <col min="14" max="14" width="27" style="27" customWidth="1"/>
    <col min="15" max="15" width="21.5546875" customWidth="1"/>
    <col min="16" max="16" width="23.33203125" customWidth="1"/>
  </cols>
  <sheetData>
    <row r="1" spans="1:16" ht="37.200000000000003" customHeight="1" x14ac:dyDescent="0.3">
      <c r="A1" s="95" t="s">
        <v>19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14" t="s">
        <v>11</v>
      </c>
      <c r="N1" s="3">
        <f>COUNTA(M$5:M$1048576)</f>
        <v>22</v>
      </c>
    </row>
    <row r="2" spans="1:16" ht="37.200000000000003" customHeight="1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15" t="s">
        <v>9</v>
      </c>
      <c r="N2" s="17">
        <f>COUNTIF(M$5:M$1048576,"Response ")</f>
        <v>17</v>
      </c>
    </row>
    <row r="3" spans="1:16" ht="40.799999999999997" customHeight="1" x14ac:dyDescent="0.3">
      <c r="A3" s="41" t="s">
        <v>13</v>
      </c>
      <c r="B3" s="41"/>
      <c r="C3" s="97"/>
      <c r="D3" s="97"/>
      <c r="E3" s="97"/>
      <c r="F3" s="97"/>
      <c r="G3" s="109" t="s">
        <v>21</v>
      </c>
      <c r="H3" s="113"/>
      <c r="I3" s="109" t="s">
        <v>22</v>
      </c>
      <c r="J3" s="110"/>
      <c r="K3" s="111" t="s">
        <v>14</v>
      </c>
      <c r="L3" s="112"/>
      <c r="M3" s="15" t="s">
        <v>10</v>
      </c>
      <c r="N3" s="17">
        <f>COUNTIF(M$5:M$1048576,"OPEN")</f>
        <v>4</v>
      </c>
    </row>
    <row r="4" spans="1:16" ht="18" x14ac:dyDescent="0.3">
      <c r="A4" s="18" t="s">
        <v>0</v>
      </c>
      <c r="B4" s="18" t="s">
        <v>0</v>
      </c>
      <c r="C4" s="19" t="s">
        <v>6</v>
      </c>
      <c r="D4" s="19" t="s">
        <v>116</v>
      </c>
      <c r="E4" s="19" t="s">
        <v>1</v>
      </c>
      <c r="F4" s="35" t="s">
        <v>2</v>
      </c>
      <c r="G4" s="35" t="s">
        <v>0</v>
      </c>
      <c r="H4" s="21" t="s">
        <v>2</v>
      </c>
      <c r="I4" s="20" t="s">
        <v>0</v>
      </c>
      <c r="J4" s="52" t="s">
        <v>2</v>
      </c>
      <c r="K4" s="20" t="s">
        <v>0</v>
      </c>
      <c r="L4" s="52" t="s">
        <v>2</v>
      </c>
      <c r="M4" s="22"/>
      <c r="N4" s="23"/>
    </row>
    <row r="5" spans="1:16" s="12" customFormat="1" ht="55.8" customHeight="1" x14ac:dyDescent="0.3">
      <c r="A5" s="11" t="s">
        <v>5</v>
      </c>
      <c r="B5" s="29" t="s">
        <v>146</v>
      </c>
      <c r="C5" s="63" t="s">
        <v>143</v>
      </c>
      <c r="D5" s="10">
        <v>0</v>
      </c>
      <c r="E5" s="30" t="s">
        <v>144</v>
      </c>
      <c r="F5" s="56">
        <v>46247</v>
      </c>
      <c r="G5" s="53" t="s">
        <v>145</v>
      </c>
      <c r="H5" s="54">
        <v>46250</v>
      </c>
      <c r="I5" s="53" t="s">
        <v>180</v>
      </c>
      <c r="J5" s="54">
        <v>46254</v>
      </c>
      <c r="K5" s="53" t="s">
        <v>181</v>
      </c>
      <c r="L5" s="54">
        <v>46258</v>
      </c>
      <c r="M5" s="15" t="s">
        <v>9</v>
      </c>
      <c r="N5" s="17"/>
      <c r="O5" s="31"/>
      <c r="P5" s="31"/>
    </row>
    <row r="6" spans="1:16" s="12" customFormat="1" ht="61.2" customHeight="1" x14ac:dyDescent="0.3">
      <c r="A6" s="13" t="s">
        <v>4</v>
      </c>
      <c r="B6" s="29" t="s">
        <v>140</v>
      </c>
      <c r="C6" s="63" t="s">
        <v>139</v>
      </c>
      <c r="D6" s="10">
        <v>0</v>
      </c>
      <c r="E6" s="30" t="s">
        <v>141</v>
      </c>
      <c r="F6" s="56">
        <v>46247</v>
      </c>
      <c r="G6" s="53" t="s">
        <v>142</v>
      </c>
      <c r="H6" s="61">
        <v>46250</v>
      </c>
      <c r="I6" s="57" t="s">
        <v>233</v>
      </c>
      <c r="J6" s="55">
        <v>46265</v>
      </c>
      <c r="K6" s="53" t="s">
        <v>234</v>
      </c>
      <c r="L6" s="55">
        <v>46265</v>
      </c>
      <c r="M6" s="15" t="s">
        <v>9</v>
      </c>
      <c r="N6" s="17"/>
    </row>
    <row r="7" spans="1:16" s="12" customFormat="1" ht="55.8" customHeight="1" x14ac:dyDescent="0.3">
      <c r="A7" s="13" t="s">
        <v>3</v>
      </c>
      <c r="B7" s="29" t="s">
        <v>148</v>
      </c>
      <c r="C7" s="63" t="s">
        <v>147</v>
      </c>
      <c r="D7" s="10">
        <v>0</v>
      </c>
      <c r="E7" s="30" t="s">
        <v>149</v>
      </c>
      <c r="F7" s="56">
        <v>46247</v>
      </c>
      <c r="G7" s="53" t="s">
        <v>150</v>
      </c>
      <c r="H7" s="61">
        <v>46250</v>
      </c>
      <c r="I7" s="57" t="s">
        <v>183</v>
      </c>
      <c r="J7" s="55">
        <v>46255</v>
      </c>
      <c r="K7" s="6" t="s">
        <v>182</v>
      </c>
      <c r="L7" s="55">
        <v>46258</v>
      </c>
      <c r="M7" s="15" t="s">
        <v>9</v>
      </c>
      <c r="N7" s="17"/>
    </row>
    <row r="8" spans="1:16" s="12" customFormat="1" ht="48.6" customHeight="1" x14ac:dyDescent="0.3">
      <c r="A8" s="13"/>
      <c r="B8" s="29" t="s">
        <v>158</v>
      </c>
      <c r="C8" s="63" t="s">
        <v>156</v>
      </c>
      <c r="D8" s="10">
        <v>0</v>
      </c>
      <c r="E8" s="30" t="s">
        <v>157</v>
      </c>
      <c r="F8" s="56">
        <v>46247</v>
      </c>
      <c r="G8" s="57" t="s">
        <v>155</v>
      </c>
      <c r="H8" s="55">
        <v>46252</v>
      </c>
      <c r="I8" s="57" t="s">
        <v>232</v>
      </c>
      <c r="J8" s="55">
        <v>46265</v>
      </c>
      <c r="K8" s="6" t="s">
        <v>232</v>
      </c>
      <c r="L8" s="55">
        <v>46265</v>
      </c>
      <c r="M8" s="15" t="s">
        <v>9</v>
      </c>
      <c r="N8" s="17"/>
    </row>
    <row r="9" spans="1:16" s="12" customFormat="1" ht="48.6" customHeight="1" x14ac:dyDescent="0.3">
      <c r="A9" s="13"/>
      <c r="B9" s="29" t="s">
        <v>468</v>
      </c>
      <c r="C9" s="63" t="s">
        <v>156</v>
      </c>
      <c r="D9" s="10">
        <v>1</v>
      </c>
      <c r="E9" s="30" t="s">
        <v>157</v>
      </c>
      <c r="F9" s="56">
        <v>46299</v>
      </c>
      <c r="G9" s="57" t="s">
        <v>469</v>
      </c>
      <c r="H9" s="91">
        <v>46300</v>
      </c>
      <c r="I9" s="57"/>
      <c r="J9" s="55"/>
      <c r="K9" s="6"/>
      <c r="L9" s="55"/>
      <c r="M9" s="15" t="s">
        <v>10</v>
      </c>
      <c r="N9" s="92"/>
    </row>
    <row r="10" spans="1:16" s="12" customFormat="1" ht="48" customHeight="1" x14ac:dyDescent="0.3">
      <c r="A10" s="13"/>
      <c r="B10" s="1" t="s">
        <v>214</v>
      </c>
      <c r="C10" s="63" t="s">
        <v>210</v>
      </c>
      <c r="D10" s="10">
        <v>0</v>
      </c>
      <c r="E10" s="30" t="s">
        <v>213</v>
      </c>
      <c r="F10" s="56">
        <v>46264</v>
      </c>
      <c r="G10" s="57" t="s">
        <v>235</v>
      </c>
      <c r="H10" s="61">
        <v>46265</v>
      </c>
      <c r="I10" s="57" t="s">
        <v>355</v>
      </c>
      <c r="J10" s="55">
        <v>46279</v>
      </c>
      <c r="K10" s="6" t="s">
        <v>356</v>
      </c>
      <c r="L10" s="55">
        <v>46280</v>
      </c>
      <c r="M10" s="15" t="s">
        <v>9</v>
      </c>
      <c r="N10" s="40"/>
      <c r="O10" s="84" t="s">
        <v>322</v>
      </c>
    </row>
    <row r="11" spans="1:16" s="12" customFormat="1" ht="51.6" customHeight="1" x14ac:dyDescent="0.3">
      <c r="A11" s="13"/>
      <c r="B11" s="1" t="s">
        <v>215</v>
      </c>
      <c r="C11" s="63" t="s">
        <v>211</v>
      </c>
      <c r="D11" s="10">
        <v>0</v>
      </c>
      <c r="E11" s="30" t="s">
        <v>216</v>
      </c>
      <c r="F11" s="56">
        <v>46264</v>
      </c>
      <c r="G11" s="57" t="s">
        <v>236</v>
      </c>
      <c r="H11" s="61">
        <v>46265</v>
      </c>
      <c r="I11" s="57" t="s">
        <v>387</v>
      </c>
      <c r="J11" s="55">
        <v>46283</v>
      </c>
      <c r="K11" s="6" t="s">
        <v>386</v>
      </c>
      <c r="L11" s="55">
        <v>46284</v>
      </c>
      <c r="M11" s="15" t="s">
        <v>9</v>
      </c>
      <c r="N11" s="48"/>
      <c r="O11" s="84" t="s">
        <v>324</v>
      </c>
    </row>
    <row r="12" spans="1:16" s="12" customFormat="1" ht="51.6" customHeight="1" x14ac:dyDescent="0.3">
      <c r="A12" s="13"/>
      <c r="B12" s="1" t="s">
        <v>218</v>
      </c>
      <c r="C12" s="63" t="s">
        <v>212</v>
      </c>
      <c r="D12" s="10">
        <v>0</v>
      </c>
      <c r="E12" s="30" t="s">
        <v>217</v>
      </c>
      <c r="F12" s="56">
        <v>46264</v>
      </c>
      <c r="G12" s="57" t="s">
        <v>237</v>
      </c>
      <c r="H12" s="61">
        <v>46265</v>
      </c>
      <c r="I12" s="57" t="s">
        <v>414</v>
      </c>
      <c r="J12" s="55">
        <v>46290</v>
      </c>
      <c r="K12" s="6" t="s">
        <v>413</v>
      </c>
      <c r="L12" s="55">
        <v>46291</v>
      </c>
      <c r="M12" s="15" t="s">
        <v>9</v>
      </c>
      <c r="N12" s="49"/>
    </row>
    <row r="13" spans="1:16" s="12" customFormat="1" ht="51.6" customHeight="1" x14ac:dyDescent="0.3">
      <c r="A13" s="13"/>
      <c r="B13" s="1" t="s">
        <v>223</v>
      </c>
      <c r="C13" s="63" t="s">
        <v>221</v>
      </c>
      <c r="D13" s="10">
        <v>0</v>
      </c>
      <c r="E13" s="85" t="s">
        <v>222</v>
      </c>
      <c r="F13" s="9">
        <v>46264</v>
      </c>
      <c r="G13" s="62" t="s">
        <v>224</v>
      </c>
      <c r="H13" s="55">
        <v>46265</v>
      </c>
      <c r="I13" s="57" t="s">
        <v>357</v>
      </c>
      <c r="J13" s="55">
        <v>46279</v>
      </c>
      <c r="K13" s="6" t="s">
        <v>358</v>
      </c>
      <c r="L13" s="55">
        <v>46280</v>
      </c>
      <c r="M13" s="15" t="s">
        <v>9</v>
      </c>
      <c r="N13" s="50"/>
    </row>
    <row r="14" spans="1:16" s="12" customFormat="1" ht="51.6" customHeight="1" x14ac:dyDescent="0.3">
      <c r="A14" s="13"/>
      <c r="B14" s="1" t="s">
        <v>276</v>
      </c>
      <c r="C14" s="63" t="s">
        <v>265</v>
      </c>
      <c r="D14" s="10">
        <v>0</v>
      </c>
      <c r="E14" s="30" t="s">
        <v>277</v>
      </c>
      <c r="F14" s="51">
        <v>46272</v>
      </c>
      <c r="G14" s="62" t="s">
        <v>278</v>
      </c>
      <c r="H14" s="54">
        <v>46273</v>
      </c>
      <c r="I14" s="57" t="s">
        <v>345</v>
      </c>
      <c r="J14" s="55">
        <v>46279</v>
      </c>
      <c r="K14" s="6" t="s">
        <v>346</v>
      </c>
      <c r="L14" s="55">
        <v>46279</v>
      </c>
      <c r="M14" s="15" t="s">
        <v>9</v>
      </c>
      <c r="N14" s="17"/>
    </row>
    <row r="15" spans="1:16" s="12" customFormat="1" ht="51.6" customHeight="1" x14ac:dyDescent="0.3">
      <c r="A15" s="13"/>
      <c r="B15" s="1" t="s">
        <v>268</v>
      </c>
      <c r="C15" s="63" t="s">
        <v>266</v>
      </c>
      <c r="D15" s="10">
        <v>0</v>
      </c>
      <c r="E15" s="86" t="s">
        <v>267</v>
      </c>
      <c r="F15" s="51">
        <v>46272</v>
      </c>
      <c r="G15" s="7" t="s">
        <v>269</v>
      </c>
      <c r="H15" s="54">
        <v>46273</v>
      </c>
      <c r="I15" s="57" t="s">
        <v>388</v>
      </c>
      <c r="J15" s="55">
        <v>46283</v>
      </c>
      <c r="K15" s="6" t="s">
        <v>389</v>
      </c>
      <c r="L15" s="55">
        <v>46284</v>
      </c>
      <c r="M15" s="15" t="s">
        <v>9</v>
      </c>
      <c r="N15" s="17"/>
    </row>
    <row r="16" spans="1:16" s="12" customFormat="1" ht="51.6" customHeight="1" x14ac:dyDescent="0.3">
      <c r="A16" s="13"/>
      <c r="B16" s="1" t="s">
        <v>279</v>
      </c>
      <c r="C16" s="63" t="s">
        <v>270</v>
      </c>
      <c r="D16" s="10">
        <v>0</v>
      </c>
      <c r="E16" s="86" t="s">
        <v>281</v>
      </c>
      <c r="F16" s="51">
        <v>46272</v>
      </c>
      <c r="G16" s="7" t="s">
        <v>280</v>
      </c>
      <c r="H16" s="54">
        <v>46273</v>
      </c>
      <c r="I16" s="57" t="s">
        <v>347</v>
      </c>
      <c r="J16" s="55">
        <v>46279</v>
      </c>
      <c r="K16" s="6" t="s">
        <v>348</v>
      </c>
      <c r="L16" s="55">
        <v>46279</v>
      </c>
      <c r="M16" s="15" t="s">
        <v>9</v>
      </c>
      <c r="N16" s="17"/>
    </row>
    <row r="17" spans="1:14" s="12" customFormat="1" ht="51.6" customHeight="1" x14ac:dyDescent="0.3">
      <c r="A17" s="13"/>
      <c r="B17" s="1" t="s">
        <v>302</v>
      </c>
      <c r="C17" s="63" t="s">
        <v>271</v>
      </c>
      <c r="D17" s="10">
        <v>0</v>
      </c>
      <c r="E17" s="86" t="s">
        <v>303</v>
      </c>
      <c r="F17" s="51">
        <v>46274</v>
      </c>
      <c r="G17" s="7" t="s">
        <v>304</v>
      </c>
      <c r="H17" s="54">
        <v>46274</v>
      </c>
      <c r="I17" s="57" t="s">
        <v>340</v>
      </c>
      <c r="J17" s="55">
        <v>46279</v>
      </c>
      <c r="K17" s="6" t="s">
        <v>339</v>
      </c>
      <c r="L17" s="55">
        <v>46279</v>
      </c>
      <c r="M17" s="15" t="s">
        <v>9</v>
      </c>
      <c r="N17" s="17"/>
    </row>
    <row r="18" spans="1:14" s="12" customFormat="1" ht="51.6" customHeight="1" x14ac:dyDescent="0.3">
      <c r="A18" s="13"/>
      <c r="B18" s="28" t="s">
        <v>275</v>
      </c>
      <c r="C18" s="63" t="s">
        <v>272</v>
      </c>
      <c r="D18" s="1">
        <v>0</v>
      </c>
      <c r="E18" s="85" t="s">
        <v>273</v>
      </c>
      <c r="F18" s="51">
        <v>46272</v>
      </c>
      <c r="G18" s="7" t="s">
        <v>274</v>
      </c>
      <c r="H18" s="54">
        <v>46273</v>
      </c>
      <c r="I18" s="57"/>
      <c r="J18" s="55"/>
      <c r="K18" s="6"/>
      <c r="L18" s="55"/>
      <c r="M18" s="94" t="s">
        <v>493</v>
      </c>
      <c r="N18" s="17"/>
    </row>
    <row r="19" spans="1:14" s="12" customFormat="1" ht="51.6" customHeight="1" x14ac:dyDescent="0.3">
      <c r="A19" s="13"/>
      <c r="B19" s="28" t="s">
        <v>283</v>
      </c>
      <c r="C19" s="63" t="s">
        <v>282</v>
      </c>
      <c r="D19" s="1">
        <v>0</v>
      </c>
      <c r="E19" s="85" t="s">
        <v>284</v>
      </c>
      <c r="F19" s="51">
        <v>46272</v>
      </c>
      <c r="G19" s="7" t="s">
        <v>285</v>
      </c>
      <c r="H19" s="54">
        <v>46273</v>
      </c>
      <c r="I19" s="57" t="s">
        <v>343</v>
      </c>
      <c r="J19" s="55">
        <v>46279</v>
      </c>
      <c r="K19" s="6" t="s">
        <v>344</v>
      </c>
      <c r="L19" s="55">
        <v>46279</v>
      </c>
      <c r="M19" s="15" t="s">
        <v>9</v>
      </c>
      <c r="N19" s="17"/>
    </row>
    <row r="20" spans="1:14" s="12" customFormat="1" ht="51.6" customHeight="1" x14ac:dyDescent="0.3">
      <c r="A20" s="13"/>
      <c r="B20" s="28" t="s">
        <v>305</v>
      </c>
      <c r="C20" s="63" t="s">
        <v>294</v>
      </c>
      <c r="D20" s="1">
        <v>0</v>
      </c>
      <c r="E20" s="85" t="s">
        <v>273</v>
      </c>
      <c r="F20" s="9">
        <v>46274</v>
      </c>
      <c r="G20" s="7" t="s">
        <v>306</v>
      </c>
      <c r="H20" s="54">
        <v>46274</v>
      </c>
      <c r="I20" s="57" t="s">
        <v>492</v>
      </c>
      <c r="J20" s="55">
        <v>46303</v>
      </c>
      <c r="K20" s="6" t="s">
        <v>491</v>
      </c>
      <c r="L20" s="9">
        <v>46306</v>
      </c>
      <c r="M20" s="15" t="s">
        <v>9</v>
      </c>
      <c r="N20" s="17"/>
    </row>
    <row r="21" spans="1:14" s="12" customFormat="1" ht="51.6" customHeight="1" x14ac:dyDescent="0.3">
      <c r="A21" s="13"/>
      <c r="B21" s="28" t="s">
        <v>296</v>
      </c>
      <c r="C21" s="63" t="s">
        <v>295</v>
      </c>
      <c r="D21" s="1">
        <v>0</v>
      </c>
      <c r="E21" s="85" t="s">
        <v>297</v>
      </c>
      <c r="F21" s="9">
        <v>46273</v>
      </c>
      <c r="G21" s="7" t="s">
        <v>298</v>
      </c>
      <c r="H21" s="54">
        <v>46273</v>
      </c>
      <c r="I21" s="57" t="s">
        <v>341</v>
      </c>
      <c r="J21" s="55">
        <v>46279</v>
      </c>
      <c r="K21" s="6" t="s">
        <v>342</v>
      </c>
      <c r="L21" s="55">
        <v>46279</v>
      </c>
      <c r="M21" s="15" t="s">
        <v>9</v>
      </c>
      <c r="N21" s="17"/>
    </row>
    <row r="22" spans="1:14" s="12" customFormat="1" ht="51.6" customHeight="1" x14ac:dyDescent="0.3">
      <c r="A22" s="13"/>
      <c r="B22" s="28" t="s">
        <v>373</v>
      </c>
      <c r="C22" s="63" t="s">
        <v>371</v>
      </c>
      <c r="D22" s="1">
        <v>0</v>
      </c>
      <c r="E22" s="85" t="s">
        <v>370</v>
      </c>
      <c r="F22" s="9">
        <v>46281</v>
      </c>
      <c r="G22" s="7" t="s">
        <v>372</v>
      </c>
      <c r="H22" s="54">
        <v>46281</v>
      </c>
      <c r="I22" s="57" t="s">
        <v>407</v>
      </c>
      <c r="J22" s="55">
        <v>46290</v>
      </c>
      <c r="K22" s="6" t="s">
        <v>408</v>
      </c>
      <c r="L22" s="55">
        <v>46290</v>
      </c>
      <c r="M22" s="15" t="s">
        <v>9</v>
      </c>
      <c r="N22" s="17"/>
    </row>
    <row r="23" spans="1:14" s="12" customFormat="1" ht="51.6" customHeight="1" x14ac:dyDescent="0.3">
      <c r="A23" s="13"/>
      <c r="B23" s="28" t="s">
        <v>446</v>
      </c>
      <c r="C23" s="63" t="s">
        <v>371</v>
      </c>
      <c r="D23" s="1">
        <v>1</v>
      </c>
      <c r="E23" s="85" t="s">
        <v>448</v>
      </c>
      <c r="F23" s="9" t="s">
        <v>447</v>
      </c>
      <c r="G23" s="7" t="s">
        <v>449</v>
      </c>
      <c r="H23" s="54">
        <v>46295</v>
      </c>
      <c r="I23" s="57" t="s">
        <v>494</v>
      </c>
      <c r="J23" s="55">
        <v>46303</v>
      </c>
      <c r="K23" s="6" t="s">
        <v>495</v>
      </c>
      <c r="L23" s="55">
        <v>46306</v>
      </c>
      <c r="M23" s="15" t="s">
        <v>9</v>
      </c>
      <c r="N23" s="17"/>
    </row>
    <row r="24" spans="1:14" s="12" customFormat="1" ht="51.6" customHeight="1" x14ac:dyDescent="0.3">
      <c r="A24" s="13"/>
      <c r="B24" s="28" t="s">
        <v>437</v>
      </c>
      <c r="C24" s="63" t="s">
        <v>436</v>
      </c>
      <c r="D24" s="1">
        <v>0</v>
      </c>
      <c r="E24" s="85" t="s">
        <v>438</v>
      </c>
      <c r="F24" s="9">
        <v>46293</v>
      </c>
      <c r="G24" s="7" t="s">
        <v>439</v>
      </c>
      <c r="H24" s="54">
        <v>46293</v>
      </c>
      <c r="I24" s="57"/>
      <c r="J24" s="55"/>
      <c r="K24" s="6"/>
      <c r="L24" s="55"/>
      <c r="M24" s="15" t="s">
        <v>10</v>
      </c>
      <c r="N24" s="17"/>
    </row>
    <row r="25" spans="1:14" s="12" customFormat="1" ht="51.6" customHeight="1" x14ac:dyDescent="0.3">
      <c r="A25" s="13"/>
      <c r="B25" s="28" t="s">
        <v>499</v>
      </c>
      <c r="C25" s="63" t="s">
        <v>508</v>
      </c>
      <c r="D25" s="1">
        <v>0</v>
      </c>
      <c r="E25" s="1" t="s">
        <v>498</v>
      </c>
      <c r="F25" s="9">
        <v>46302</v>
      </c>
      <c r="G25" s="57" t="s">
        <v>502</v>
      </c>
      <c r="H25" s="55">
        <v>46306</v>
      </c>
      <c r="I25" s="57"/>
      <c r="J25" s="55"/>
      <c r="K25" s="6"/>
      <c r="L25" s="9"/>
      <c r="M25" s="47" t="s">
        <v>10</v>
      </c>
      <c r="N25" s="17"/>
    </row>
    <row r="26" spans="1:14" s="12" customFormat="1" ht="51.6" customHeight="1" x14ac:dyDescent="0.3">
      <c r="A26" s="13"/>
      <c r="B26" s="28" t="s">
        <v>501</v>
      </c>
      <c r="C26" s="63" t="s">
        <v>509</v>
      </c>
      <c r="D26" s="1">
        <v>0</v>
      </c>
      <c r="E26" s="1" t="s">
        <v>500</v>
      </c>
      <c r="F26" s="9">
        <v>46302</v>
      </c>
      <c r="G26" s="57" t="s">
        <v>503</v>
      </c>
      <c r="H26" s="55">
        <v>46306</v>
      </c>
      <c r="I26" s="57"/>
      <c r="J26" s="55"/>
      <c r="K26" s="6"/>
      <c r="L26" s="9"/>
      <c r="M26" s="47" t="s">
        <v>10</v>
      </c>
      <c r="N26" s="17"/>
    </row>
    <row r="27" spans="1:14" s="12" customFormat="1" ht="51.6" customHeight="1" x14ac:dyDescent="0.3">
      <c r="A27" s="13"/>
      <c r="B27" s="28"/>
      <c r="C27" s="1"/>
      <c r="D27" s="1"/>
      <c r="E27" s="1"/>
      <c r="F27" s="9"/>
      <c r="G27" s="58"/>
      <c r="H27" s="59"/>
      <c r="I27" s="58"/>
      <c r="J27" s="59"/>
      <c r="K27" s="6"/>
      <c r="L27" s="9"/>
      <c r="M27" s="16"/>
      <c r="N27" s="17"/>
    </row>
    <row r="28" spans="1:14" s="12" customFormat="1" ht="51.6" customHeight="1" x14ac:dyDescent="0.3">
      <c r="A28" s="13"/>
      <c r="B28" s="28"/>
      <c r="C28" s="1"/>
      <c r="D28" s="1"/>
      <c r="E28" s="1"/>
      <c r="F28" s="9"/>
      <c r="G28" s="58"/>
      <c r="H28" s="59"/>
      <c r="I28" s="58"/>
      <c r="J28" s="59"/>
      <c r="K28" s="6"/>
      <c r="L28" s="9"/>
      <c r="M28" s="16"/>
      <c r="N28" s="17"/>
    </row>
    <row r="29" spans="1:14" s="12" customFormat="1" ht="51.6" customHeight="1" x14ac:dyDescent="0.3">
      <c r="A29" s="13"/>
      <c r="B29" s="28"/>
      <c r="C29" s="1"/>
      <c r="D29" s="1"/>
      <c r="E29" s="1"/>
      <c r="F29" s="9"/>
      <c r="G29" s="58"/>
      <c r="H29" s="59"/>
      <c r="I29" s="58"/>
      <c r="J29" s="59"/>
      <c r="K29" s="6"/>
      <c r="L29" s="9"/>
      <c r="M29" s="16"/>
      <c r="N29" s="17"/>
    </row>
    <row r="30" spans="1:14" s="12" customFormat="1" ht="51.6" customHeight="1" x14ac:dyDescent="0.3">
      <c r="A30" s="13"/>
      <c r="B30" s="28"/>
      <c r="C30" s="1"/>
      <c r="D30" s="1"/>
      <c r="E30" s="1"/>
      <c r="F30" s="9"/>
      <c r="G30" s="58"/>
      <c r="H30" s="59"/>
      <c r="I30" s="58"/>
      <c r="J30" s="59"/>
      <c r="K30" s="6"/>
      <c r="L30" s="9"/>
      <c r="M30" s="16"/>
      <c r="N30" s="17"/>
    </row>
    <row r="31" spans="1:14" s="12" customFormat="1" ht="51.6" customHeight="1" x14ac:dyDescent="0.3">
      <c r="A31" s="13"/>
      <c r="B31" s="28"/>
      <c r="C31" s="1"/>
      <c r="D31" s="1"/>
      <c r="E31" s="1"/>
      <c r="F31" s="9"/>
      <c r="G31" s="58"/>
      <c r="H31" s="59"/>
      <c r="I31" s="58"/>
      <c r="J31" s="59"/>
      <c r="K31" s="6"/>
      <c r="L31" s="9"/>
      <c r="M31" s="16"/>
      <c r="N31" s="17"/>
    </row>
    <row r="32" spans="1:14" s="12" customFormat="1" ht="51.6" customHeight="1" x14ac:dyDescent="0.3">
      <c r="A32" s="13"/>
      <c r="B32" s="28"/>
      <c r="C32" s="1"/>
      <c r="D32" s="1"/>
      <c r="E32" s="1"/>
      <c r="F32" s="9"/>
      <c r="G32" s="58"/>
      <c r="H32" s="59"/>
      <c r="I32" s="58"/>
      <c r="J32" s="59"/>
      <c r="K32" s="6"/>
      <c r="L32" s="9"/>
      <c r="M32" s="16"/>
      <c r="N32" s="17"/>
    </row>
    <row r="33" spans="1:14" s="12" customFormat="1" ht="51.6" customHeight="1" x14ac:dyDescent="0.3">
      <c r="A33" s="13"/>
      <c r="B33" s="28"/>
      <c r="C33" s="1"/>
      <c r="D33" s="1"/>
      <c r="E33" s="1"/>
      <c r="F33" s="9"/>
      <c r="G33" s="58"/>
      <c r="H33" s="59"/>
      <c r="I33" s="58"/>
      <c r="J33" s="59"/>
      <c r="K33" s="6"/>
      <c r="L33" s="9"/>
      <c r="M33" s="16"/>
      <c r="N33" s="17"/>
    </row>
    <row r="34" spans="1:14" s="12" customFormat="1" ht="51.6" customHeight="1" x14ac:dyDescent="0.3">
      <c r="A34" s="13"/>
      <c r="B34" s="28"/>
      <c r="C34" s="1"/>
      <c r="D34" s="1"/>
      <c r="E34" s="1"/>
      <c r="F34" s="9"/>
      <c r="G34" s="58"/>
      <c r="H34" s="59"/>
      <c r="I34" s="58"/>
      <c r="J34" s="59"/>
      <c r="K34" s="6"/>
      <c r="L34" s="9"/>
      <c r="M34" s="16"/>
      <c r="N34" s="17"/>
    </row>
    <row r="35" spans="1:14" s="12" customFormat="1" ht="51.6" customHeight="1" x14ac:dyDescent="0.3">
      <c r="A35" s="13"/>
      <c r="B35" s="28"/>
      <c r="C35" s="1"/>
      <c r="D35" s="1"/>
      <c r="E35" s="1"/>
      <c r="F35" s="9"/>
      <c r="G35" s="58"/>
      <c r="H35" s="59"/>
      <c r="I35" s="58"/>
      <c r="J35" s="59"/>
      <c r="K35" s="6"/>
      <c r="L35" s="9"/>
      <c r="M35" s="16"/>
      <c r="N35" s="17"/>
    </row>
    <row r="36" spans="1:14" s="12" customFormat="1" ht="51.6" customHeight="1" x14ac:dyDescent="0.3">
      <c r="A36" s="13"/>
      <c r="B36" s="28"/>
      <c r="C36" s="1"/>
      <c r="D36" s="1"/>
      <c r="E36" s="1"/>
      <c r="F36" s="9"/>
      <c r="G36" s="58"/>
      <c r="H36" s="59"/>
      <c r="I36" s="58"/>
      <c r="J36" s="59"/>
      <c r="K36" s="6"/>
      <c r="L36" s="9"/>
      <c r="M36" s="16"/>
      <c r="N36" s="17"/>
    </row>
    <row r="37" spans="1:14" s="12" customFormat="1" ht="51.6" customHeight="1" x14ac:dyDescent="0.3">
      <c r="A37" s="13"/>
      <c r="B37" s="28"/>
      <c r="C37" s="1"/>
      <c r="D37" s="1"/>
      <c r="E37" s="1"/>
      <c r="F37" s="9"/>
      <c r="G37" s="58"/>
      <c r="H37" s="59"/>
      <c r="I37" s="58"/>
      <c r="J37" s="59"/>
      <c r="K37" s="6"/>
      <c r="L37" s="9"/>
      <c r="M37" s="16"/>
      <c r="N37" s="17"/>
    </row>
    <row r="38" spans="1:14" s="12" customFormat="1" ht="51.6" customHeight="1" x14ac:dyDescent="0.3">
      <c r="A38" s="13"/>
      <c r="B38" s="28"/>
      <c r="C38" s="1"/>
      <c r="D38" s="1"/>
      <c r="E38" s="1"/>
      <c r="F38" s="9"/>
      <c r="G38" s="58"/>
      <c r="H38" s="59"/>
      <c r="I38" s="58"/>
      <c r="J38" s="59"/>
      <c r="K38" s="6"/>
      <c r="L38" s="9"/>
      <c r="M38" s="16"/>
      <c r="N38" s="17"/>
    </row>
  </sheetData>
  <autoFilter ref="A4:M21" xr:uid="{00000000-0001-0000-0000-000000000000}"/>
  <mergeCells count="5">
    <mergeCell ref="A1:L2"/>
    <mergeCell ref="C3:F3"/>
    <mergeCell ref="G3:H3"/>
    <mergeCell ref="I3:J3"/>
    <mergeCell ref="K3:L3"/>
  </mergeCells>
  <phoneticPr fontId="6" type="noConversion"/>
  <conditionalFormatting sqref="M1:M24 M27:M38">
    <cfRule type="containsText" dxfId="5" priority="3" operator="containsText" text="Response ">
      <formula>NOT(ISERROR(SEARCH("Response ",M1)))</formula>
    </cfRule>
    <cfRule type="containsText" dxfId="4" priority="4" operator="containsText" text="open">
      <formula>NOT(ISERROR(SEARCH("open",M1)))</formula>
    </cfRule>
  </conditionalFormatting>
  <conditionalFormatting sqref="M25:M26">
    <cfRule type="containsText" dxfId="1" priority="1" operator="containsText" text="Response ">
      <formula>NOT(ISERROR(SEARCH("Response ",M25)))</formula>
    </cfRule>
    <cfRule type="containsText" dxfId="0" priority="2" operator="containsText" text="open">
      <formula>NOT(ISERROR(SEARCH("open",M25)))</formula>
    </cfRule>
  </conditionalFormatting>
  <pageMargins left="0.7" right="0.7" top="0.75" bottom="0.75" header="0.3" footer="0.3"/>
  <pageSetup paperSize="9" scale="3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A2DE-2743-4B90-8809-724C46E283DD}">
  <sheetPr>
    <pageSetUpPr fitToPage="1"/>
  </sheetPr>
  <dimension ref="A1:P36"/>
  <sheetViews>
    <sheetView view="pageBreakPreview" topLeftCell="B1" zoomScale="70" zoomScaleNormal="100" zoomScaleSheetLayoutView="70" workbookViewId="0">
      <pane ySplit="4" topLeftCell="A5" activePane="bottomLeft" state="frozen"/>
      <selection pane="bottomLeft" activeCell="I9" sqref="I9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55.5546875" style="2" customWidth="1"/>
    <col min="4" max="4" width="19" style="2" hidden="1" customWidth="1"/>
    <col min="5" max="5" width="41.77734375" style="2" customWidth="1"/>
    <col min="6" max="6" width="17.77734375" style="2" customWidth="1"/>
    <col min="7" max="7" width="20.21875" style="2" customWidth="1"/>
    <col min="8" max="8" width="17.77734375" style="2" customWidth="1"/>
    <col min="9" max="9" width="19.5546875" style="2" customWidth="1"/>
    <col min="10" max="10" width="17.77734375" style="2" customWidth="1"/>
    <col min="11" max="11" width="22.109375" style="2" customWidth="1"/>
    <col min="12" max="12" width="19.77734375" style="2" customWidth="1"/>
    <col min="13" max="13" width="13" style="2" bestFit="1" customWidth="1"/>
    <col min="14" max="14" width="27" style="27" customWidth="1"/>
    <col min="15" max="15" width="21.5546875" customWidth="1"/>
    <col min="16" max="16" width="23.33203125" customWidth="1"/>
  </cols>
  <sheetData>
    <row r="1" spans="1:16" ht="37.200000000000003" customHeight="1" x14ac:dyDescent="0.3">
      <c r="A1" s="95" t="s">
        <v>197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14" t="s">
        <v>11</v>
      </c>
      <c r="N1" s="3">
        <f>COUNTA(M$5:M$1048576)</f>
        <v>5</v>
      </c>
    </row>
    <row r="2" spans="1:16" ht="37.200000000000003" customHeight="1" x14ac:dyDescent="0.3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15" t="s">
        <v>9</v>
      </c>
      <c r="N2" s="17">
        <f>COUNTIF(M$5:M$1048576,"Response ")</f>
        <v>4</v>
      </c>
    </row>
    <row r="3" spans="1:16" ht="40.799999999999997" customHeight="1" x14ac:dyDescent="0.3">
      <c r="A3" s="41" t="s">
        <v>13</v>
      </c>
      <c r="B3" s="41"/>
      <c r="C3" s="97"/>
      <c r="D3" s="97"/>
      <c r="E3" s="97"/>
      <c r="F3" s="97"/>
      <c r="G3" s="109" t="s">
        <v>21</v>
      </c>
      <c r="H3" s="113"/>
      <c r="I3" s="109" t="s">
        <v>22</v>
      </c>
      <c r="J3" s="110"/>
      <c r="K3" s="111" t="s">
        <v>14</v>
      </c>
      <c r="L3" s="112"/>
      <c r="M3" s="15" t="s">
        <v>10</v>
      </c>
      <c r="N3" s="17">
        <f>COUNTIF(M$5:M$1048576,"OPEN")</f>
        <v>1</v>
      </c>
    </row>
    <row r="4" spans="1:16" ht="18" x14ac:dyDescent="0.3">
      <c r="A4" s="18" t="s">
        <v>0</v>
      </c>
      <c r="B4" s="18" t="s">
        <v>0</v>
      </c>
      <c r="C4" s="19" t="s">
        <v>6</v>
      </c>
      <c r="D4" s="19" t="s">
        <v>116</v>
      </c>
      <c r="E4" s="19" t="s">
        <v>1</v>
      </c>
      <c r="F4" s="35" t="s">
        <v>2</v>
      </c>
      <c r="G4" s="35" t="s">
        <v>0</v>
      </c>
      <c r="H4" s="21" t="s">
        <v>2</v>
      </c>
      <c r="I4" s="20" t="s">
        <v>0</v>
      </c>
      <c r="J4" s="52" t="s">
        <v>2</v>
      </c>
      <c r="K4" s="20" t="s">
        <v>0</v>
      </c>
      <c r="L4" s="52" t="s">
        <v>2</v>
      </c>
      <c r="M4" s="22"/>
      <c r="N4" s="23"/>
    </row>
    <row r="5" spans="1:16" s="12" customFormat="1" ht="55.8" customHeight="1" x14ac:dyDescent="0.3">
      <c r="A5" s="11" t="s">
        <v>5</v>
      </c>
      <c r="B5" s="29" t="s">
        <v>198</v>
      </c>
      <c r="C5" s="63" t="s">
        <v>199</v>
      </c>
      <c r="D5" s="10">
        <v>0</v>
      </c>
      <c r="E5" s="30" t="s">
        <v>200</v>
      </c>
      <c r="F5" s="56">
        <v>46260</v>
      </c>
      <c r="G5" s="53" t="s">
        <v>231</v>
      </c>
      <c r="H5" s="54">
        <v>46265</v>
      </c>
      <c r="I5" s="53" t="s">
        <v>239</v>
      </c>
      <c r="J5" s="54">
        <v>46266</v>
      </c>
      <c r="K5" s="29" t="s">
        <v>238</v>
      </c>
      <c r="L5" s="54">
        <v>46266</v>
      </c>
      <c r="M5" s="15" t="s">
        <v>9</v>
      </c>
      <c r="N5" s="17"/>
      <c r="O5" s="31"/>
      <c r="P5" s="31"/>
    </row>
    <row r="6" spans="1:16" s="12" customFormat="1" ht="61.2" customHeight="1" x14ac:dyDescent="0.3">
      <c r="A6" s="13" t="s">
        <v>4</v>
      </c>
      <c r="B6" s="29" t="s">
        <v>289</v>
      </c>
      <c r="C6" s="63" t="s">
        <v>287</v>
      </c>
      <c r="D6" s="10">
        <v>0</v>
      </c>
      <c r="E6" s="30" t="s">
        <v>288</v>
      </c>
      <c r="F6" s="56">
        <v>46273</v>
      </c>
      <c r="G6" s="53" t="s">
        <v>286</v>
      </c>
      <c r="H6" s="61">
        <v>46273</v>
      </c>
      <c r="I6" s="57" t="s">
        <v>353</v>
      </c>
      <c r="J6" s="55">
        <v>46279</v>
      </c>
      <c r="K6" s="53" t="s">
        <v>354</v>
      </c>
      <c r="L6" s="55">
        <v>46279</v>
      </c>
      <c r="M6" s="15" t="s">
        <v>9</v>
      </c>
      <c r="N6" s="17"/>
    </row>
    <row r="7" spans="1:16" s="12" customFormat="1" ht="55.8" customHeight="1" x14ac:dyDescent="0.3">
      <c r="A7" s="13" t="s">
        <v>3</v>
      </c>
      <c r="B7" s="29" t="s">
        <v>291</v>
      </c>
      <c r="C7" s="63" t="s">
        <v>290</v>
      </c>
      <c r="D7" s="10">
        <v>0</v>
      </c>
      <c r="E7" s="30" t="s">
        <v>292</v>
      </c>
      <c r="F7" s="56">
        <v>46273</v>
      </c>
      <c r="G7" s="53" t="s">
        <v>293</v>
      </c>
      <c r="H7" s="61">
        <v>46273</v>
      </c>
      <c r="I7" s="57" t="s">
        <v>349</v>
      </c>
      <c r="J7" s="55">
        <v>46279</v>
      </c>
      <c r="K7" s="29" t="s">
        <v>350</v>
      </c>
      <c r="L7" s="55">
        <v>46279</v>
      </c>
      <c r="M7" s="15" t="s">
        <v>9</v>
      </c>
      <c r="N7" s="17"/>
    </row>
    <row r="8" spans="1:16" s="12" customFormat="1" ht="48.6" customHeight="1" x14ac:dyDescent="0.3">
      <c r="A8" s="13"/>
      <c r="B8" s="29" t="s">
        <v>337</v>
      </c>
      <c r="C8" s="63" t="s">
        <v>335</v>
      </c>
      <c r="D8" s="10"/>
      <c r="E8" s="30" t="s">
        <v>336</v>
      </c>
      <c r="F8" s="56">
        <v>46279</v>
      </c>
      <c r="G8" s="57" t="s">
        <v>338</v>
      </c>
      <c r="H8" s="56">
        <v>46279</v>
      </c>
      <c r="I8" s="57" t="s">
        <v>410</v>
      </c>
      <c r="J8" s="55">
        <v>46289</v>
      </c>
      <c r="K8" s="6" t="s">
        <v>409</v>
      </c>
      <c r="L8" s="55">
        <v>46291</v>
      </c>
      <c r="M8" s="15" t="s">
        <v>9</v>
      </c>
      <c r="N8" s="17"/>
    </row>
    <row r="9" spans="1:16" s="12" customFormat="1" ht="48" customHeight="1" x14ac:dyDescent="0.3">
      <c r="A9" s="13"/>
      <c r="B9" s="1" t="s">
        <v>506</v>
      </c>
      <c r="C9" s="63" t="s">
        <v>504</v>
      </c>
      <c r="D9" s="10"/>
      <c r="E9" s="30" t="s">
        <v>505</v>
      </c>
      <c r="F9" s="56">
        <v>46296</v>
      </c>
      <c r="G9" s="57" t="s">
        <v>507</v>
      </c>
      <c r="H9" s="61">
        <v>46307</v>
      </c>
      <c r="I9" s="57"/>
      <c r="J9" s="55"/>
      <c r="K9" s="6"/>
      <c r="L9" s="55"/>
      <c r="M9" s="15" t="s">
        <v>10</v>
      </c>
      <c r="N9" s="40"/>
    </row>
    <row r="10" spans="1:16" s="12" customFormat="1" ht="51.6" customHeight="1" x14ac:dyDescent="0.3">
      <c r="A10" s="13"/>
      <c r="B10" s="1"/>
      <c r="C10" s="63"/>
      <c r="D10" s="10"/>
      <c r="E10" s="1"/>
      <c r="F10" s="56"/>
      <c r="G10" s="57"/>
      <c r="H10" s="61"/>
      <c r="I10" s="57"/>
      <c r="J10" s="55"/>
      <c r="K10" s="6"/>
      <c r="L10" s="55"/>
      <c r="M10" s="16"/>
      <c r="N10" s="48"/>
    </row>
    <row r="11" spans="1:16" s="12" customFormat="1" ht="51.6" customHeight="1" x14ac:dyDescent="0.3">
      <c r="A11" s="13"/>
      <c r="B11" s="1"/>
      <c r="C11" s="63"/>
      <c r="D11" s="10"/>
      <c r="E11" s="1"/>
      <c r="F11" s="9"/>
      <c r="G11" s="57"/>
      <c r="H11" s="55"/>
      <c r="I11" s="57"/>
      <c r="J11" s="55"/>
      <c r="K11" s="6"/>
      <c r="L11" s="55"/>
      <c r="M11" s="16"/>
      <c r="N11" s="49"/>
    </row>
    <row r="12" spans="1:16" s="12" customFormat="1" ht="51.6" customHeight="1" x14ac:dyDescent="0.3">
      <c r="A12" s="13"/>
      <c r="B12" s="1"/>
      <c r="C12" s="63"/>
      <c r="D12" s="10"/>
      <c r="E12" s="1"/>
      <c r="F12" s="9"/>
      <c r="G12" s="62"/>
      <c r="H12" s="55"/>
      <c r="I12" s="57"/>
      <c r="J12" s="55"/>
      <c r="K12" s="6"/>
      <c r="L12" s="55"/>
      <c r="M12" s="16"/>
      <c r="N12" s="50"/>
    </row>
    <row r="13" spans="1:16" s="12" customFormat="1" ht="51.6" customHeight="1" x14ac:dyDescent="0.3">
      <c r="A13" s="13"/>
      <c r="B13" s="1"/>
      <c r="C13" s="63"/>
      <c r="D13" s="10"/>
      <c r="E13" s="30"/>
      <c r="F13" s="51"/>
      <c r="G13" s="7"/>
      <c r="H13" s="54"/>
      <c r="I13" s="57"/>
      <c r="J13" s="55"/>
      <c r="K13" s="6"/>
      <c r="L13" s="55"/>
      <c r="M13" s="16"/>
      <c r="N13" s="17"/>
    </row>
    <row r="14" spans="1:16" s="12" customFormat="1" ht="51.6" customHeight="1" x14ac:dyDescent="0.3">
      <c r="A14" s="13"/>
      <c r="B14" s="1"/>
      <c r="C14" s="63"/>
      <c r="D14" s="10"/>
      <c r="E14" s="43"/>
      <c r="F14" s="51"/>
      <c r="G14" s="7"/>
      <c r="H14" s="54"/>
      <c r="I14" s="57"/>
      <c r="J14" s="55"/>
      <c r="K14" s="6"/>
      <c r="L14" s="55"/>
      <c r="M14" s="16"/>
      <c r="N14" s="17"/>
    </row>
    <row r="15" spans="1:16" s="12" customFormat="1" ht="51.6" customHeight="1" x14ac:dyDescent="0.3">
      <c r="A15" s="13"/>
      <c r="B15" s="1"/>
      <c r="C15" s="63"/>
      <c r="D15" s="10"/>
      <c r="E15" s="43"/>
      <c r="F15" s="51"/>
      <c r="G15" s="7"/>
      <c r="H15" s="54"/>
      <c r="I15" s="57"/>
      <c r="J15" s="55"/>
      <c r="K15" s="6"/>
      <c r="L15" s="55"/>
      <c r="M15" s="16"/>
      <c r="N15" s="17"/>
    </row>
    <row r="16" spans="1:16" s="12" customFormat="1" ht="51.6" customHeight="1" x14ac:dyDescent="0.3">
      <c r="A16" s="13"/>
      <c r="B16" s="1"/>
      <c r="C16" s="63"/>
      <c r="D16" s="10"/>
      <c r="E16" s="43"/>
      <c r="F16" s="51"/>
      <c r="G16" s="7"/>
      <c r="H16" s="54"/>
      <c r="I16" s="57"/>
      <c r="J16" s="55"/>
      <c r="K16" s="6"/>
      <c r="L16" s="55"/>
      <c r="M16" s="15"/>
      <c r="N16" s="17"/>
    </row>
    <row r="17" spans="1:14" s="12" customFormat="1" ht="51.6" customHeight="1" x14ac:dyDescent="0.3">
      <c r="A17" s="13"/>
      <c r="B17" s="28"/>
      <c r="C17" s="63"/>
      <c r="D17" s="1"/>
      <c r="E17" s="1"/>
      <c r="F17" s="9"/>
      <c r="G17" s="7"/>
      <c r="H17" s="54"/>
      <c r="I17" s="57"/>
      <c r="J17" s="55"/>
      <c r="K17" s="6"/>
      <c r="L17" s="55"/>
      <c r="M17" s="15"/>
      <c r="N17" s="17"/>
    </row>
    <row r="18" spans="1:14" s="12" customFormat="1" ht="51.6" customHeight="1" x14ac:dyDescent="0.3">
      <c r="A18" s="13"/>
      <c r="B18" s="28"/>
      <c r="C18" s="1"/>
      <c r="D18" s="1"/>
      <c r="E18" s="1"/>
      <c r="F18" s="9"/>
      <c r="G18" s="58"/>
      <c r="H18" s="59"/>
      <c r="I18" s="58"/>
      <c r="J18" s="59"/>
      <c r="K18" s="6"/>
      <c r="L18" s="9"/>
      <c r="M18" s="16"/>
      <c r="N18" s="17"/>
    </row>
    <row r="19" spans="1:14" s="12" customFormat="1" ht="51.6" customHeight="1" x14ac:dyDescent="0.3">
      <c r="A19" s="13"/>
      <c r="B19" s="28"/>
      <c r="C19" s="1"/>
      <c r="D19" s="1"/>
      <c r="E19" s="1"/>
      <c r="F19" s="9"/>
      <c r="G19" s="58"/>
      <c r="H19" s="59"/>
      <c r="I19" s="58"/>
      <c r="J19" s="59"/>
      <c r="K19" s="6"/>
      <c r="L19" s="9"/>
      <c r="M19" s="16"/>
      <c r="N19" s="17"/>
    </row>
    <row r="20" spans="1:14" s="12" customFormat="1" ht="51.6" customHeight="1" x14ac:dyDescent="0.3">
      <c r="A20" s="13"/>
      <c r="B20" s="28"/>
      <c r="C20" s="1"/>
      <c r="D20" s="1"/>
      <c r="E20" s="1"/>
      <c r="F20" s="9"/>
      <c r="G20" s="58"/>
      <c r="H20" s="59"/>
      <c r="I20" s="58"/>
      <c r="J20" s="59"/>
      <c r="K20" s="6"/>
      <c r="L20" s="9"/>
      <c r="M20" s="16"/>
      <c r="N20" s="17"/>
    </row>
    <row r="21" spans="1:14" s="12" customFormat="1" ht="51.6" customHeight="1" x14ac:dyDescent="0.3">
      <c r="A21" s="13"/>
      <c r="B21" s="28"/>
      <c r="C21" s="1"/>
      <c r="D21" s="1"/>
      <c r="E21" s="1"/>
      <c r="F21" s="9"/>
      <c r="G21" s="58"/>
      <c r="H21" s="59"/>
      <c r="I21" s="58"/>
      <c r="J21" s="59"/>
      <c r="K21" s="6"/>
      <c r="L21" s="9"/>
      <c r="M21" s="16"/>
      <c r="N21" s="17"/>
    </row>
    <row r="22" spans="1:14" s="12" customFormat="1" ht="51.6" customHeight="1" x14ac:dyDescent="0.3">
      <c r="A22" s="13"/>
      <c r="B22" s="28"/>
      <c r="C22" s="1"/>
      <c r="D22" s="1"/>
      <c r="E22" s="1"/>
      <c r="F22" s="9"/>
      <c r="G22" s="58"/>
      <c r="H22" s="59"/>
      <c r="I22" s="58"/>
      <c r="J22" s="59"/>
      <c r="K22" s="6"/>
      <c r="L22" s="9"/>
      <c r="M22" s="16"/>
      <c r="N22" s="17"/>
    </row>
    <row r="23" spans="1:14" s="12" customFormat="1" ht="51.6" customHeight="1" x14ac:dyDescent="0.3">
      <c r="A23" s="13"/>
      <c r="B23" s="28"/>
      <c r="C23" s="1"/>
      <c r="D23" s="1"/>
      <c r="E23" s="1"/>
      <c r="F23" s="9"/>
      <c r="G23" s="58"/>
      <c r="H23" s="59"/>
      <c r="I23" s="58"/>
      <c r="J23" s="59"/>
      <c r="K23" s="6"/>
      <c r="L23" s="9"/>
      <c r="M23" s="16"/>
      <c r="N23" s="17"/>
    </row>
    <row r="24" spans="1:14" s="12" customFormat="1" ht="51.6" customHeight="1" x14ac:dyDescent="0.3">
      <c r="A24" s="13"/>
      <c r="B24" s="28"/>
      <c r="C24" s="1"/>
      <c r="D24" s="1"/>
      <c r="E24" s="1"/>
      <c r="F24" s="9"/>
      <c r="G24" s="58"/>
      <c r="H24" s="59"/>
      <c r="I24" s="58"/>
      <c r="J24" s="59"/>
      <c r="K24" s="6"/>
      <c r="L24" s="9"/>
      <c r="M24" s="16"/>
      <c r="N24" s="17"/>
    </row>
    <row r="25" spans="1:14" s="12" customFormat="1" ht="51.6" customHeight="1" x14ac:dyDescent="0.3">
      <c r="A25" s="13"/>
      <c r="B25" s="28"/>
      <c r="C25" s="1"/>
      <c r="D25" s="1"/>
      <c r="E25" s="1"/>
      <c r="F25" s="9"/>
      <c r="G25" s="58"/>
      <c r="H25" s="59"/>
      <c r="I25" s="58"/>
      <c r="J25" s="59"/>
      <c r="K25" s="6"/>
      <c r="L25" s="9"/>
      <c r="M25" s="16"/>
      <c r="N25" s="17"/>
    </row>
    <row r="26" spans="1:14" s="12" customFormat="1" ht="51.6" customHeight="1" x14ac:dyDescent="0.3">
      <c r="A26" s="13"/>
      <c r="B26" s="28"/>
      <c r="C26" s="1"/>
      <c r="D26" s="1"/>
      <c r="E26" s="1"/>
      <c r="F26" s="9"/>
      <c r="G26" s="58"/>
      <c r="H26" s="59"/>
      <c r="I26" s="58"/>
      <c r="J26" s="59"/>
      <c r="K26" s="6"/>
      <c r="L26" s="9"/>
      <c r="M26" s="16"/>
      <c r="N26" s="17"/>
    </row>
    <row r="27" spans="1:14" s="12" customFormat="1" ht="51.6" customHeight="1" x14ac:dyDescent="0.3">
      <c r="A27" s="13"/>
      <c r="B27" s="28"/>
      <c r="C27" s="1"/>
      <c r="D27" s="1"/>
      <c r="E27" s="1"/>
      <c r="F27" s="9"/>
      <c r="G27" s="58"/>
      <c r="H27" s="59"/>
      <c r="I27" s="58"/>
      <c r="J27" s="59"/>
      <c r="K27" s="6"/>
      <c r="L27" s="9"/>
      <c r="M27" s="16"/>
      <c r="N27" s="17"/>
    </row>
    <row r="28" spans="1:14" s="12" customFormat="1" ht="51.6" customHeight="1" x14ac:dyDescent="0.3">
      <c r="A28" s="13"/>
      <c r="B28" s="28"/>
      <c r="C28" s="1"/>
      <c r="D28" s="1"/>
      <c r="E28" s="1"/>
      <c r="F28" s="9"/>
      <c r="G28" s="58"/>
      <c r="H28" s="59"/>
      <c r="I28" s="58"/>
      <c r="J28" s="59"/>
      <c r="K28" s="6"/>
      <c r="L28" s="9"/>
      <c r="M28" s="16"/>
      <c r="N28" s="17"/>
    </row>
    <row r="29" spans="1:14" s="12" customFormat="1" ht="51.6" customHeight="1" x14ac:dyDescent="0.3">
      <c r="A29" s="13"/>
      <c r="B29" s="28"/>
      <c r="C29" s="1"/>
      <c r="D29" s="1"/>
      <c r="E29" s="1"/>
      <c r="F29" s="9"/>
      <c r="G29" s="58"/>
      <c r="H29" s="59"/>
      <c r="I29" s="58"/>
      <c r="J29" s="59"/>
      <c r="K29" s="6"/>
      <c r="L29" s="9"/>
      <c r="M29" s="16"/>
      <c r="N29" s="17"/>
    </row>
    <row r="30" spans="1:14" s="12" customFormat="1" ht="51.6" customHeight="1" x14ac:dyDescent="0.3">
      <c r="A30" s="13"/>
      <c r="B30" s="28"/>
      <c r="C30" s="1"/>
      <c r="D30" s="1"/>
      <c r="E30" s="1"/>
      <c r="F30" s="9"/>
      <c r="G30" s="58"/>
      <c r="H30" s="59"/>
      <c r="I30" s="58"/>
      <c r="J30" s="59"/>
      <c r="K30" s="6"/>
      <c r="L30" s="9"/>
      <c r="M30" s="16"/>
      <c r="N30" s="17"/>
    </row>
    <row r="31" spans="1:14" s="12" customFormat="1" ht="51.6" customHeight="1" x14ac:dyDescent="0.3">
      <c r="A31" s="13"/>
      <c r="B31" s="28"/>
      <c r="C31" s="1"/>
      <c r="D31" s="1"/>
      <c r="E31" s="1"/>
      <c r="F31" s="9"/>
      <c r="G31" s="58"/>
      <c r="H31" s="59"/>
      <c r="I31" s="58"/>
      <c r="J31" s="59"/>
      <c r="K31" s="6"/>
      <c r="L31" s="9"/>
      <c r="M31" s="16"/>
      <c r="N31" s="17"/>
    </row>
    <row r="32" spans="1:14" s="12" customFormat="1" ht="51.6" customHeight="1" x14ac:dyDescent="0.3">
      <c r="A32" s="13"/>
      <c r="B32" s="28"/>
      <c r="C32" s="1"/>
      <c r="D32" s="1"/>
      <c r="E32" s="1"/>
      <c r="F32" s="9"/>
      <c r="G32" s="58"/>
      <c r="H32" s="59"/>
      <c r="I32" s="58"/>
      <c r="J32" s="59"/>
      <c r="K32" s="6"/>
      <c r="L32" s="9"/>
      <c r="M32" s="16"/>
      <c r="N32" s="17"/>
    </row>
    <row r="33" spans="1:14" s="12" customFormat="1" ht="51.6" customHeight="1" x14ac:dyDescent="0.3">
      <c r="A33" s="13"/>
      <c r="B33" s="28"/>
      <c r="C33" s="1"/>
      <c r="D33" s="1"/>
      <c r="E33" s="1"/>
      <c r="F33" s="9"/>
      <c r="G33" s="58"/>
      <c r="H33" s="59"/>
      <c r="I33" s="58"/>
      <c r="J33" s="59"/>
      <c r="K33" s="6"/>
      <c r="L33" s="9"/>
      <c r="M33" s="16"/>
      <c r="N33" s="17"/>
    </row>
    <row r="34" spans="1:14" s="12" customFormat="1" ht="51.6" customHeight="1" x14ac:dyDescent="0.3">
      <c r="A34" s="13"/>
      <c r="B34" s="28"/>
      <c r="C34" s="1"/>
      <c r="D34" s="1"/>
      <c r="E34" s="1"/>
      <c r="F34" s="9"/>
      <c r="G34" s="58"/>
      <c r="H34" s="59"/>
      <c r="I34" s="58"/>
      <c r="J34" s="59"/>
      <c r="K34" s="6"/>
      <c r="L34" s="9"/>
      <c r="M34" s="16"/>
      <c r="N34" s="17"/>
    </row>
    <row r="35" spans="1:14" s="12" customFormat="1" ht="51.6" customHeight="1" x14ac:dyDescent="0.3">
      <c r="A35" s="13"/>
      <c r="B35" s="28"/>
      <c r="C35" s="1"/>
      <c r="D35" s="1"/>
      <c r="E35" s="1"/>
      <c r="F35" s="9"/>
      <c r="G35" s="58"/>
      <c r="H35" s="59"/>
      <c r="I35" s="58"/>
      <c r="J35" s="59"/>
      <c r="K35" s="6"/>
      <c r="L35" s="9"/>
      <c r="M35" s="16"/>
      <c r="N35" s="17"/>
    </row>
    <row r="36" spans="1:14" s="12" customFormat="1" ht="51.6" customHeight="1" x14ac:dyDescent="0.3">
      <c r="A36" s="13"/>
      <c r="B36" s="28"/>
      <c r="C36" s="1"/>
      <c r="D36" s="1"/>
      <c r="E36" s="1"/>
      <c r="F36" s="9"/>
      <c r="G36" s="58"/>
      <c r="H36" s="59"/>
      <c r="I36" s="58"/>
      <c r="J36" s="59"/>
      <c r="K36" s="6"/>
      <c r="L36" s="9"/>
      <c r="M36" s="16"/>
      <c r="N36" s="17"/>
    </row>
  </sheetData>
  <autoFilter ref="A4:M7" xr:uid="{00000000-0001-0000-0000-000000000000}"/>
  <mergeCells count="5">
    <mergeCell ref="A1:L2"/>
    <mergeCell ref="C3:F3"/>
    <mergeCell ref="G3:H3"/>
    <mergeCell ref="I3:J3"/>
    <mergeCell ref="K3:L3"/>
  </mergeCells>
  <phoneticPr fontId="6" type="noConversion"/>
  <conditionalFormatting sqref="M1:M36">
    <cfRule type="containsText" dxfId="3" priority="1" operator="containsText" text="Response ">
      <formula>NOT(ISERROR(SEARCH("Response ",M1)))</formula>
    </cfRule>
    <cfRule type="containsText" dxfId="2" priority="2" operator="containsText" text="open">
      <formula>NOT(ISERROR(SEARCH("open",M1)))</formula>
    </cfRule>
  </conditionalFormatting>
  <pageMargins left="0.7" right="0.7" top="0.75" bottom="0.75" header="0.3" footer="0.3"/>
  <pageSetup paperSize="9" scale="43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e47dd1e-c75c-4647-a38b-2c348db83d8f">D2EH7U7SCT2D-354287951-47288</_dlc_DocId>
    <_Flow_SignoffStatus xmlns="85d7a996-4dca-498d-b2f5-99e3050e6495" xsi:nil="true"/>
    <_dlc_DocIdUrl xmlns="5e47dd1e-c75c-4647-a38b-2c348db83d8f">
      <Url>https://hillintl.sharepoint.com/sites/Extranet2/RasAlHekmaProject/_layouts/15/DocIdRedir.aspx?ID=D2EH7U7SCT2D-354287951-47288</Url>
      <Description>D2EH7U7SCT2D-354287951-47288</Description>
    </_dlc_DocIdUrl>
    <lcf76f155ced4ddcb4097134ff3c332f xmlns="85d7a996-4dca-498d-b2f5-99e3050e6495">
      <Terms xmlns="http://schemas.microsoft.com/office/infopath/2007/PartnerControls"/>
    </lcf76f155ced4ddcb4097134ff3c332f>
    <TaxCatchAll xmlns="5e47dd1e-c75c-4647-a38b-2c348db83d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AB98C88-F794-4D4F-AA6A-B466826FA1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B73A18-ABA8-4440-A391-374373BB83DF}">
  <ds:schemaRefs>
    <ds:schemaRef ds:uri="http://schemas.microsoft.com/office/2006/metadata/properties"/>
    <ds:schemaRef ds:uri="http://schemas.microsoft.com/office/infopath/2007/PartnerControls"/>
    <ds:schemaRef ds:uri="5e47dd1e-c75c-4647-a38b-2c348db83d8f"/>
    <ds:schemaRef ds:uri="85d7a996-4dca-498d-b2f5-99e3050e6495"/>
  </ds:schemaRefs>
</ds:datastoreItem>
</file>

<file path=customXml/itemProps3.xml><?xml version="1.0" encoding="utf-8"?>
<ds:datastoreItem xmlns:ds="http://schemas.openxmlformats.org/officeDocument/2006/customXml" ds:itemID="{E896A144-B6A8-458C-88FE-4A69D947D5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3FD821F-BD95-4AA9-BACA-3293E468E5C4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CIVIL</vt:lpstr>
      <vt:lpstr>GEN</vt:lpstr>
      <vt:lpstr>BIM</vt:lpstr>
      <vt:lpstr>STR</vt:lpstr>
      <vt:lpstr>ME</vt:lpstr>
      <vt:lpstr>Arch</vt:lpstr>
      <vt:lpstr>ELEC</vt:lpstr>
      <vt:lpstr>Arch!Print_Area</vt:lpstr>
      <vt:lpstr>BIM!Print_Area</vt:lpstr>
      <vt:lpstr>CIVIL!Print_Area</vt:lpstr>
      <vt:lpstr>ELEC!Print_Area</vt:lpstr>
      <vt:lpstr>GEN!Print_Area</vt:lpstr>
      <vt:lpstr>ME!Print_Area</vt:lpstr>
      <vt:lpstr>STR!Print_Area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Elakabawy, Wael</dc:creator>
  <cp:lastModifiedBy>Salem, Ali</cp:lastModifiedBy>
  <cp:lastPrinted>2026-09-12T19:49:55Z</cp:lastPrinted>
  <dcterms:created xsi:type="dcterms:W3CDTF">2015-06-05T18:17:20Z</dcterms:created>
  <dcterms:modified xsi:type="dcterms:W3CDTF">2026-10-12T06:56:48Z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582181be-3ebd-47cc-9926-1cc834589a42</vt:lpwstr>
  </property>
  <property fmtid="{D5CDD505-2E9C-101B-9397-08002B2CF9AE}" pid="4" name="MediaServiceImageTags">
    <vt:lpwstr/>
  </property>
</Properties>
</file>